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 sheetId="1" state="visible" r:id="rId3"/>
    <sheet name="Parameters" sheetId="2" state="visible" r:id="rId4"/>
    <sheet name="Scores" sheetId="3" state="visible" r:id="rId5"/>
    <sheet name="Diagnostics" sheetId="4" state="visible" r:id="rId6"/>
    <sheet name="Sensitivity" sheetId="5" state="visible" r:id="rId7"/>
  </sheets>
  <definedNames>
    <definedName function="false" hidden="true" localSheetId="2" name="_xlnm._FilterDatabase" vbProcedure="false">Scores!$A$1:$AH$113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<sst xmlns="http://schemas.openxmlformats.org/spreadsheetml/2006/main" count="1553" uniqueCount="582">
  <si>
    <t xml:space="preserve">OISI Component 3 - Organizational Capacity: scoring workbook</t>
  </si>
  <si>
    <t xml:space="preserve">Source: OISI_112_Organizational_Capacity_Verification.xlsx (112 services, Infra Finder v3) + 03_Organizational_Capacity_OISI.docx (specification).</t>
  </si>
  <si>
    <t xml:space="preserve">HOW A SCORE IS BUILT</t>
  </si>
  <si>
    <t xml:space="preserve">1. 079 technology readiness: TRL ratio (TRL5 0.56, TRL8 0.89, TRL9 1.00). 080 maintenance: Active 1, Minimal 0.5, Unknown NA.</t>
  </si>
  <si>
    <t xml:space="preserve">2. 056 age: (as-of year minus launch year), capped at 15 years and divided by the cap, so age gives a small bounded credit (5%).</t>
  </si>
  <si>
    <t xml:space="preserve">3. 058 affiliations: manual code (column H) - 1 named affiliation/support, 0 explicit "No affiliations", blank if not provided or uninformative. Count of affiliations is not rewarded. 099 SCOSS: TRUE 1 / FALSE 0.</t>
  </si>
  <si>
    <t xml:space="preserve">4. 076 SaaS: any hosted channel 1, none 0, Not applicable / Unknown NA. 077 providers: 1 if a provider list exists; 0 if 076 lists third-party vendors but no provider list; otherwise NA. 077 sits in ONE sub-component (Operational) to meet the no-double-counting rule.</t>
  </si>
  <si>
    <t xml:space="preserve">5. Sub-component = weighted mean of observed metrics, but only if &gt;= 50% of its applicable weight is observed. Component = 100 x weighted mean of available sub-components (Maturity 50, Institutional 30, Operational 20).</t>
  </si>
  <si>
    <t xml:space="preserve">6. Published only if completeness (observed / applicable weight) &gt;= 70% and at least 2 sub-components exist. "Sub-components used" shows each repo's basis (M, I, O). RESULT: 109 of 112 repos (97%) get a score (v1 spec design: 85). Withheld: Europe PMC, OpenEdition and ROR, which lack enough observed data across sub-components. Set Parameters!B37 = 1 to publish Maturity-only scores anyway.</t>
  </si>
  <si>
    <t xml:space="preserve">DECISIONS YOU SHOULD CONFIRM BEFORE PUBLISHING</t>
  </si>
  <si>
    <t xml:space="preserve">A. 077 placement. Spec lists 077 in both Institutional Support (10%) and Operational Capacity (10%) and requires one. I kept it in Operational. Parameters!F12 switches placement (rho 0.96 if moved).</t>
  </si>
  <si>
    <t xml:space="preserve">E. SPEC AMENDMENT - new metric 051 institutional host (10 pts, Institutional Support). Your spec lists business form as descriptive only. I scored it because it is the most complete (106/112 usable) variable describing institutional backing: non-profit or fiscal sponsorship 1, commercial 0.5, volunteer community 0, Other NA. 058 drops from 15 to 10 pts. Set Parameters!H10 = 0 to return to the original spec; Sensitivity compares both (rho 0.81).</t>
  </si>
  <si>
    <t xml:space="preserve">B. The 50% sub-component coverage rule is still in force but now rarely binds, because 051 gives every repo an observable Institutional metric.</t>
  </si>
  <si>
    <t xml:space="preserve">C. Blank 058 stays NA (explicit absence exists in the field). Blank 077 is NA unless 076 indicates a third-party ecosystem.</t>
  </si>
  <si>
    <t xml:space="preserve">D. Coding choices that are judgement calls: Minimally Maintained = 0.5, TRL ratio spacing, age cap 15, and the 058 manual coding (10 explicit "none", 1 "See website" left uncoded, 1 long entry mentioning IIPC membership coded 1).</t>
  </si>
  <si>
    <t xml:space="preserve">KNOWN LIMITATIONS</t>
  </si>
  <si>
    <t xml:space="preserve">- 079 (20%) and 080 (25%) together carry 45% of the nominal weight but 95% and 97% of repos sit in the top category, so they barely separate repos. The component mostly ranks repos by age, affiliations, SCOSS and provider ecosystem. Scores are compressed high (many repos at or near 100).</t>
  </si>
  <si>
    <t xml:space="preserve">- Dates are year-only (all 1 January): age is accurate to the year at best. Staffing (054/055) and the descriptive variables are excluded from the score per the spec.</t>
  </si>
  <si>
    <t xml:space="preserve">- Remaining coverage limit: 058 affiliations exist for only 59 repos and 076/077 are applicable to 63 / about 35, so Operational is scored for 63 repos. Report each repo's basis (M/I/O) with its score.</t>
  </si>
  <si>
    <t xml:space="preserve">- verification_status / verification_notes are empty, so every value is self-reported Infra Finder data, not independently verified.</t>
  </si>
  <si>
    <t xml:space="preserve">OISI Component 3 - Organizational Capacity: scoring parameters</t>
  </si>
  <si>
    <t xml:space="preserve">Blue = editable input. Every score on the "Scores" sheet recalculates from these cells.</t>
  </si>
  <si>
    <t xml:space="preserve">Category label</t>
  </si>
  <si>
    <t xml:space="preserve">Score (0-1)</t>
  </si>
  <si>
    <t xml:space="preserve">Variable / rationale</t>
  </si>
  <si>
    <t xml:space="preserve">Variable</t>
  </si>
  <si>
    <t xml:space="preserve">Sub-component</t>
  </si>
  <si>
    <t xml:space="preserve">Weight (pts of 100)</t>
  </si>
  <si>
    <t xml:space="preserve">Column in data? (1/0)</t>
  </si>
  <si>
    <t xml:space="preserve">Effective weight</t>
  </si>
  <si>
    <t xml:space="preserve">Justification</t>
  </si>
  <si>
    <t xml:space="preserve">Actual system proven in operational environment</t>
  </si>
  <si>
    <t xml:space="preserve">079: TRL 9</t>
  </si>
  <si>
    <t xml:space="preserve">079_technology_readiness</t>
  </si>
  <si>
    <t xml:space="preserve">Maturity</t>
  </si>
  <si>
    <t xml:space="preserve">Core. 95% of repos are at the top category: near-constant (see Diagnostics).</t>
  </si>
  <si>
    <t xml:space="preserve">System complete and qualified</t>
  </si>
  <si>
    <t xml:space="preserve">079: TRL 8</t>
  </si>
  <si>
    <t xml:space="preserve">080_maintenance_status</t>
  </si>
  <si>
    <t xml:space="preserve">Core. 97% Actively Maintained: near-constant. Unknown = NA.</t>
  </si>
  <si>
    <t xml:space="preserve">Technology validated in relevant environment</t>
  </si>
  <si>
    <t xml:space="preserve">079: TRL 5 (ratio TRL/9 keeps the ordinal spacing)</t>
  </si>
  <si>
    <t xml:space="preserve">056_launch_date</t>
  </si>
  <si>
    <t xml:space="preserve">Age normalised and capped (Settings) so old age cannot dominate. Year-only precision.</t>
  </si>
  <si>
    <t xml:space="preserve">Actively Maintained</t>
  </si>
  <si>
    <t xml:space="preserve">080</t>
  </si>
  <si>
    <t xml:space="preserve">058_affiliations</t>
  </si>
  <si>
    <t xml:space="preserve">Institutional</t>
  </si>
  <si>
    <t xml:space="preserve">Presence of a named affiliation (manual code, column H); number of affiliations is NOT rewarded.</t>
  </si>
  <si>
    <t xml:space="preserve">Minimally Maintained</t>
  </si>
  <si>
    <t xml:space="preserve">080: intermediate score (spec); value is a judgement</t>
  </si>
  <si>
    <t xml:space="preserve">099_scoss</t>
  </si>
  <si>
    <t xml:space="preserve">SCOSS TRUE=1, FALSE=0. Only 7 repos TRUE.</t>
  </si>
  <si>
    <t xml:space="preserve">TRUE</t>
  </si>
  <si>
    <t xml:space="preserve">099 SCOSS participation</t>
  </si>
  <si>
    <t xml:space="preserve">051_business_form</t>
  </si>
  <si>
    <t xml:space="preserve">NEW (amends spec): institutional host = non-profit / fiscal sponsorship 1, commercial 0.5, volunteer 0, Other NA. 95% coverage (106/112; Other = NA), fixes the Institutional gap left by sparse 058.</t>
  </si>
  <si>
    <t xml:space="preserve">FALSE</t>
  </si>
  <si>
    <t xml:space="preserve">099 no participation</t>
  </si>
  <si>
    <t xml:space="preserve">076_saas_options</t>
  </si>
  <si>
    <t xml:space="preserve">Operational</t>
  </si>
  <si>
    <t xml:space="preserve">Any hosted/SaaS channel = 1; none = 0; Not applicable / Unknown = NA.</t>
  </si>
  <si>
    <t xml:space="preserve">No services available</t>
  </si>
  <si>
    <t xml:space="preserve">076</t>
  </si>
  <si>
    <t xml:space="preserve">077_registered_service_providers</t>
  </si>
  <si>
    <t xml:space="preserve">Single placement (spec requires no double counting). Operational: provider ecosystem is a service-delivery feature. Change here to test Institutional.</t>
  </si>
  <si>
    <t xml:space="preserve">Through solution provider only</t>
  </si>
  <si>
    <t xml:space="preserve">076: availability scored, not provider type</t>
  </si>
  <si>
    <t xml:space="preserve">Through solution provider or third party vendor</t>
  </si>
  <si>
    <t xml:space="preserve">Weight</t>
  </si>
  <si>
    <t xml:space="preserve">Through third party vendor only</t>
  </si>
  <si>
    <t xml:space="preserve">Unknown</t>
  </si>
  <si>
    <t xml:space="preserve">NA</t>
  </si>
  <si>
    <t xml:space="preserve">missing</t>
  </si>
  <si>
    <t xml:space="preserve">Not applicable</t>
  </si>
  <si>
    <t xml:space="preserve">missing / structurally not applicable</t>
  </si>
  <si>
    <t xml:space="preserve">Non-profit organization</t>
  </si>
  <si>
    <t xml:space="preserve">051 institutional host: formal non-profit</t>
  </si>
  <si>
    <t xml:space="preserve">Check: sum</t>
  </si>
  <si>
    <t xml:space="preserve">Fiscal sponsorship (academic institution)</t>
  </si>
  <si>
    <t xml:space="preserve">051: hosted by an academic institution</t>
  </si>
  <si>
    <t xml:space="preserve">Fiscal sponsorship (non-profit)</t>
  </si>
  <si>
    <t xml:space="preserve">051: hosted by a non-profit</t>
  </si>
  <si>
    <t xml:space="preserve">Fiscal sponsorship (non-profit) | Non-profit organization</t>
  </si>
  <si>
    <t xml:space="preserve">051</t>
  </si>
  <si>
    <t xml:space="preserve">Commercial (for-profit)</t>
  </si>
  <si>
    <t xml:space="preserve">051: organisational backing, but not public/institutional host (judgement)</t>
  </si>
  <si>
    <t xml:space="preserve">Volunteer community</t>
  </si>
  <si>
    <t xml:space="preserve">051: no legal/institutional host</t>
  </si>
  <si>
    <t xml:space="preserve">Third-party service categories (077 applicable when 076 is one of these)</t>
  </si>
  <si>
    <t xml:space="preserve">Settings</t>
  </si>
  <si>
    <t xml:space="preserve">As-of year for infrastructure age</t>
  </si>
  <si>
    <t xml:space="preserve">Age cap (years): full credit at or above this age</t>
  </si>
  <si>
    <t xml:space="preserve">Blank 058_affiliations scored as (0 or NA)</t>
  </si>
  <si>
    <t xml:space="preserve">Minimum completeness to publish a score</t>
  </si>
  <si>
    <t xml:space="preserve">Minimum share of a sub-component's applicable weight that must be observed</t>
  </si>
  <si>
    <t xml:space="preserve">Minimum number of sub-components needed</t>
  </si>
  <si>
    <t xml:space="preserve">Design notes. (1) Blank 058 stays NA (not 0) because the field has an explicit absence value ("No affiliations", 10 repos): blank therefore means not provided. This differs from the Governance component, where the blank-as-absent rule was used because no explicit absence value existed. (2) A sub-component is scored only if &gt;= 50% of its applicable weight is observed (prevents scoring a sub-component on SCOSS alone). (3) 077 is scored 1 if a provider list exists; 0 if third-party vendors are listed in 076 but no provider list is given; NA otherwise (where no third-party ecosystem is expected).</t>
  </si>
  <si>
    <t xml:space="preserve">Service</t>
  </si>
  <si>
    <t xml:space="preserve">Provider</t>
  </si>
  <si>
    <t xml:space="preserve">Solution category</t>
  </si>
  <si>
    <t xml:space="preserve">079 Technology readiness</t>
  </si>
  <si>
    <t xml:space="preserve">080 Maintenance status</t>
  </si>
  <si>
    <t xml:space="preserve">056 Launch date</t>
  </si>
  <si>
    <t xml:space="preserve">058 Affiliations (text)</t>
  </si>
  <si>
    <t xml:space="preserve">058 manual code (1 named / 0 none / blank n.a.)</t>
  </si>
  <si>
    <t xml:space="preserve">099 SCOSS</t>
  </si>
  <si>
    <t xml:space="preserve">076 SaaS options</t>
  </si>
  <si>
    <t xml:space="preserve">077 Registered service providers</t>
  </si>
  <si>
    <t xml:space="preserve">051 Business form (institutional host, scored)</t>
  </si>
  <si>
    <t xml:space="preserve">061 Primary funding (descriptive)</t>
  </si>
  <si>
    <t xml:space="preserve">054 Staffing FT (descriptive)</t>
  </si>
  <si>
    <t xml:space="preserve">055 Staffing volunteer (descriptive)</t>
  </si>
  <si>
    <t xml:space="preserve">s079</t>
  </si>
  <si>
    <t xml:space="preserve">s080</t>
  </si>
  <si>
    <t xml:space="preserve">s056</t>
  </si>
  <si>
    <t xml:space="preserve">s058</t>
  </si>
  <si>
    <t xml:space="preserve">s099</t>
  </si>
  <si>
    <t xml:space="preserve">s051</t>
  </si>
  <si>
    <t xml:space="preserve">s076</t>
  </si>
  <si>
    <t xml:space="preserve">s077</t>
  </si>
  <si>
    <t xml:space="preserve">app076</t>
  </si>
  <si>
    <t xml:space="preserve">app077</t>
  </si>
  <si>
    <t xml:space="preserve">Maturity (0-1)</t>
  </si>
  <si>
    <t xml:space="preserve">Institutional (0-1)</t>
  </si>
  <si>
    <t xml:space="preserve">Operational (0-1)</t>
  </si>
  <si>
    <t xml:space="preserve">Weight observed</t>
  </si>
  <si>
    <t xml:space="preserve">Weight applicable</t>
  </si>
  <si>
    <t xml:space="preserve">Completeness</t>
  </si>
  <si>
    <t xml:space="preserve">Sub-components used</t>
  </si>
  <si>
    <t xml:space="preserve">Org capacity score (0-100)</t>
  </si>
  <si>
    <t xml:space="preserve">Rank</t>
  </si>
  <si>
    <t xml:space="preserve">2i2c</t>
  </si>
  <si>
    <t xml:space="preserve">Code for Science and Society</t>
  </si>
  <si>
    <t xml:space="preserve">Authoring tool</t>
  </si>
  <si>
    <t xml:space="preserve">2020-01-01</t>
  </si>
  <si>
    <t xml:space="preserve">Contributions</t>
  </si>
  <si>
    <t xml:space="preserve">Academic Preservation Trust (APTrust)</t>
  </si>
  <si>
    <t xml:space="preserve">Digital preservation service</t>
  </si>
  <si>
    <t xml:space="preserve">2014-01-01</t>
  </si>
  <si>
    <t xml:space="preserve">University of Virginia</t>
  </si>
  <si>
    <t xml:space="preserve">Program service revenue</t>
  </si>
  <si>
    <t xml:space="preserve">1-5</t>
  </si>
  <si>
    <t xml:space="preserve">AfricArXiv</t>
  </si>
  <si>
    <t xml:space="preserve">UbuntuNet Alliance</t>
  </si>
  <si>
    <t xml:space="preserve">Repository service</t>
  </si>
  <si>
    <t xml:space="preserve">2018-01-01</t>
  </si>
  <si>
    <t xml:space="preserve">Access 2 Perspectives coordinates AfricArXiv’s operations. This includes managing day-to-day activities, overseeing submission processes, ensuring quality control, and facilitating the integration of AfricArXiv with other scholarly services</t>
  </si>
  <si>
    <t xml:space="preserve">Arches Heritage Data Management Platform</t>
  </si>
  <si>
    <t xml:space="preserve">Getty Conservation Institute (GCI)</t>
  </si>
  <si>
    <t xml:space="preserve">Data management planning tool or service</t>
  </si>
  <si>
    <t xml:space="preserve">2013-01-01</t>
  </si>
  <si>
    <t xml:space="preserve">Getty Conservation Institute
Farallon Geographics</t>
  </si>
  <si>
    <t xml:space="preserve">https://www.archesproject.org/service-providers/</t>
  </si>
  <si>
    <t xml:space="preserve">Archipelago Commons</t>
  </si>
  <si>
    <t xml:space="preserve">Metropolitan New York Library Council</t>
  </si>
  <si>
    <t xml:space="preserve">Digital library, collection or exhibit platform | Repository software</t>
  </si>
  <si>
    <t xml:space="preserve">Other</t>
  </si>
  <si>
    <t xml:space="preserve">Archival Resource Key</t>
  </si>
  <si>
    <t xml:space="preserve">ARK Alliance</t>
  </si>
  <si>
    <t xml:space="preserve">Standard, specification or protocol</t>
  </si>
  <si>
    <t xml:space="preserve">2001-01-01</t>
  </si>
  <si>
    <t xml:space="preserve">Archivematica</t>
  </si>
  <si>
    <t xml:space="preserve">Artefactual</t>
  </si>
  <si>
    <t xml:space="preserve">Digital preservation system</t>
  </si>
  <si>
    <t xml:space="preserve">2009-01-01</t>
  </si>
  <si>
    <t xml:space="preserve">No Affiliations</t>
  </si>
  <si>
    <t xml:space="preserve">https://www.artefactual.com/pricing </t>
  </si>
  <si>
    <t xml:space="preserve">More than 20</t>
  </si>
  <si>
    <t xml:space="preserve">ArchivesSpace</t>
  </si>
  <si>
    <t xml:space="preserve">Archive information management system | Discovery system</t>
  </si>
  <si>
    <t xml:space="preserve">New York University and the University of California San Diego are the founding partners and have permanent seats on the Board; Lyrasis is the organizational home</t>
  </si>
  <si>
    <t xml:space="preserve">&lt;a href="https://archivesspace.org/service-providers" target="_blank"&gt;Service provider list&lt;/a&gt;</t>
  </si>
  <si>
    <t xml:space="preserve">6-10</t>
  </si>
  <si>
    <t xml:space="preserve">ARGOS</t>
  </si>
  <si>
    <t xml:space="preserve">OpenAIRE</t>
  </si>
  <si>
    <t xml:space="preserve">Athena Research Center (ARC)
Communication &amp; Information Technologies Experts (CITE)</t>
  </si>
  <si>
    <t xml:space="preserve">arXiv</t>
  </si>
  <si>
    <t xml:space="preserve">Cornell University</t>
  </si>
  <si>
    <t xml:space="preserve">1991-01-01</t>
  </si>
  <si>
    <t xml:space="preserve">AtoM</t>
  </si>
  <si>
    <t xml:space="preserve">Archive information management system</t>
  </si>
  <si>
    <t xml:space="preserve">2007-01-01</t>
  </si>
  <si>
    <t xml:space="preserve">No affiliations</t>
  </si>
  <si>
    <t xml:space="preserve">Avalon Media System</t>
  </si>
  <si>
    <t xml:space="preserve">Indiana University Libraries</t>
  </si>
  <si>
    <t xml:space="preserve">Biodiversity Heritage Library</t>
  </si>
  <si>
    <t xml:space="preserve">BHL Consortium</t>
  </si>
  <si>
    <t xml:space="preserve">Digital library, collection or exhibit platform | Open scholarly dataset | Repository service</t>
  </si>
  <si>
    <t xml:space="preserve">BHL’s fiscal sponsor is the Council on Library and Information Resources (CLIR).</t>
  </si>
  <si>
    <t xml:space="preserve">bioRxiv</t>
  </si>
  <si>
    <t xml:space="preserve">Cold Spring Harbor Laboratory</t>
  </si>
  <si>
    <t xml:space="preserve">BitCurator Environment</t>
  </si>
  <si>
    <t xml:space="preserve">BitCurator Consortium</t>
  </si>
  <si>
    <t xml:space="preserve">Digital preservation tool</t>
  </si>
  <si>
    <t xml:space="preserve">2012-01-01</t>
  </si>
  <si>
    <t xml:space="preserve">BitCurator Consortium is administratively hosted by the Open Library Foundation.</t>
  </si>
  <si>
    <t xml:space="preserve">0</t>
  </si>
  <si>
    <t xml:space="preserve">Blacklight</t>
  </si>
  <si>
    <t xml:space="preserve">Discovery system | Integrated Library System (ILS) or Library Services Platform (LSP)</t>
  </si>
  <si>
    <t xml:space="preserve">2006-01-01</t>
  </si>
  <si>
    <t xml:space="preserve">See website</t>
  </si>
  <si>
    <t xml:space="preserve">BrCRIS</t>
  </si>
  <si>
    <t xml:space="preserve">IBICT</t>
  </si>
  <si>
    <t xml:space="preserve">Discovery system | Research profiling system</t>
  </si>
  <si>
    <t xml:space="preserve">Browsertrix</t>
  </si>
  <si>
    <t xml:space="preserve">Webrecorder</t>
  </si>
  <si>
    <t xml:space="preserve">Digital library, collection or exhibit platform | Web archiving system</t>
  </si>
  <si>
    <t xml:space="preserve">2023-01-01</t>
  </si>
  <si>
    <t xml:space="preserve">No affiliations have direct involvement in governing or running our products except us.  We are members of the International Internet Preservation Consortium (IIPC).</t>
  </si>
  <si>
    <t xml:space="preserve">CLOCKSS</t>
  </si>
  <si>
    <t xml:space="preserve">2008-01-01</t>
  </si>
  <si>
    <t xml:space="preserve">COAR International Repository Directory (IRD)</t>
  </si>
  <si>
    <t xml:space="preserve">COAR</t>
  </si>
  <si>
    <t xml:space="preserve">Index or directory</t>
  </si>
  <si>
    <t xml:space="preserve">2025-01-01</t>
  </si>
  <si>
    <t xml:space="preserve">Responsible Organisations: https://ird.coar-repositories.org/about?lang=en</t>
  </si>
  <si>
    <t xml:space="preserve">COAR Notify</t>
  </si>
  <si>
    <t xml:space="preserve">2021-01-01</t>
  </si>
  <si>
    <t xml:space="preserve">No affiliations.</t>
  </si>
  <si>
    <t xml:space="preserve">CollectiveAccess</t>
  </si>
  <si>
    <t xml:space="preserve">Whirl-i-Gig</t>
  </si>
  <si>
    <t xml:space="preserve">Archive information management system | Digital asset management system | Digital library, collection or exhibit platform</t>
  </si>
  <si>
    <t xml:space="preserve">2003-01-01</t>
  </si>
  <si>
    <t xml:space="preserve">CORE</t>
  </si>
  <si>
    <t xml:space="preserve">The Open University</t>
  </si>
  <si>
    <t xml:space="preserve">Discovery system</t>
  </si>
  <si>
    <t xml:space="preserve">2010-01-01</t>
  </si>
  <si>
    <t xml:space="preserve">COUNTER Code of Practice</t>
  </si>
  <si>
    <t xml:space="preserve">COUNTER Metrics</t>
  </si>
  <si>
    <t xml:space="preserve">Creative Commons Licenses</t>
  </si>
  <si>
    <t xml:space="preserve">Creative Commons</t>
  </si>
  <si>
    <t xml:space="preserve">Crossref Metadata Retrieval</t>
  </si>
  <si>
    <t xml:space="preserve">Crossref</t>
  </si>
  <si>
    <t xml:space="preserve">Open scholarly dataset</t>
  </si>
  <si>
    <t xml:space="preserve">2000-01-01</t>
  </si>
  <si>
    <t xml:space="preserve">D4Science Infrastructure</t>
  </si>
  <si>
    <t xml:space="preserve">National Research Council of Italy</t>
  </si>
  <si>
    <t xml:space="preserve">Computing framework | Informal scholarly communications | Repository service</t>
  </si>
  <si>
    <t xml:space="preserve">2004-01-01</t>
  </si>
  <si>
    <t xml:space="preserve">D4Science is managed by the Italian National Research Council (CNR). Its headquarters are hosted by CNR's Institute of Information Science and Technologies "A. Faedo" (CNR-ISTI) in Pisa, Tuscany, Italy.</t>
  </si>
  <si>
    <t xml:space="preserve">DART (Digital Archivist's Resource Tool)</t>
  </si>
  <si>
    <t xml:space="preserve">Database Information System</t>
  </si>
  <si>
    <t xml:space="preserve">University Library of Regensburg</t>
  </si>
  <si>
    <t xml:space="preserve">Discovery system | Index or directory</t>
  </si>
  <si>
    <t xml:space="preserve">2002-01-01</t>
  </si>
  <si>
    <t xml:space="preserve">DBIS is operated by the University Library of Regensburg.</t>
  </si>
  <si>
    <t xml:space="preserve">Data Citation Corpus</t>
  </si>
  <si>
    <t xml:space="preserve">Make Data Count</t>
  </si>
  <si>
    <t xml:space="preserve">Discovery system | Open scholarly dataset</t>
  </si>
  <si>
    <t xml:space="preserve">2024-01-01</t>
  </si>
  <si>
    <t xml:space="preserve">DataCite leads the development of the Data Citation Corpus as part of Make Data Count activities.</t>
  </si>
  <si>
    <t xml:space="preserve">11-20</t>
  </si>
  <si>
    <t xml:space="preserve">DataCite</t>
  </si>
  <si>
    <t xml:space="preserve">Discovery system | Persistent identifier service</t>
  </si>
  <si>
    <t xml:space="preserve">Data Stewardship Wizard</t>
  </si>
  <si>
    <t xml:space="preserve">DSW Team</t>
  </si>
  <si>
    <t xml:space="preserve">Czech Technical University in Prague / ELIXIR-CZ
Codevence Solutions</t>
  </si>
  <si>
    <t xml:space="preserve">https://ds-wizard.org/get-started#providers</t>
  </si>
  <si>
    <t xml:space="preserve">Dataverse</t>
  </si>
  <si>
    <t xml:space="preserve">Harvard University Institute for Quantitative Social Science (IQSS)</t>
  </si>
  <si>
    <t xml:space="preserve">Repository software</t>
  </si>
  <si>
    <t xml:space="preserve">DLCM Backend</t>
  </si>
  <si>
    <t xml:space="preserve">DLCM Technology</t>
  </si>
  <si>
    <t xml:space="preserve">Archive information management system | Digital preservation system</t>
  </si>
  <si>
    <t xml:space="preserve">2017-01-01</t>
  </si>
  <si>
    <t xml:space="preserve">University of Geneva (https://www.unige.ch/)
HEG, HES-SO (https://www.hesge.ch/heg/en)
UNIFR (https://www.unifr.ch/home/en/)
BFH (https://www.bfh.ch/en/)
OLOS (https://olos.swiss/)</t>
  </si>
  <si>
    <t xml:space="preserve">https://olos.swiss/</t>
  </si>
  <si>
    <t xml:space="preserve">DLCM Portal</t>
  </si>
  <si>
    <t xml:space="preserve">Archive information management system | Digital preservation system | Software preservation service</t>
  </si>
  <si>
    <t xml:space="preserve">University of Geneva (https://www.unige.ch/)HEG, HES-SO (https://www.hesge.ch/heg/en)UNIFR (https://www.unifr.ch/home/en/)BFH (https://www.bfh.ch/en/)OLOS (https://olos.swiss/)</t>
  </si>
  <si>
    <t xml:space="preserve">DMP Tool</t>
  </si>
  <si>
    <t xml:space="preserve">California Digital Library</t>
  </si>
  <si>
    <t xml:space="preserve">2011-01-01</t>
  </si>
  <si>
    <t xml:space="preserve">DOAJ (Directory of Open Access Journals)</t>
  </si>
  <si>
    <t xml:space="preserve">DOAJ Foundation</t>
  </si>
  <si>
    <t xml:space="preserve">Discovery system | Index or directory | Open scholarly dataset</t>
  </si>
  <si>
    <t xml:space="preserve">dokieli</t>
  </si>
  <si>
    <t xml:space="preserve">Annotations system | Authoring tool | Informal scholarly communications</t>
  </si>
  <si>
    <t xml:space="preserve">2015-01-01</t>
  </si>
  <si>
    <t xml:space="preserve">Dryad</t>
  </si>
  <si>
    <t xml:space="preserve">DSpace</t>
  </si>
  <si>
    <t xml:space="preserve">Lyrasis</t>
  </si>
  <si>
    <t xml:space="preserve">DuraCloud</t>
  </si>
  <si>
    <t xml:space="preserve">Digital preservation service | Digital preservation system | Digital preservation tool</t>
  </si>
  <si>
    <t xml:space="preserve">Episciences</t>
  </si>
  <si>
    <t xml:space="preserve">Center for Direct Scientific Communication (CCSD)</t>
  </si>
  <si>
    <t xml:space="preserve">Peer review system | Publishing system | Submissions system</t>
  </si>
  <si>
    <t xml:space="preserve">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</si>
  <si>
    <t xml:space="preserve">EPrints</t>
  </si>
  <si>
    <t xml:space="preserve">EPrints Services</t>
  </si>
  <si>
    <t xml:space="preserve">ECS Partners Ltd</t>
  </si>
  <si>
    <t xml:space="preserve">Érudit</t>
  </si>
  <si>
    <t xml:space="preserve">Discovery system | Publishing system | Repository software</t>
  </si>
  <si>
    <t xml:space="preserve">1998-01-01</t>
  </si>
  <si>
    <t xml:space="preserve">Europe PMC</t>
  </si>
  <si>
    <t xml:space="preserve">EMBL European Bioinformatics Institute (EMBL-EBI)</t>
  </si>
  <si>
    <t xml:space="preserve">Digital preservation system | Discovery system | Repository service</t>
  </si>
  <si>
    <t xml:space="preserve">FAIR Wizard</t>
  </si>
  <si>
    <t xml:space="preserve">Codevence Solution s.r.o.</t>
  </si>
  <si>
    <t xml:space="preserve">Codevence Solutions s.r.o.</t>
  </si>
  <si>
    <t xml:space="preserve">Fedora</t>
  </si>
  <si>
    <t xml:space="preserve">fido</t>
  </si>
  <si>
    <t xml:space="preserve">Open Preservation Foundation</t>
  </si>
  <si>
    <t xml:space="preserve">Fulcrum</t>
  </si>
  <si>
    <t xml:space="preserve">Michigan Publishing</t>
  </si>
  <si>
    <t xml:space="preserve">Publishing system</t>
  </si>
  <si>
    <t xml:space="preserve">Galaxy</t>
  </si>
  <si>
    <t xml:space="preserve">The Galaxy community</t>
  </si>
  <si>
    <t xml:space="preserve">Computing framework | Discovery system</t>
  </si>
  <si>
    <t xml:space="preserve">2005-01-01</t>
  </si>
  <si>
    <t xml:space="preserve">It's an open source project with many affiliations.</t>
  </si>
  <si>
    <t xml:space="preserve">GeoServer</t>
  </si>
  <si>
    <t xml:space="preserve">Open Source Geospatial Foundation</t>
  </si>
  <si>
    <t xml:space="preserve">Geospatial data tool or platform</t>
  </si>
  <si>
    <t xml:space="preserve">https://www.osgeo.org
https://www.geosolutionsgroup.com/
https://www.afrigis.co.za/
https://www.geocat.net/
https://camptocamp.com/</t>
  </si>
  <si>
    <t xml:space="preserve">https://geoserver.org/support/</t>
  </si>
  <si>
    <t xml:space="preserve">Hyku</t>
  </si>
  <si>
    <t xml:space="preserve">Samvera</t>
  </si>
  <si>
    <t xml:space="preserve">See service providers at https://samvera.org/the-community/service-providers</t>
  </si>
  <si>
    <t xml:space="preserve">Hyrax</t>
  </si>
  <si>
    <t xml:space="preserve">https://samvera.org/the-community/service-providers</t>
  </si>
  <si>
    <t xml:space="preserve">IIIF</t>
  </si>
  <si>
    <t xml:space="preserve">IIIF Consortium</t>
  </si>
  <si>
    <t xml:space="preserve">We don't formally vet or require particular levels of IIIF compliance, but we do feature community partners that we're aware of in a few different places.</t>
  </si>
  <si>
    <t xml:space="preserve">ImpactU</t>
  </si>
  <si>
    <t xml:space="preserve">Universidad de Antioquia and other Colombian universities</t>
  </si>
  <si>
    <t xml:space="preserve">Open scholarly dataset | Research profiling system</t>
  </si>
  <si>
    <t xml:space="preserve">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</si>
  <si>
    <t xml:space="preserve">International Generic Sample Number (IGSN)</t>
  </si>
  <si>
    <t xml:space="preserve">International Generic Sample Number Organization e.V.</t>
  </si>
  <si>
    <t xml:space="preserve">Persistent identifier service</t>
  </si>
  <si>
    <t xml:space="preserve">DataCite e.V.
SESAR
GFZ Data Services
Kiel University IGSN Service
Lithodat Pty Ltd
Commonwealth Scientific and Industrial Research Organisation
Institut Français de Recherche pour l'Exploitation de la Mer</t>
  </si>
  <si>
    <t xml:space="preserve">https://ev.igsn.org/resources/igsn-agents-and-registration</t>
  </si>
  <si>
    <t xml:space="preserve">InvenioRDM</t>
  </si>
  <si>
    <t xml:space="preserve">CERN</t>
  </si>
  <si>
    <t xml:space="preserve">iRODS</t>
  </si>
  <si>
    <t xml:space="preserve">Renaissance Computing Institute (RENCI)</t>
  </si>
  <si>
    <t xml:space="preserve">Data management planning tool or service | Digital preservation system | Discovery system</t>
  </si>
  <si>
    <t xml:space="preserve">Executive Board Members (Premier Level)</t>
  </si>
  <si>
    <t xml:space="preserve">https://irods.org/general-support/</t>
  </si>
  <si>
    <t xml:space="preserve">Islandora</t>
  </si>
  <si>
    <t xml:space="preserve">Islandora Foundation</t>
  </si>
  <si>
    <t xml:space="preserve">Authoring tool | Digital asset management system</t>
  </si>
  <si>
    <t xml:space="preserve">Janeway</t>
  </si>
  <si>
    <t xml:space="preserve">Open Library of Humanities</t>
  </si>
  <si>
    <t xml:space="preserve">JHOVE</t>
  </si>
  <si>
    <t xml:space="preserve">Computing library | Digital preservation tool</t>
  </si>
  <si>
    <t xml:space="preserve">&lt;a href="https://openpreservation.org/membership/meet-our-members/" target="_blank"&gt;OPF Membership&lt;/a&gt;</t>
  </si>
  <si>
    <t xml:space="preserve">LA Referencia</t>
  </si>
  <si>
    <t xml:space="preserve">Manifold</t>
  </si>
  <si>
    <t xml:space="preserve">Manifold Digital Services</t>
  </si>
  <si>
    <t xml:space="preserve">medRxiv</t>
  </si>
  <si>
    <t xml:space="preserve">2019-01-01</t>
  </si>
  <si>
    <t xml:space="preserve">Metadata Encoding and Transmission Standard (METS)</t>
  </si>
  <si>
    <t xml:space="preserve">METS Editorial Board</t>
  </si>
  <si>
    <t xml:space="preserve">Library of Congress provides hosting support for the METS schema; the METS editorial board functions as an independent community group.</t>
  </si>
  <si>
    <t xml:space="preserve">Mirador</t>
  </si>
  <si>
    <t xml:space="preserve">Project Mirador</t>
  </si>
  <si>
    <t xml:space="preserve">Annotations system | Media viewer/player</t>
  </si>
  <si>
    <t xml:space="preserve">Mukurtu CMS</t>
  </si>
  <si>
    <t xml:space="preserve">Center for Digital Scholarship and Curation</t>
  </si>
  <si>
    <t xml:space="preserve">Archive information management system | Digital asset management system</t>
  </si>
  <si>
    <t xml:space="preserve">MyCoRe</t>
  </si>
  <si>
    <t xml:space="preserve">MyCoRe Community</t>
  </si>
  <si>
    <t xml:space="preserve">Digital asset management system | Digital library, collection or exhibit platform | Repository software</t>
  </si>
  <si>
    <t xml:space="preserve"> Regional Computer Center, Hamburg University</t>
  </si>
  <si>
    <t xml:space="preserve">NumPy</t>
  </si>
  <si>
    <t xml:space="preserve">NumPy Community</t>
  </si>
  <si>
    <t xml:space="preserve">Computing library | Standard, specification or protocol</t>
  </si>
  <si>
    <t xml:space="preserve">NumFOCUS; UC Berkeley; Quansight; NVIDIA</t>
  </si>
  <si>
    <t xml:space="preserve">OA.Report</t>
  </si>
  <si>
    <t xml:space="preserve">OA.Works</t>
  </si>
  <si>
    <t xml:space="preserve">Open access or subscription management tool | Research profiling system</t>
  </si>
  <si>
    <t xml:space="preserve">Code for Science &amp; Society (fiscal sponsor of OA.Works)</t>
  </si>
  <si>
    <t xml:space="preserve">OA Switchboard</t>
  </si>
  <si>
    <t xml:space="preserve">Stichting OA Switchboard</t>
  </si>
  <si>
    <t xml:space="preserve">Open access or subscription management tool</t>
  </si>
  <si>
    <t xml:space="preserve">Omeka</t>
  </si>
  <si>
    <t xml:space="preserve">Digital Scholar</t>
  </si>
  <si>
    <t xml:space="preserve">Digital library, collection or exhibit platform</t>
  </si>
  <si>
    <t xml:space="preserve">OpenAIRE Graph</t>
  </si>
  <si>
    <t xml:space="preserve">Athena Research Centre (ARC)
The National Research Council of Italy Institute of Information Science and Technologies (ISTI-CNR)
Interdisciplinary Centre for Mathematical and Computational Modelling at University of Warsaw (ICM)</t>
  </si>
  <si>
    <t xml:space="preserve">OpenAlex</t>
  </si>
  <si>
    <t xml:space="preserve">OurResearch</t>
  </si>
  <si>
    <t xml:space="preserve">OpenAPC</t>
  </si>
  <si>
    <t xml:space="preserve">Bielefeld University</t>
  </si>
  <si>
    <t xml:space="preserve">OpenAPC is located at Bielefeld University Library. The project was set up in collaboration with the DINI working group Electronic Publishing. Since 2021 it is part of OpenAIRE Nexus.</t>
  </si>
  <si>
    <t xml:space="preserve">OpenCitations</t>
  </si>
  <si>
    <t xml:space="preserve">Research Centre for Open Scholarly Metadata, University of Bologna</t>
  </si>
  <si>
    <t xml:space="preserve">Research Centre for Open Scholarly Metadata, University of Bologna 
</t>
  </si>
  <si>
    <t xml:space="preserve">openCost</t>
  </si>
  <si>
    <t xml:space="preserve">Open scholarly dataset | Standard, specification or protocol</t>
  </si>
  <si>
    <t xml:space="preserve">Bielefeld University Library, the German Electron Synchrotron DESY (Hamburg) and University Library of Regensburg</t>
  </si>
  <si>
    <t xml:space="preserve">Open Data Editor</t>
  </si>
  <si>
    <t xml:space="preserve">Open Knowledge Foundation</t>
  </si>
  <si>
    <t xml:space="preserve">Data collection or management tool</t>
  </si>
  <si>
    <t xml:space="preserve">Digital Public Goods Alliance, Open Knowledge Brazil, Open Knowledge Nepal, Escuela de Datos help disseminate the tool.</t>
  </si>
  <si>
    <t xml:space="preserve">OpenEdition</t>
  </si>
  <si>
    <t xml:space="preserve">OpenEdition Center, Aix-Marseille University, the EHESS and Avignon University</t>
  </si>
  <si>
    <t xml:space="preserve">Open Journal Systems (OJS)</t>
  </si>
  <si>
    <t xml:space="preserve">Public Knowledge Project (PKP)</t>
  </si>
  <si>
    <t xml:space="preserve">Open Monograph Press (OMP)</t>
  </si>
  <si>
    <t xml:space="preserve">Open Preprint Systems (OPS)</t>
  </si>
  <si>
    <t xml:space="preserve">Openverse</t>
  </si>
  <si>
    <t xml:space="preserve">WordPress Foundation</t>
  </si>
  <si>
    <t xml:space="preserve">Openverse is part of the WordPress open source project: https://wordpress.org/</t>
  </si>
  <si>
    <t xml:space="preserve">O Portal Brasileiro de Publicações e Dados Científicos em Acesso Aberto (The Brazilian Open Access Publications and Scientific Data Portal) (Oasisbr)</t>
  </si>
  <si>
    <t xml:space="preserve">Instituto Brasileiro de Informação em Ciência e Tecnologia (Brazilian Institute of Information in Science and Technology) (Ibict)</t>
  </si>
  <si>
    <t xml:space="preserve">OSF (Open Science Framework)</t>
  </si>
  <si>
    <t xml:space="preserve">Center for Open Science, Inc.</t>
  </si>
  <si>
    <t xml:space="preserve">Repository service | Repository software</t>
  </si>
  <si>
    <t xml:space="preserve">OSF is a centrally hosted service on GCP and we offer hosted solutions as a service provider for communities, funders, and institutions.</t>
  </si>
  <si>
    <t xml:space="preserve">Oxford Common File Layout</t>
  </si>
  <si>
    <t xml:space="preserve">Oxford Common File Layout (OCFL)</t>
  </si>
  <si>
    <t xml:space="preserve">Peer Community In</t>
  </si>
  <si>
    <t xml:space="preserve">PCI, Peer Community In</t>
  </si>
  <si>
    <t xml:space="preserve">Peer review system</t>
  </si>
  <si>
    <t xml:space="preserve">2016-01-01</t>
  </si>
  <si>
    <t xml:space="preserve">PKP Preservation Network</t>
  </si>
  <si>
    <t xml:space="preserve">See OJS for affiliations.</t>
  </si>
  <si>
    <t xml:space="preserve">PREreview</t>
  </si>
  <si>
    <t xml:space="preserve">Discovery system | Peer review system</t>
  </si>
  <si>
    <t xml:space="preserve">Contributions | Program service revenue</t>
  </si>
  <si>
    <t xml:space="preserve">Pressbooks</t>
  </si>
  <si>
    <t xml:space="preserve">Book Oven, Inc.</t>
  </si>
  <si>
    <t xml:space="preserve">Public Access Submission System</t>
  </si>
  <si>
    <t xml:space="preserve">Eclipse Foundation</t>
  </si>
  <si>
    <t xml:space="preserve">Submissions system</t>
  </si>
  <si>
    <t xml:space="preserve">Public Utility Data Liberation (PUDL)</t>
  </si>
  <si>
    <t xml:space="preserve">Catalyst Cooperative</t>
  </si>
  <si>
    <t xml:space="preserve">Open scholarly dataset | Web archiving system</t>
  </si>
  <si>
    <t xml:space="preserve">RMI
GridLab</t>
  </si>
  <si>
    <t xml:space="preserve">PubPub</t>
  </si>
  <si>
    <t xml:space="preserve">Knowledge Futures</t>
  </si>
  <si>
    <t xml:space="preserve">Pundit</t>
  </si>
  <si>
    <t xml:space="preserve">Net7 Srl</t>
  </si>
  <si>
    <t xml:space="preserve">Annotations system</t>
  </si>
  <si>
    <t xml:space="preserve">pyOpenSci</t>
  </si>
  <si>
    <t xml:space="preserve">Community Initiatives</t>
  </si>
  <si>
    <t xml:space="preserve">Research software community</t>
  </si>
  <si>
    <t xml:space="preserve">Community Initiatives is our Fiscal sponsor</t>
  </si>
  <si>
    <t xml:space="preserve">Renku</t>
  </si>
  <si>
    <t xml:space="preserve">Swiss Data Science Center</t>
  </si>
  <si>
    <t xml:space="preserve">Data management planning tool or service | Discovery system | Research software community</t>
  </si>
  <si>
    <t xml:space="preserve">The Renku platform at renkulab.io (“Renku”) is managed jointly by the Ecole Polytechnique Fédérale de Lausanne (« EPFL ») and the Eidgenössische Technische Hochschule Zürich (« ETHZ »), Rämistrasse 101, 8092 Zürich, Switzerland.</t>
  </si>
  <si>
    <t xml:space="preserve">RePEc</t>
  </si>
  <si>
    <t xml:space="preserve">1997-01-01</t>
  </si>
  <si>
    <t xml:space="preserve">Since 2010‒10‒01, RePEc has been an independent project of the Open Library Society.</t>
  </si>
  <si>
    <t xml:space="preserve">Research Organization Registry (ROR)</t>
  </si>
  <si>
    <t xml:space="preserve">California Digital Library, Crossref, DataCite</t>
  </si>
  <si>
    <t xml:space="preserve">Rogue Scholar</t>
  </si>
  <si>
    <t xml:space="preserve">The Rogue Scholar</t>
  </si>
  <si>
    <t xml:space="preserve">Digital preservation system | Discovery system</t>
  </si>
  <si>
    <t xml:space="preserve">RSpace</t>
  </si>
  <si>
    <t xml:space="preserve">Research Innovations Ltd (trading as Research Space)</t>
  </si>
  <si>
    <t xml:space="preserve">Sciety</t>
  </si>
  <si>
    <t xml:space="preserve">eLife</t>
  </si>
  <si>
    <t xml:space="preserve">Howard Hughes Medical Institute, Wellcome Trust</t>
  </si>
  <si>
    <t xml:space="preserve">Synapse</t>
  </si>
  <si>
    <t xml:space="preserve">Sage Bionetworks</t>
  </si>
  <si>
    <t xml:space="preserve">Annotations system | Repository service</t>
  </si>
  <si>
    <t xml:space="preserve">TagTeam</t>
  </si>
  <si>
    <t xml:space="preserve">Harvard University</t>
  </si>
  <si>
    <t xml:space="preserve">Annotations system | Discovery system</t>
  </si>
  <si>
    <t xml:space="preserve">Berkman Klein Center for Internet &amp; Society </t>
  </si>
  <si>
    <t xml:space="preserve">Thoth Open Metadata</t>
  </si>
  <si>
    <t xml:space="preserve">Digital preservation service | Format conversion tool or service | Open scholarly dataset</t>
  </si>
  <si>
    <t xml:space="preserve">Community-led Open Publication Infrastructures for Monographs (COPIM)
Copim Open Book Futures
Open Book Collective</t>
  </si>
  <si>
    <t xml:space="preserve">Tropy</t>
  </si>
  <si>
    <t xml:space="preserve">Digital asset management system</t>
  </si>
  <si>
    <t xml:space="preserve">None.</t>
  </si>
  <si>
    <t xml:space="preserve">veraPDF</t>
  </si>
  <si>
    <t xml:space="preserve">veraPDF Consortium</t>
  </si>
  <si>
    <t xml:space="preserve">Digital preservation tool | Standard, specification or protocol</t>
  </si>
  <si>
    <t xml:space="preserve">Open Preservation Foundation
PDF Association
Dual Labs</t>
  </si>
  <si>
    <t xml:space="preserve">ViPER</t>
  </si>
  <si>
    <t xml:space="preserve">Vireo ETD</t>
  </si>
  <si>
    <t xml:space="preserve">Texas Digital Library</t>
  </si>
  <si>
    <t xml:space="preserve">Publishing system | Repository software | Submissions system</t>
  </si>
  <si>
    <t xml:space="preserve">Texas Digital Library
Vireo User Group Steering Committee</t>
  </si>
  <si>
    <t xml:space="preserve">VIVO</t>
  </si>
  <si>
    <t xml:space="preserve">Discovery system | Research profiling system | Standard, specification or protocol</t>
  </si>
  <si>
    <t xml:space="preserve">Lyrasis serves as the organizational home for VIVO.
Multiple research institutions and universities across the world are involved in the governance of VIVO.</t>
  </si>
  <si>
    <t xml:space="preserve">https://vivoweb.org/service-providers/</t>
  </si>
  <si>
    <t xml:space="preserve">VuFind®</t>
  </si>
  <si>
    <t xml:space="preserve">Open Library Foundation</t>
  </si>
  <si>
    <t xml:space="preserve">Zenodo</t>
  </si>
  <si>
    <t xml:space="preserve">Zotero</t>
  </si>
  <si>
    <t xml:space="preserve">Metric diagnostics (live formulas on Scores sheet)</t>
  </si>
  <si>
    <t xml:space="preserve">Metric</t>
  </si>
  <si>
    <t xml:space="preserve">Weight (pts)</t>
  </si>
  <si>
    <t xml:space="preserve">Applicable repos</t>
  </si>
  <si>
    <t xml:space="preserve">Scored values (n)</t>
  </si>
  <si>
    <t xml:space="preserve">Coverage of applicable</t>
  </si>
  <si>
    <t xml:space="preserve">Mean</t>
  </si>
  <si>
    <t xml:space="preserve">Std dev</t>
  </si>
  <si>
    <t xml:space="preserve">% at 1.0 (ceiling)</t>
  </si>
  <si>
    <t xml:space="preserve">% at 0</t>
  </si>
  <si>
    <t xml:space="preserve">Approx. discriminating share (weight x SD)</t>
  </si>
  <si>
    <t xml:space="preserve">Reading</t>
  </si>
  <si>
    <t xml:space="preserve">Near-constant: 95% in the top category. Keeps construct validity (gate-like), contributes almost no ranking.</t>
  </si>
  <si>
    <t xml:space="preserve">Near-constant: 97% actively maintained.</t>
  </si>
  <si>
    <t xml:space="preserve">056 Infrastructure age (capped)</t>
  </si>
  <si>
    <t xml:space="preserve">Main source of spread inside Maturity.</t>
  </si>
  <si>
    <t xml:space="preserve">058 Affiliations</t>
  </si>
  <si>
    <t xml:space="preserve">Informative; 47% blank (NA).</t>
  </si>
  <si>
    <t xml:space="preserve">Rare (6%): behaves like a small bonus.</t>
  </si>
  <si>
    <t xml:space="preserve">051 Institutional host (business form)</t>
  </si>
  <si>
    <t xml:space="preserve">NEW: 95% coverage; host type carries real spread.</t>
  </si>
  <si>
    <t xml:space="preserve">076 SaaS / hosted options</t>
  </si>
  <si>
    <t xml:space="preserve">Applicable to 62 repos only.</t>
  </si>
  <si>
    <t xml:space="preserve">Applicable (third-party ecosystem) to about 33 repos.</t>
  </si>
  <si>
    <t xml:space="preserve">Component-level quality</t>
  </si>
  <si>
    <t xml:space="preserve">Repos in dataset</t>
  </si>
  <si>
    <t xml:space="preserve">Repos with a published score</t>
  </si>
  <si>
    <t xml:space="preserve">Share of dataset scored</t>
  </si>
  <si>
    <t xml:space="preserve">Mean completeness</t>
  </si>
  <si>
    <t xml:space="preserve">Mean score</t>
  </si>
  <si>
    <t xml:space="preserve">Median score</t>
  </si>
  <si>
    <t xml:space="preserve">Std dev of score</t>
  </si>
  <si>
    <t xml:space="preserve">Repos at exactly 100 (ceiling)</t>
  </si>
  <si>
    <t xml:space="preserve">Repos with Maturity sub-score</t>
  </si>
  <si>
    <t xml:space="preserve">Repos with Institutional sub-score</t>
  </si>
  <si>
    <t xml:space="preserve">Repos with Operational sub-score</t>
  </si>
  <si>
    <t xml:space="preserve">Subgroup view: business form (051, used as institutional host)</t>
  </si>
  <si>
    <t xml:space="preserve">Business form</t>
  </si>
  <si>
    <t xml:space="preserve">Repos</t>
  </si>
  <si>
    <t xml:space="preserve">Note: no per-metric evidence URL exists in this file (077 is itself a URL/text field) and verification_status / verification_notes are empty for all 112 rows: scores are self-reported, not verified.</t>
  </si>
  <si>
    <t xml:space="preserve">Spearman correlations between scored metrics (static, offline; blank where a pair has no joint observations)</t>
  </si>
  <si>
    <t xml:space="preserve">079</t>
  </si>
  <si>
    <t xml:space="preserve">056</t>
  </si>
  <si>
    <t xml:space="preserve">058</t>
  </si>
  <si>
    <t xml:space="preserve">099</t>
  </si>
  <si>
    <t xml:space="preserve">077</t>
  </si>
  <si>
    <t xml:space="preserve">Reading: all pairwise correlations are low (|rho| &lt; 0.25), so the metrics measure distinct things and none is redundant; the weakness is the near-zero variance of 079 and 080, not overlap.</t>
  </si>
  <si>
    <t xml:space="preserve">Robustness: does the ranking survive different design choices?</t>
  </si>
  <si>
    <t xml:space="preserve">Static values computed offline (Python replication of the Scores sheet, verified against the sheet baseline). Spearman rho = rank agreement with the baseline over repos scored in both.</t>
  </si>
  <si>
    <t xml:space="preserve">Variant</t>
  </si>
  <si>
    <t xml:space="preserve">Spearman rho vs baseline</t>
  </si>
  <si>
    <t xml:space="preserve">Mean abs score change (pts)</t>
  </si>
  <si>
    <t xml:space="preserve">Max abs change (pts)</t>
  </si>
  <si>
    <t xml:space="preserve">Repos moving &gt;= 10 ranks</t>
  </si>
  <si>
    <t xml:space="preserve">Interpretation</t>
  </si>
  <si>
    <t xml:space="preserve">Baseline v2 (this workbook)</t>
  </si>
  <si>
    <t xml:space="preserve">Reference</t>
  </si>
  <si>
    <t xml:space="preserve">Original spec design v1 (no 051 host metric)</t>
  </si>
  <si>
    <t xml:space="preserve">Shows what v2 changes (and v1 scores only 85 repos)</t>
  </si>
  <si>
    <t xml:space="preserve">Equal metric weights</t>
  </si>
  <si>
    <t xml:space="preserve">Weights matter: near-constant 079/080 get as much weight as informative metrics</t>
  </si>
  <si>
    <t xml:space="preserve">Equal sub-component weights (1/3 each)</t>
  </si>
  <si>
    <t xml:space="preserve">Split is not driving results</t>
  </si>
  <si>
    <t xml:space="preserve">077 placed in Institutional Support instead of Operational</t>
  </si>
  <si>
    <t xml:space="preserve">Placement choice for the double-counting rule</t>
  </si>
  <si>
    <t xml:space="preserve">077 dropped entirely</t>
  </si>
  <si>
    <t xml:space="preserve">Provider ecosystem is sparse</t>
  </si>
  <si>
    <t xml:space="preserve">079 and 080 dropped (near-constant)</t>
  </si>
  <si>
    <t xml:space="preserve">Removing near-constant ballast reweights age, host, 058</t>
  </si>
  <si>
    <t xml:space="preserve">051 host dropped (weights as v2 otherwise)</t>
  </si>
  <si>
    <t xml:space="preserve">Contribution of the new metric</t>
  </si>
  <si>
    <t xml:space="preserve">Commercial (for-profit) host scored 0 instead of 0.5</t>
  </si>
  <si>
    <t xml:space="preserve">Judgement value for 9 commercial repos</t>
  </si>
  <si>
    <t xml:space="preserve">056 (age) dropped</t>
  </si>
  <si>
    <t xml:space="preserve">Age</t>
  </si>
  <si>
    <t xml:space="preserve">099 SCOSS dropped</t>
  </si>
  <si>
    <t xml:space="preserve">Rare bonus</t>
  </si>
  <si>
    <t xml:space="preserve">Age cap 10 years</t>
  </si>
  <si>
    <t xml:space="preserve">Cap choice</t>
  </si>
  <si>
    <t xml:space="preserve">Age cap 20 years</t>
  </si>
  <si>
    <t xml:space="preserve">Blank 058 affiliations scored 0 (instead of NA)</t>
  </si>
  <si>
    <t xml:space="preserve">Missing-data rule for affiliations</t>
  </si>
  <si>
    <t xml:space="preserve">076 graded (single channel 0.75, both 1)</t>
  </si>
  <si>
    <t xml:space="preserve">Hosting-channel grading</t>
  </si>
  <si>
    <t xml:space="preserve">Minimally Maintained = 0 (binary maintenance)</t>
  </si>
  <si>
    <t xml:space="preserve">2 repos only</t>
  </si>
  <si>
    <t xml:space="preserve">No sub-component coverage rule (min share = 0)</t>
  </si>
  <si>
    <t xml:space="preserve">Coverage rule</t>
  </si>
  <si>
    <t xml:space="preserve">Monte Carlo: every metric and sub-component weight randomly scaled by 0.5x-1.5x (2,000 draws, seed 42)</t>
  </si>
  <si>
    <t xml:space="preserve">Median Spearman rho vs baseline</t>
  </si>
  <si>
    <t xml:space="preserve">5th percentile rho</t>
  </si>
  <si>
    <t xml:space="preserve">Minimum rho</t>
  </si>
  <si>
    <t xml:space="preserve">Reading: v2 is far less sensitive to missing-data decisions than the original spec design. Blank 058 = 0 now gives rho 0.90 (was 0.55), dropping the sub-component coverage rule gives 0.98 (was 0.51) and equal metric weights give 0.90 (was 0.61), because the host metric gives nearly every repo an Institutional sub-score. Random +/-50% weight perturbation gives median rho 0.969 and 5th percentile 0.866. Remaining sensitivities are the inclusion of the near-constant 079/080 (0.62 if dropped), the new host metric itself (0.79 if dropped) and 077 (0.81 if dropped). Those are the choices to justify in the paper.</t>
  </si>
</sst>
</file>

<file path=xl/styles.xml><?xml version="1.0" encoding="utf-8"?>
<styleSheet xmlns="http://schemas.openxmlformats.org/spreadsheetml/2006/main">
  <numFmts count="7">
    <numFmt numFmtId="164" formatCode="General"/>
    <numFmt numFmtId="165" formatCode="0.00"/>
    <numFmt numFmtId="166" formatCode="0%"/>
    <numFmt numFmtId="167" formatCode="0"/>
    <numFmt numFmtId="168" formatCode="General"/>
    <numFmt numFmtId="169" formatCode="0.0"/>
    <numFmt numFmtId="170" formatCode="0.0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4">
    <fill>
      <patternFill patternType="none"/>
    </fill>
    <fill>
      <patternFill patternType="gray125"/>
    </fill>
    <fill>
      <patternFill patternType="solid">
        <fgColor rgb="FFD9E1F2"/>
        <bgColor rgb="FFCCFFFF"/>
      </patternFill>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8" fontId="5" fillId="0" borderId="0" xfId="0" applyFont="true" applyBorder="false" applyAlignment="true" applyProtection="false">
      <alignment horizontal="center" vertical="bottom" textRotation="0" wrapText="false" indent="0" shrinkToFit="false"/>
      <protection locked="true" hidden="false"/>
    </xf>
    <xf numFmtId="166" fontId="5" fillId="0" borderId="0" xfId="0" applyFont="true" applyBorder="fals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63BE7B"/>
          <bgColor rgb="FF000000"/>
        </patternFill>
      </fill>
    </dxf>
    <dxf>
      <fill>
        <patternFill patternType="solid">
          <fgColor rgb="FF68C07C"/>
          <bgColor rgb="FF000000"/>
        </patternFill>
      </fill>
    </dxf>
    <dxf>
      <fill>
        <patternFill patternType="solid">
          <fgColor rgb="FF6AC07C"/>
          <bgColor rgb="FF000000"/>
        </patternFill>
      </fill>
    </dxf>
    <dxf>
      <fill>
        <patternFill patternType="solid">
          <fgColor rgb="FF83C77D"/>
          <bgColor rgb="FF000000"/>
        </patternFill>
      </fill>
    </dxf>
    <dxf>
      <fill>
        <patternFill patternType="solid">
          <fgColor rgb="FF86C97E"/>
          <bgColor rgb="FF000000"/>
        </patternFill>
      </fill>
    </dxf>
    <dxf>
      <fill>
        <patternFill patternType="solid">
          <fgColor rgb="FF88C97E"/>
          <bgColor rgb="FF000000"/>
        </patternFill>
      </fill>
    </dxf>
    <dxf>
      <fill>
        <patternFill patternType="solid">
          <fgColor rgb="FF8ACA7E"/>
          <bgColor rgb="FF000000"/>
        </patternFill>
      </fill>
    </dxf>
    <dxf>
      <fill>
        <patternFill patternType="solid">
          <fgColor rgb="FF8DCA7E"/>
          <bgColor rgb="FF000000"/>
        </patternFill>
      </fill>
    </dxf>
    <dxf>
      <fill>
        <patternFill patternType="solid">
          <fgColor rgb="FF8FCB7E"/>
          <bgColor rgb="FF000000"/>
        </patternFill>
      </fill>
    </dxf>
    <dxf>
      <fill>
        <patternFill patternType="solid">
          <fgColor rgb="FF91CC7E"/>
          <bgColor rgb="FF000000"/>
        </patternFill>
      </fill>
    </dxf>
    <dxf>
      <fill>
        <patternFill patternType="solid">
          <fgColor rgb="FF92CC7E"/>
          <bgColor rgb="FF000000"/>
        </patternFill>
      </fill>
    </dxf>
    <dxf>
      <fill>
        <patternFill patternType="solid">
          <fgColor rgb="FF97CD7E"/>
          <bgColor rgb="FF000000"/>
        </patternFill>
      </fill>
    </dxf>
    <dxf>
      <fill>
        <patternFill patternType="solid">
          <fgColor rgb="FF98CE7F"/>
          <bgColor rgb="FF000000"/>
        </patternFill>
      </fill>
    </dxf>
    <dxf>
      <fill>
        <patternFill patternType="solid">
          <fgColor rgb="FF99CE7F"/>
          <bgColor rgb="FF000000"/>
        </patternFill>
      </fill>
    </dxf>
    <dxf>
      <fill>
        <patternFill patternType="solid">
          <fgColor rgb="FF9ACE7F"/>
          <bgColor rgb="FF000000"/>
        </patternFill>
      </fill>
    </dxf>
    <dxf>
      <fill>
        <patternFill patternType="solid">
          <fgColor rgb="FF9BCF7F"/>
          <bgColor rgb="FF000000"/>
        </patternFill>
      </fill>
    </dxf>
    <dxf>
      <fill>
        <patternFill patternType="solid">
          <fgColor rgb="FF9ECF7F"/>
          <bgColor rgb="FF000000"/>
        </patternFill>
      </fill>
    </dxf>
    <dxf>
      <fill>
        <patternFill patternType="solid">
          <fgColor rgb="FFA2D17F"/>
          <bgColor rgb="FF000000"/>
        </patternFill>
      </fill>
    </dxf>
    <dxf>
      <fill>
        <patternFill patternType="solid">
          <fgColor rgb="FFA4D17F"/>
          <bgColor rgb="FF000000"/>
        </patternFill>
      </fill>
    </dxf>
    <dxf>
      <fill>
        <patternFill patternType="solid">
          <fgColor rgb="FFA7D27F"/>
          <bgColor rgb="FF000000"/>
        </patternFill>
      </fill>
    </dxf>
    <dxf>
      <fill>
        <patternFill patternType="solid">
          <fgColor rgb="FFA9D27F"/>
          <bgColor rgb="FF000000"/>
        </patternFill>
      </fill>
    </dxf>
    <dxf>
      <fill>
        <patternFill patternType="solid">
          <fgColor rgb="FFABD380"/>
          <bgColor rgb="FF000000"/>
        </patternFill>
      </fill>
    </dxf>
    <dxf>
      <fill>
        <patternFill patternType="solid">
          <fgColor rgb="FFAED480"/>
          <bgColor rgb="FF000000"/>
        </patternFill>
      </fill>
    </dxf>
    <dxf>
      <fill>
        <patternFill patternType="solid">
          <fgColor rgb="FFAFD480"/>
          <bgColor rgb="FF000000"/>
        </patternFill>
      </fill>
    </dxf>
    <dxf>
      <fill>
        <patternFill patternType="solid">
          <fgColor rgb="FFB1D580"/>
          <bgColor rgb="FF000000"/>
        </patternFill>
      </fill>
    </dxf>
    <dxf>
      <fill>
        <patternFill patternType="solid">
          <fgColor rgb="FFB3D580"/>
          <bgColor rgb="FF000000"/>
        </patternFill>
      </fill>
    </dxf>
    <dxf>
      <fill>
        <patternFill patternType="solid">
          <fgColor rgb="FFB7D680"/>
          <bgColor rgb="FF000000"/>
        </patternFill>
      </fill>
    </dxf>
    <dxf>
      <fill>
        <patternFill patternType="solid">
          <fgColor rgb="FFB8D780"/>
          <bgColor rgb="FF000000"/>
        </patternFill>
      </fill>
    </dxf>
    <dxf>
      <fill>
        <patternFill patternType="solid">
          <fgColor rgb="FFB9D780"/>
          <bgColor rgb="FF000000"/>
        </patternFill>
      </fill>
    </dxf>
    <dxf>
      <fill>
        <patternFill patternType="solid">
          <fgColor rgb="FFBAD881"/>
          <bgColor rgb="FF000000"/>
        </patternFill>
      </fill>
    </dxf>
    <dxf>
      <fill>
        <patternFill patternType="solid">
          <fgColor rgb="FFC1D981"/>
          <bgColor rgb="FF000000"/>
        </patternFill>
      </fill>
    </dxf>
    <dxf>
      <fill>
        <patternFill patternType="solid">
          <fgColor rgb="FFC3DA81"/>
          <bgColor rgb="FF000000"/>
        </patternFill>
      </fill>
    </dxf>
    <dxf>
      <fill>
        <patternFill patternType="solid">
          <fgColor rgb="FFC5DB81"/>
          <bgColor rgb="FF000000"/>
        </patternFill>
      </fill>
    </dxf>
    <dxf>
      <fill>
        <patternFill patternType="solid">
          <fgColor rgb="FFCBDC81"/>
          <bgColor rgb="FF000000"/>
        </patternFill>
      </fill>
    </dxf>
    <dxf>
      <fill>
        <patternFill patternType="solid">
          <fgColor rgb="FFCDDD82"/>
          <bgColor rgb="FF000000"/>
        </patternFill>
      </fill>
    </dxf>
    <dxf>
      <fill>
        <patternFill patternType="solid">
          <fgColor rgb="FFD8E082"/>
          <bgColor rgb="FF000000"/>
        </patternFill>
      </fill>
    </dxf>
    <dxf>
      <fill>
        <patternFill patternType="solid">
          <fgColor rgb="FFD9E182"/>
          <bgColor rgb="FF000000"/>
        </patternFill>
      </fill>
    </dxf>
    <dxf>
      <fill>
        <patternFill patternType="solid">
          <fgColor rgb="FFDBE182"/>
          <bgColor rgb="FF000000"/>
        </patternFill>
      </fill>
    </dxf>
    <dxf>
      <fill>
        <patternFill patternType="solid">
          <fgColor rgb="FFE0E283"/>
          <bgColor rgb="FF000000"/>
        </patternFill>
      </fill>
    </dxf>
    <dxf>
      <fill>
        <patternFill patternType="solid">
          <fgColor rgb="FFE2E383"/>
          <bgColor rgb="FF000000"/>
        </patternFill>
      </fill>
    </dxf>
    <dxf>
      <fill>
        <patternFill patternType="solid">
          <fgColor rgb="FFE5E483"/>
          <bgColor rgb="FF000000"/>
        </patternFill>
      </fill>
    </dxf>
    <dxf>
      <fill>
        <patternFill patternType="solid">
          <fgColor rgb="FFEBE583"/>
          <bgColor rgb="FF000000"/>
        </patternFill>
      </fill>
    </dxf>
    <dxf>
      <fill>
        <patternFill patternType="solid">
          <fgColor rgb="FFECE683"/>
          <bgColor rgb="FF000000"/>
        </patternFill>
      </fill>
    </dxf>
    <dxf>
      <fill>
        <patternFill patternType="solid">
          <fgColor rgb="FFEEE683"/>
          <bgColor rgb="FF000000"/>
        </patternFill>
      </fill>
    </dxf>
    <dxf>
      <fill>
        <patternFill patternType="solid">
          <fgColor rgb="FFF7E984"/>
          <bgColor rgb="FF000000"/>
        </patternFill>
      </fill>
    </dxf>
    <dxf>
      <fill>
        <patternFill patternType="solid">
          <fgColor rgb="FFF9806F"/>
          <bgColor rgb="FF000000"/>
        </patternFill>
      </fill>
    </dxf>
    <dxf>
      <fill>
        <patternFill patternType="solid">
          <fgColor rgb="FFFA9373"/>
          <bgColor rgb="FF000000"/>
        </patternFill>
      </fill>
    </dxf>
    <dxf>
      <fill>
        <patternFill patternType="solid">
          <fgColor rgb="FFFA9A74"/>
          <bgColor rgb="FF000000"/>
        </patternFill>
      </fill>
    </dxf>
    <dxf>
      <fill>
        <patternFill patternType="solid">
          <fgColor rgb="FFFCBF7B"/>
          <bgColor rgb="FF000000"/>
        </patternFill>
      </fill>
    </dxf>
    <dxf>
      <fill>
        <patternFill patternType="solid">
          <fgColor rgb="FFFDC67D"/>
          <bgColor rgb="FF000000"/>
        </patternFill>
      </fill>
    </dxf>
    <dxf>
      <fill>
        <patternFill patternType="solid">
          <fgColor rgb="FFFDC77D"/>
          <bgColor rgb="FF000000"/>
        </patternFill>
      </fill>
    </dxf>
    <dxf>
      <fill>
        <patternFill patternType="solid">
          <fgColor rgb="FFFED980"/>
          <bgColor rgb="FF000000"/>
        </patternFill>
      </fill>
    </dxf>
    <dxf>
      <fill>
        <patternFill patternType="solid">
          <fgColor rgb="FFFEE082"/>
          <bgColor rgb="FF000000"/>
        </patternFill>
      </fill>
    </dxf>
    <dxf>
      <fill>
        <patternFill patternType="solid">
          <fgColor rgb="FFFEE282"/>
          <bgColor rgb="FF000000"/>
        </patternFill>
      </fill>
    </dxf>
    <dxf>
      <fill>
        <patternFill patternType="solid">
          <fgColor rgb="FFFEE582"/>
          <bgColor rgb="FF000000"/>
        </patternFill>
      </fill>
    </dxf>
    <dxf>
      <fill>
        <patternFill patternType="solid">
          <fgColor rgb="FFFFEB8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27.75" hidden="false" customHeight="true" outlineLevel="0" collapsed="false">
      <c r="A7" s="2" t="s">
        <v>5</v>
      </c>
    </row>
    <row r="8" customFormat="false" ht="27.75" hidden="false" customHeight="true" outlineLevel="0" collapsed="false">
      <c r="A8" s="2" t="s">
        <v>6</v>
      </c>
    </row>
    <row r="9" customFormat="false" ht="27.75" hidden="false" customHeight="true" outlineLevel="0" collapsed="false">
      <c r="A9" s="2" t="s">
        <v>7</v>
      </c>
    </row>
    <row r="10" customFormat="false" ht="42" hidden="false" customHeight="true" outlineLevel="0" collapsed="false">
      <c r="A10" s="2" t="s">
        <v>8</v>
      </c>
    </row>
    <row r="11" customFormat="false" ht="15" hidden="false" customHeight="false" outlineLevel="0" collapsed="false">
      <c r="A11" s="2"/>
    </row>
    <row r="12" customFormat="false" ht="15" hidden="false" customHeight="false" outlineLevel="0" collapsed="false">
      <c r="A12" s="3" t="s">
        <v>9</v>
      </c>
    </row>
    <row r="13" customFormat="false" ht="27.75" hidden="false" customHeight="true" outlineLevel="0" collapsed="false">
      <c r="A13" s="2" t="s">
        <v>10</v>
      </c>
    </row>
    <row r="14" customFormat="false" ht="42" hidden="false" customHeight="tru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27.75" hidden="false" customHeight="true" outlineLevel="0" collapsed="false">
      <c r="A17" s="2" t="s">
        <v>14</v>
      </c>
    </row>
    <row r="18" customFormat="false" ht="15" hidden="false" customHeight="false" outlineLevel="0" collapsed="false">
      <c r="A18" s="2"/>
    </row>
    <row r="19" customFormat="false" ht="15" hidden="false" customHeight="false" outlineLevel="0" collapsed="false">
      <c r="A19" s="3" t="s">
        <v>15</v>
      </c>
    </row>
    <row r="20" customFormat="false" ht="27.75" hidden="false" customHeight="true" outlineLevel="0" collapsed="false">
      <c r="A20" s="2" t="s">
        <v>16</v>
      </c>
    </row>
    <row r="21" customFormat="false" ht="27.75" hidden="false" customHeight="true" outlineLevel="0" collapsed="false">
      <c r="A21" s="2" t="s">
        <v>17</v>
      </c>
    </row>
    <row r="22" customFormat="false" ht="27.75" hidden="false" customHeight="true" outlineLevel="0" collapsed="false">
      <c r="A22" s="2" t="s">
        <v>18</v>
      </c>
    </row>
    <row r="23" customFormat="false" ht="15" hidden="false" customHeight="false" outlineLevel="0" collapsed="false">
      <c r="A23"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44"/>
    <col collapsed="false" customWidth="true" hidden="false" outlineLevel="0" max="4" min="4" style="0" width="3"/>
    <col collapsed="false" customWidth="true" hidden="false" outlineLevel="0" max="5" min="5" style="0" width="34"/>
    <col collapsed="false" customWidth="true" hidden="false" outlineLevel="0" max="6" min="6" style="0" width="16"/>
    <col collapsed="false" customWidth="true" hidden="false" outlineLevel="0" max="8" min="7" style="0" width="18"/>
    <col collapsed="false" customWidth="true" hidden="false" outlineLevel="0" max="9" min="9" style="0" width="16"/>
    <col collapsed="false" customWidth="true" hidden="false" outlineLevel="0" max="10" min="10" style="0" width="80"/>
  </cols>
  <sheetData>
    <row r="1" customFormat="false" ht="15" hidden="false" customHeight="false" outlineLevel="0" collapsed="false">
      <c r="A1" s="4" t="s">
        <v>20</v>
      </c>
      <c r="B1" s="5"/>
      <c r="C1" s="5"/>
      <c r="D1" s="5"/>
      <c r="E1" s="5"/>
      <c r="F1" s="5"/>
      <c r="G1" s="5"/>
      <c r="H1" s="5"/>
      <c r="I1" s="5"/>
      <c r="J1" s="5"/>
    </row>
    <row r="2" customFormat="false" ht="15" hidden="false" customHeight="false" outlineLevel="0" collapsed="false">
      <c r="A2" s="5" t="s">
        <v>21</v>
      </c>
      <c r="B2" s="5"/>
      <c r="C2" s="5"/>
      <c r="D2" s="5"/>
      <c r="E2" s="5"/>
      <c r="F2" s="5"/>
      <c r="G2" s="5"/>
      <c r="H2" s="5"/>
      <c r="I2" s="5"/>
      <c r="J2" s="5"/>
    </row>
    <row r="3" customFormat="false" ht="15" hidden="false" customHeight="false" outlineLevel="0" collapsed="false">
      <c r="A3" s="5"/>
      <c r="B3" s="5"/>
      <c r="C3" s="5"/>
      <c r="D3" s="5"/>
      <c r="E3" s="5"/>
      <c r="F3" s="5"/>
      <c r="G3" s="5"/>
      <c r="H3" s="5"/>
      <c r="I3" s="5"/>
      <c r="J3" s="5"/>
    </row>
    <row r="4" customFormat="false" ht="23.85" hidden="false" customHeight="false" outlineLevel="0" collapsed="false">
      <c r="A4" s="6" t="s">
        <v>22</v>
      </c>
      <c r="B4" s="6" t="s">
        <v>23</v>
      </c>
      <c r="C4" s="6" t="s">
        <v>24</v>
      </c>
      <c r="D4" s="5"/>
      <c r="E4" s="6" t="s">
        <v>25</v>
      </c>
      <c r="F4" s="6" t="s">
        <v>26</v>
      </c>
      <c r="G4" s="6" t="s">
        <v>27</v>
      </c>
      <c r="H4" s="6" t="s">
        <v>28</v>
      </c>
      <c r="I4" s="6" t="s">
        <v>29</v>
      </c>
      <c r="J4" s="6" t="s">
        <v>30</v>
      </c>
    </row>
    <row r="5" customFormat="false" ht="15" hidden="false" customHeight="false" outlineLevel="0" collapsed="false">
      <c r="A5" s="5" t="s">
        <v>31</v>
      </c>
      <c r="B5" s="7" t="n">
        <f aca="false">9/9</f>
        <v>1</v>
      </c>
      <c r="C5" s="5" t="s">
        <v>32</v>
      </c>
      <c r="D5" s="5"/>
      <c r="E5" s="5" t="s">
        <v>33</v>
      </c>
      <c r="F5" s="8" t="s">
        <v>34</v>
      </c>
      <c r="G5" s="8" t="n">
        <v>20</v>
      </c>
      <c r="H5" s="8" t="n">
        <v>1</v>
      </c>
      <c r="I5" s="5" t="n">
        <f aca="false">G5*H5</f>
        <v>20</v>
      </c>
      <c r="J5" s="2" t="s">
        <v>35</v>
      </c>
    </row>
    <row r="6" customFormat="false" ht="15" hidden="false" customHeight="false" outlineLevel="0" collapsed="false">
      <c r="A6" s="5" t="s">
        <v>36</v>
      </c>
      <c r="B6" s="7" t="n">
        <f aca="false">8/9</f>
        <v>0.888888888888889</v>
      </c>
      <c r="C6" s="5" t="s">
        <v>37</v>
      </c>
      <c r="D6" s="5"/>
      <c r="E6" s="5" t="s">
        <v>38</v>
      </c>
      <c r="F6" s="8" t="s">
        <v>34</v>
      </c>
      <c r="G6" s="8" t="n">
        <v>25</v>
      </c>
      <c r="H6" s="8" t="n">
        <v>1</v>
      </c>
      <c r="I6" s="5" t="n">
        <f aca="false">G6*H6</f>
        <v>25</v>
      </c>
      <c r="J6" s="2" t="s">
        <v>39</v>
      </c>
    </row>
    <row r="7" customFormat="false" ht="15" hidden="false" customHeight="false" outlineLevel="0" collapsed="false">
      <c r="A7" s="5" t="s">
        <v>40</v>
      </c>
      <c r="B7" s="7" t="n">
        <f aca="false">5/9</f>
        <v>0.555555555555556</v>
      </c>
      <c r="C7" s="5" t="s">
        <v>41</v>
      </c>
      <c r="D7" s="5"/>
      <c r="E7" s="5" t="s">
        <v>42</v>
      </c>
      <c r="F7" s="8" t="s">
        <v>34</v>
      </c>
      <c r="G7" s="8" t="n">
        <v>5</v>
      </c>
      <c r="H7" s="8" t="n">
        <v>1</v>
      </c>
      <c r="I7" s="5" t="n">
        <f aca="false">G7*H7</f>
        <v>5</v>
      </c>
      <c r="J7" s="2" t="s">
        <v>43</v>
      </c>
    </row>
    <row r="8" customFormat="false" ht="15" hidden="false" customHeight="false" outlineLevel="0" collapsed="false">
      <c r="A8" s="5" t="s">
        <v>44</v>
      </c>
      <c r="B8" s="7" t="n">
        <v>1</v>
      </c>
      <c r="C8" s="5" t="s">
        <v>45</v>
      </c>
      <c r="D8" s="5"/>
      <c r="E8" s="5" t="s">
        <v>46</v>
      </c>
      <c r="F8" s="8" t="s">
        <v>47</v>
      </c>
      <c r="G8" s="8" t="n">
        <v>10</v>
      </c>
      <c r="H8" s="8" t="n">
        <v>1</v>
      </c>
      <c r="I8" s="5" t="n">
        <f aca="false">G8*H8</f>
        <v>10</v>
      </c>
      <c r="J8" s="2" t="s">
        <v>48</v>
      </c>
    </row>
    <row r="9" customFormat="false" ht="15" hidden="false" customHeight="false" outlineLevel="0" collapsed="false">
      <c r="A9" s="5" t="s">
        <v>49</v>
      </c>
      <c r="B9" s="7" t="n">
        <v>0.5</v>
      </c>
      <c r="C9" s="5" t="s">
        <v>50</v>
      </c>
      <c r="D9" s="5"/>
      <c r="E9" s="5" t="s">
        <v>51</v>
      </c>
      <c r="F9" s="8" t="s">
        <v>47</v>
      </c>
      <c r="G9" s="8" t="n">
        <v>5</v>
      </c>
      <c r="H9" s="8" t="n">
        <v>1</v>
      </c>
      <c r="I9" s="5" t="n">
        <f aca="false">G9*H9</f>
        <v>5</v>
      </c>
      <c r="J9" s="2" t="s">
        <v>52</v>
      </c>
    </row>
    <row r="10" customFormat="false" ht="23.85" hidden="false" customHeight="false" outlineLevel="0" collapsed="false">
      <c r="A10" s="5" t="s">
        <v>53</v>
      </c>
      <c r="B10" s="7" t="n">
        <v>1</v>
      </c>
      <c r="C10" s="5" t="s">
        <v>54</v>
      </c>
      <c r="D10" s="5"/>
      <c r="E10" s="5" t="s">
        <v>55</v>
      </c>
      <c r="F10" s="8" t="s">
        <v>47</v>
      </c>
      <c r="G10" s="8" t="n">
        <v>10</v>
      </c>
      <c r="H10" s="8" t="n">
        <v>1</v>
      </c>
      <c r="I10" s="5" t="n">
        <f aca="false">G10*H10</f>
        <v>10</v>
      </c>
      <c r="J10" s="2" t="s">
        <v>56</v>
      </c>
    </row>
    <row r="11" customFormat="false" ht="15" hidden="false" customHeight="false" outlineLevel="0" collapsed="false">
      <c r="A11" s="5" t="s">
        <v>57</v>
      </c>
      <c r="B11" s="7" t="n">
        <v>0</v>
      </c>
      <c r="C11" s="5" t="s">
        <v>58</v>
      </c>
      <c r="D11" s="5"/>
      <c r="E11" s="5" t="s">
        <v>59</v>
      </c>
      <c r="F11" s="8" t="s">
        <v>60</v>
      </c>
      <c r="G11" s="8" t="n">
        <v>10</v>
      </c>
      <c r="H11" s="8" t="n">
        <v>1</v>
      </c>
      <c r="I11" s="5" t="n">
        <f aca="false">G11*H11</f>
        <v>10</v>
      </c>
      <c r="J11" s="2" t="s">
        <v>61</v>
      </c>
    </row>
    <row r="12" customFormat="false" ht="15" hidden="false" customHeight="false" outlineLevel="0" collapsed="false">
      <c r="A12" s="5" t="s">
        <v>62</v>
      </c>
      <c r="B12" s="7" t="n">
        <v>0</v>
      </c>
      <c r="C12" s="5" t="s">
        <v>63</v>
      </c>
      <c r="D12" s="5"/>
      <c r="E12" s="5" t="s">
        <v>64</v>
      </c>
      <c r="F12" s="8" t="s">
        <v>60</v>
      </c>
      <c r="G12" s="8" t="n">
        <v>10</v>
      </c>
      <c r="H12" s="8" t="n">
        <v>1</v>
      </c>
      <c r="I12" s="5" t="n">
        <f aca="false">G12*H12</f>
        <v>10</v>
      </c>
      <c r="J12" s="5" t="s">
        <v>65</v>
      </c>
    </row>
    <row r="13" customFormat="false" ht="15" hidden="false" customHeight="false" outlineLevel="0" collapsed="false">
      <c r="A13" s="5" t="s">
        <v>66</v>
      </c>
      <c r="B13" s="7" t="n">
        <v>1</v>
      </c>
      <c r="C13" s="5" t="s">
        <v>67</v>
      </c>
      <c r="D13" s="5"/>
      <c r="E13" s="5"/>
      <c r="F13" s="5"/>
      <c r="G13" s="5"/>
      <c r="H13" s="5"/>
      <c r="I13" s="5"/>
      <c r="J13" s="5"/>
    </row>
    <row r="14" customFormat="false" ht="15" hidden="false" customHeight="false" outlineLevel="0" collapsed="false">
      <c r="A14" s="5" t="s">
        <v>68</v>
      </c>
      <c r="B14" s="7" t="n">
        <v>1</v>
      </c>
      <c r="C14" s="5" t="s">
        <v>63</v>
      </c>
      <c r="D14" s="5"/>
      <c r="E14" s="6" t="s">
        <v>26</v>
      </c>
      <c r="F14" s="6" t="s">
        <v>69</v>
      </c>
      <c r="G14" s="5"/>
      <c r="H14" s="5"/>
      <c r="I14" s="5"/>
      <c r="J14" s="5"/>
    </row>
    <row r="15" customFormat="false" ht="15" hidden="false" customHeight="false" outlineLevel="0" collapsed="false">
      <c r="A15" s="5" t="s">
        <v>70</v>
      </c>
      <c r="B15" s="7" t="n">
        <v>1</v>
      </c>
      <c r="C15" s="5" t="s">
        <v>63</v>
      </c>
      <c r="D15" s="5"/>
      <c r="E15" s="5" t="s">
        <v>34</v>
      </c>
      <c r="F15" s="9" t="n">
        <v>0.5</v>
      </c>
      <c r="G15" s="5"/>
      <c r="H15" s="5"/>
      <c r="I15" s="5"/>
      <c r="J15" s="5"/>
    </row>
    <row r="16" customFormat="false" ht="15" hidden="false" customHeight="false" outlineLevel="0" collapsed="false">
      <c r="A16" s="5" t="s">
        <v>71</v>
      </c>
      <c r="B16" s="7" t="s">
        <v>72</v>
      </c>
      <c r="C16" s="5" t="s">
        <v>73</v>
      </c>
      <c r="D16" s="5"/>
      <c r="E16" s="5" t="s">
        <v>47</v>
      </c>
      <c r="F16" s="9" t="n">
        <v>0.3</v>
      </c>
      <c r="G16" s="5"/>
      <c r="H16" s="5"/>
      <c r="I16" s="5"/>
      <c r="J16" s="5"/>
    </row>
    <row r="17" customFormat="false" ht="15" hidden="false" customHeight="false" outlineLevel="0" collapsed="false">
      <c r="A17" s="5" t="s">
        <v>74</v>
      </c>
      <c r="B17" s="7" t="s">
        <v>72</v>
      </c>
      <c r="C17" s="5" t="s">
        <v>75</v>
      </c>
      <c r="D17" s="5"/>
      <c r="E17" s="5" t="s">
        <v>60</v>
      </c>
      <c r="F17" s="9" t="n">
        <v>0.2</v>
      </c>
      <c r="G17" s="5"/>
      <c r="H17" s="5"/>
      <c r="I17" s="5"/>
      <c r="J17" s="5"/>
    </row>
    <row r="18" customFormat="false" ht="15" hidden="false" customHeight="false" outlineLevel="0" collapsed="false">
      <c r="A18" s="5" t="s">
        <v>76</v>
      </c>
      <c r="B18" s="7" t="n">
        <v>1</v>
      </c>
      <c r="C18" s="5" t="s">
        <v>77</v>
      </c>
      <c r="D18" s="5"/>
      <c r="E18" s="5" t="s">
        <v>78</v>
      </c>
      <c r="F18" s="10" t="n">
        <f aca="false">SUM(F15:F17)</f>
        <v>1</v>
      </c>
      <c r="G18" s="5"/>
      <c r="H18" s="5"/>
      <c r="I18" s="5"/>
      <c r="J18" s="5"/>
    </row>
    <row r="19" customFormat="false" ht="15" hidden="false" customHeight="false" outlineLevel="0" collapsed="false">
      <c r="A19" s="5" t="s">
        <v>79</v>
      </c>
      <c r="B19" s="7" t="n">
        <v>1</v>
      </c>
      <c r="C19" s="5" t="s">
        <v>80</v>
      </c>
      <c r="D19" s="5"/>
      <c r="E19" s="5"/>
      <c r="F19" s="5"/>
      <c r="G19" s="5"/>
      <c r="H19" s="5"/>
      <c r="I19" s="5"/>
      <c r="J19" s="5"/>
    </row>
    <row r="20" customFormat="false" ht="15" hidden="false" customHeight="false" outlineLevel="0" collapsed="false">
      <c r="A20" s="5" t="s">
        <v>81</v>
      </c>
      <c r="B20" s="7" t="n">
        <v>1</v>
      </c>
      <c r="C20" s="5" t="s">
        <v>82</v>
      </c>
      <c r="D20" s="5"/>
      <c r="E20" s="5"/>
      <c r="F20" s="5"/>
      <c r="G20" s="5"/>
      <c r="H20" s="5"/>
      <c r="I20" s="5"/>
      <c r="J20" s="5"/>
    </row>
    <row r="21" customFormat="false" ht="15" hidden="false" customHeight="false" outlineLevel="0" collapsed="false">
      <c r="A21" s="5" t="s">
        <v>83</v>
      </c>
      <c r="B21" s="7" t="n">
        <v>1</v>
      </c>
      <c r="C21" s="5" t="s">
        <v>84</v>
      </c>
      <c r="D21" s="5"/>
      <c r="E21" s="5"/>
      <c r="F21" s="5"/>
      <c r="G21" s="5"/>
      <c r="H21" s="5"/>
      <c r="I21" s="5"/>
      <c r="J21" s="5"/>
    </row>
    <row r="22" customFormat="false" ht="15" hidden="false" customHeight="false" outlineLevel="0" collapsed="false">
      <c r="A22" s="5" t="s">
        <v>85</v>
      </c>
      <c r="B22" s="7" t="n">
        <v>0.5</v>
      </c>
      <c r="C22" s="5" t="s">
        <v>86</v>
      </c>
      <c r="D22" s="5"/>
      <c r="E22" s="5"/>
      <c r="F22" s="5"/>
      <c r="G22" s="5"/>
      <c r="H22" s="5"/>
      <c r="I22" s="5"/>
      <c r="J22" s="5"/>
    </row>
    <row r="23" customFormat="false" ht="15" hidden="false" customHeight="false" outlineLevel="0" collapsed="false">
      <c r="A23" s="5" t="s">
        <v>87</v>
      </c>
      <c r="B23" s="7" t="n">
        <v>0</v>
      </c>
      <c r="C23" s="5" t="s">
        <v>88</v>
      </c>
      <c r="D23" s="5"/>
      <c r="E23" s="5"/>
      <c r="F23" s="5"/>
      <c r="G23" s="5"/>
      <c r="H23" s="5"/>
      <c r="I23" s="5"/>
      <c r="J23" s="5"/>
    </row>
    <row r="24" customFormat="false" ht="15" hidden="false" customHeight="false" outlineLevel="0" collapsed="false">
      <c r="A24" s="5"/>
      <c r="B24" s="5"/>
      <c r="C24" s="5"/>
      <c r="D24" s="5"/>
      <c r="E24" s="5"/>
      <c r="F24" s="5"/>
      <c r="G24" s="5"/>
      <c r="H24" s="5"/>
      <c r="I24" s="5"/>
      <c r="J24" s="5"/>
    </row>
    <row r="25" customFormat="false" ht="15" hidden="false" customHeight="false" outlineLevel="0" collapsed="false">
      <c r="A25" s="5"/>
      <c r="B25" s="5"/>
      <c r="C25" s="5"/>
      <c r="D25" s="5"/>
      <c r="E25" s="5"/>
      <c r="F25" s="5"/>
      <c r="G25" s="5"/>
      <c r="H25" s="5"/>
      <c r="I25" s="5"/>
      <c r="J25" s="5"/>
    </row>
    <row r="26" customFormat="false" ht="15" hidden="false" customHeight="false" outlineLevel="0" collapsed="false">
      <c r="A26" s="11" t="s">
        <v>89</v>
      </c>
      <c r="B26" s="5"/>
      <c r="C26" s="5"/>
      <c r="D26" s="5"/>
      <c r="E26" s="5"/>
      <c r="F26" s="5"/>
      <c r="G26" s="5"/>
      <c r="H26" s="5"/>
      <c r="I26" s="5"/>
      <c r="J26" s="5"/>
    </row>
    <row r="27" customFormat="false" ht="15" hidden="false" customHeight="false" outlineLevel="0" collapsed="false">
      <c r="A27" s="5" t="s">
        <v>68</v>
      </c>
      <c r="B27" s="5"/>
      <c r="C27" s="5"/>
      <c r="D27" s="5"/>
      <c r="E27" s="5"/>
      <c r="F27" s="5"/>
      <c r="G27" s="5"/>
      <c r="H27" s="5"/>
      <c r="I27" s="5"/>
      <c r="J27" s="5"/>
    </row>
    <row r="28" customFormat="false" ht="15" hidden="false" customHeight="false" outlineLevel="0" collapsed="false">
      <c r="A28" s="5" t="s">
        <v>70</v>
      </c>
      <c r="B28" s="5"/>
      <c r="C28" s="5"/>
      <c r="D28" s="5"/>
      <c r="E28" s="5"/>
      <c r="F28" s="5"/>
      <c r="G28" s="5"/>
      <c r="H28" s="5"/>
      <c r="I28" s="5"/>
      <c r="J28" s="5"/>
    </row>
    <row r="29" customFormat="false" ht="15" hidden="false" customHeight="false" outlineLevel="0" collapsed="false">
      <c r="A29" s="5"/>
      <c r="B29" s="5"/>
      <c r="C29" s="5"/>
      <c r="D29" s="5"/>
      <c r="E29" s="5"/>
      <c r="F29" s="5"/>
      <c r="G29" s="5"/>
      <c r="H29" s="5"/>
      <c r="I29" s="5"/>
      <c r="J29" s="5"/>
    </row>
    <row r="30" customFormat="false" ht="15" hidden="false" customHeight="false" outlineLevel="0" collapsed="false">
      <c r="A30" s="5"/>
      <c r="B30" s="5"/>
      <c r="C30" s="5"/>
      <c r="D30" s="5"/>
      <c r="E30" s="5"/>
      <c r="F30" s="5"/>
      <c r="G30" s="5"/>
      <c r="H30" s="5"/>
      <c r="I30" s="5"/>
      <c r="J30" s="5"/>
    </row>
    <row r="31" customFormat="false" ht="15" hidden="false" customHeight="false" outlineLevel="0" collapsed="false">
      <c r="A31" s="11" t="s">
        <v>90</v>
      </c>
      <c r="B31" s="5"/>
      <c r="C31" s="5"/>
      <c r="D31" s="5"/>
      <c r="E31" s="5"/>
      <c r="F31" s="5"/>
      <c r="G31" s="5"/>
      <c r="H31" s="5"/>
      <c r="I31" s="5"/>
      <c r="J31" s="5"/>
    </row>
    <row r="32" customFormat="false" ht="15" hidden="false" customHeight="false" outlineLevel="0" collapsed="false">
      <c r="A32" s="5" t="s">
        <v>91</v>
      </c>
      <c r="B32" s="12" t="n">
        <v>2026</v>
      </c>
      <c r="C32" s="5"/>
      <c r="D32" s="5"/>
      <c r="E32" s="5"/>
      <c r="F32" s="5"/>
      <c r="G32" s="5"/>
      <c r="H32" s="5"/>
      <c r="I32" s="5"/>
      <c r="J32" s="5"/>
    </row>
    <row r="33" customFormat="false" ht="15" hidden="false" customHeight="false" outlineLevel="0" collapsed="false">
      <c r="A33" s="5" t="s">
        <v>92</v>
      </c>
      <c r="B33" s="12" t="n">
        <v>15</v>
      </c>
      <c r="C33" s="5"/>
      <c r="D33" s="5"/>
      <c r="E33" s="5"/>
      <c r="F33" s="5"/>
      <c r="G33" s="5"/>
      <c r="H33" s="5"/>
      <c r="I33" s="5"/>
      <c r="J33" s="5"/>
    </row>
    <row r="34" customFormat="false" ht="15" hidden="false" customHeight="false" outlineLevel="0" collapsed="false">
      <c r="A34" s="5" t="s">
        <v>93</v>
      </c>
      <c r="B34" s="8" t="s">
        <v>72</v>
      </c>
      <c r="C34" s="5"/>
      <c r="D34" s="5"/>
      <c r="E34" s="5"/>
      <c r="F34" s="5"/>
      <c r="G34" s="5"/>
      <c r="H34" s="5"/>
      <c r="I34" s="5"/>
      <c r="J34" s="5"/>
    </row>
    <row r="35" customFormat="false" ht="15" hidden="false" customHeight="false" outlineLevel="0" collapsed="false">
      <c r="A35" s="5" t="s">
        <v>94</v>
      </c>
      <c r="B35" s="9" t="n">
        <v>0.7</v>
      </c>
      <c r="C35" s="5"/>
      <c r="D35" s="5"/>
      <c r="E35" s="5"/>
      <c r="F35" s="5"/>
      <c r="G35" s="5"/>
      <c r="H35" s="5"/>
      <c r="I35" s="5"/>
      <c r="J35" s="5"/>
    </row>
    <row r="36" customFormat="false" ht="15" hidden="false" customHeight="false" outlineLevel="0" collapsed="false">
      <c r="A36" s="5" t="s">
        <v>95</v>
      </c>
      <c r="B36" s="9" t="n">
        <v>0.5</v>
      </c>
      <c r="C36" s="5"/>
      <c r="D36" s="5"/>
      <c r="E36" s="5"/>
      <c r="F36" s="5"/>
      <c r="G36" s="5"/>
      <c r="H36" s="5"/>
      <c r="I36" s="5"/>
      <c r="J36" s="5"/>
    </row>
    <row r="37" customFormat="false" ht="15" hidden="false" customHeight="false" outlineLevel="0" collapsed="false">
      <c r="A37" s="5" t="s">
        <v>96</v>
      </c>
      <c r="B37" s="12" t="n">
        <v>2</v>
      </c>
      <c r="C37" s="5"/>
      <c r="D37" s="5"/>
      <c r="E37" s="5"/>
      <c r="F37" s="5"/>
      <c r="G37" s="5"/>
      <c r="H37" s="5"/>
      <c r="I37" s="5"/>
      <c r="J37" s="5"/>
    </row>
    <row r="38" customFormat="false" ht="15" hidden="false" customHeight="false" outlineLevel="0" collapsed="false">
      <c r="A38" s="5"/>
      <c r="B38" s="5"/>
      <c r="C38" s="5"/>
      <c r="D38" s="5"/>
      <c r="E38" s="5"/>
      <c r="F38" s="5"/>
      <c r="G38" s="5"/>
      <c r="H38" s="5"/>
      <c r="I38" s="5"/>
      <c r="J38" s="5"/>
    </row>
    <row r="39" customFormat="false" ht="15" hidden="false" customHeight="true" outlineLevel="0" collapsed="false">
      <c r="A39" s="13" t="s">
        <v>97</v>
      </c>
      <c r="B39" s="13"/>
      <c r="C39" s="13"/>
      <c r="D39" s="13"/>
      <c r="E39" s="13"/>
      <c r="F39" s="13"/>
      <c r="G39" s="13"/>
      <c r="H39" s="13"/>
      <c r="I39" s="13"/>
      <c r="J39" s="13"/>
    </row>
    <row r="40" customFormat="false" ht="15" hidden="false" customHeight="false" outlineLevel="0" collapsed="false">
      <c r="A40" s="13"/>
      <c r="B40" s="13"/>
      <c r="C40" s="13"/>
      <c r="D40" s="13"/>
      <c r="E40" s="13"/>
      <c r="F40" s="13"/>
      <c r="G40" s="13"/>
      <c r="H40" s="13"/>
      <c r="I40" s="13"/>
      <c r="J40" s="13"/>
    </row>
    <row r="41" customFormat="false" ht="15" hidden="false" customHeight="false" outlineLevel="0" collapsed="false">
      <c r="A41" s="13"/>
      <c r="B41" s="13"/>
      <c r="C41" s="13"/>
      <c r="D41" s="13"/>
      <c r="E41" s="13"/>
      <c r="F41" s="13"/>
      <c r="G41" s="13"/>
      <c r="H41" s="13"/>
      <c r="I41" s="13"/>
      <c r="J41" s="13"/>
    </row>
    <row r="42" customFormat="false" ht="15" hidden="false" customHeight="false" outlineLevel="0" collapsed="false">
      <c r="A42" s="13"/>
      <c r="B42" s="13"/>
      <c r="C42" s="13"/>
      <c r="D42" s="13"/>
      <c r="E42" s="13"/>
      <c r="F42" s="13"/>
      <c r="G42" s="13"/>
      <c r="H42" s="13"/>
      <c r="I42" s="13"/>
      <c r="J42" s="13"/>
    </row>
    <row r="43" customFormat="false" ht="15" hidden="false" customHeight="false" outlineLevel="0" collapsed="false">
      <c r="A43" s="13"/>
      <c r="B43" s="13"/>
      <c r="C43" s="13"/>
      <c r="D43" s="13"/>
      <c r="E43" s="13"/>
      <c r="F43" s="13"/>
      <c r="G43" s="13"/>
      <c r="H43" s="13"/>
      <c r="I43" s="13"/>
      <c r="J43" s="13"/>
    </row>
    <row r="44" customFormat="false" ht="15" hidden="false" customHeight="false" outlineLevel="0" collapsed="false">
      <c r="A44" s="13"/>
      <c r="B44" s="13"/>
      <c r="C44" s="13"/>
      <c r="D44" s="13"/>
      <c r="E44" s="13"/>
      <c r="F44" s="13"/>
      <c r="G44" s="13"/>
      <c r="H44" s="13"/>
      <c r="I44" s="13"/>
      <c r="J44" s="13"/>
    </row>
  </sheetData>
  <mergeCells count="1">
    <mergeCell ref="A39:J44"/>
  </mergeCells>
  <dataValidations count="1">
    <dataValidation allowBlank="false" errorStyle="stop" operator="between" showDropDown="false" showErrorMessage="false" showInputMessage="false" sqref="F5:F12" type="list">
      <formula1>"Maturity,Institutional,Operational"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30"/>
    <col collapsed="false" customWidth="true" hidden="false" outlineLevel="0" max="4" min="4" style="0" width="34"/>
    <col collapsed="false" customWidth="true" hidden="false" outlineLevel="0" max="5" min="5" style="0" width="22"/>
    <col collapsed="false" customWidth="true" hidden="false" outlineLevel="0" max="6" min="6" style="0" width="16"/>
    <col collapsed="false" customWidth="true" hidden="false" outlineLevel="0" max="7" min="7" style="0" width="40"/>
    <col collapsed="false" customWidth="true" hidden="false" outlineLevel="0" max="10" min="8" style="0" width="16"/>
    <col collapsed="false" customWidth="true" hidden="false" outlineLevel="0" max="11" min="11" style="0" width="36"/>
    <col collapsed="false" customWidth="true" hidden="false" outlineLevel="0" max="13" min="12" style="0" width="28"/>
    <col collapsed="false" customWidth="true" hidden="false" outlineLevel="0" max="34" min="14" style="0" width="16"/>
  </cols>
  <sheetData>
    <row r="1" customFormat="false" ht="60" hidden="false" customHeight="true" outlineLevel="0" collapsed="false">
      <c r="A1" s="14" t="s">
        <v>98</v>
      </c>
      <c r="B1" s="14" t="s">
        <v>99</v>
      </c>
      <c r="C1" s="14" t="s">
        <v>100</v>
      </c>
      <c r="D1" s="14" t="s">
        <v>101</v>
      </c>
      <c r="E1" s="14" t="s">
        <v>102</v>
      </c>
      <c r="F1" s="14" t="s">
        <v>103</v>
      </c>
      <c r="G1" s="14" t="s">
        <v>104</v>
      </c>
      <c r="H1" s="14" t="s">
        <v>105</v>
      </c>
      <c r="I1" s="14" t="s">
        <v>106</v>
      </c>
      <c r="J1" s="14" t="s">
        <v>107</v>
      </c>
      <c r="K1" s="14" t="s">
        <v>108</v>
      </c>
      <c r="L1" s="14" t="s">
        <v>109</v>
      </c>
      <c r="M1" s="14" t="s">
        <v>110</v>
      </c>
      <c r="N1" s="14" t="s">
        <v>111</v>
      </c>
      <c r="O1" s="14" t="s">
        <v>112</v>
      </c>
      <c r="P1" s="14" t="s">
        <v>113</v>
      </c>
      <c r="Q1" s="14" t="s">
        <v>114</v>
      </c>
      <c r="R1" s="14" t="s">
        <v>115</v>
      </c>
      <c r="S1" s="14" t="s">
        <v>116</v>
      </c>
      <c r="T1" s="14" t="s">
        <v>117</v>
      </c>
      <c r="U1" s="14" t="s">
        <v>118</v>
      </c>
      <c r="V1" s="14" t="s">
        <v>119</v>
      </c>
      <c r="W1" s="14" t="s">
        <v>120</v>
      </c>
      <c r="X1" s="14" t="s">
        <v>121</v>
      </c>
      <c r="Y1" s="14" t="s">
        <v>122</v>
      </c>
      <c r="Z1" s="14" t="s">
        <v>123</v>
      </c>
      <c r="AA1" s="14" t="s">
        <v>124</v>
      </c>
      <c r="AB1" s="14" t="s">
        <v>125</v>
      </c>
      <c r="AC1" s="14" t="s">
        <v>126</v>
      </c>
      <c r="AD1" s="14" t="s">
        <v>127</v>
      </c>
      <c r="AE1" s="14" t="s">
        <v>128</v>
      </c>
      <c r="AF1" s="14" t="s">
        <v>129</v>
      </c>
      <c r="AG1" s="14" t="s">
        <v>130</v>
      </c>
      <c r="AH1" s="14" t="s">
        <v>131</v>
      </c>
    </row>
    <row r="2" customFormat="false" ht="15" hidden="false" customHeight="false" outlineLevel="0" collapsed="false">
      <c r="A2" s="5" t="s">
        <v>132</v>
      </c>
      <c r="B2" s="5" t="s">
        <v>133</v>
      </c>
      <c r="C2" s="5" t="s">
        <v>134</v>
      </c>
      <c r="D2" s="5" t="s">
        <v>31</v>
      </c>
      <c r="E2" s="5" t="s">
        <v>44</v>
      </c>
      <c r="F2" s="5" t="s">
        <v>135</v>
      </c>
      <c r="G2" s="15"/>
      <c r="H2" s="8"/>
      <c r="I2" s="5" t="s">
        <v>57</v>
      </c>
      <c r="J2" s="5" t="s">
        <v>74</v>
      </c>
      <c r="K2" s="15"/>
      <c r="L2" s="5" t="s">
        <v>81</v>
      </c>
      <c r="M2" s="5" t="s">
        <v>136</v>
      </c>
      <c r="N2" s="5"/>
      <c r="O2" s="5"/>
      <c r="P2" s="16" t="n">
        <f aca="false">IFERROR(IF(ISNUMBER(INDEX(Parameters!$B$5:$B$23,MATCH(D2,Parameters!$A$5:$A$23,0))),INDEX(Parameters!$B$5:$B$23,MATCH(D2,Parameters!$A$5:$A$23,0)),""),"")</f>
        <v>1</v>
      </c>
      <c r="Q2" s="16" t="n">
        <f aca="false">IFERROR(IF(ISNUMBER(INDEX(Parameters!$B$5:$B$23,MATCH(E2,Parameters!$A$5:$A$23,0))),INDEX(Parameters!$B$5:$B$23,MATCH(E2,Parameters!$A$5:$A$23,0)),""),"")</f>
        <v>1</v>
      </c>
      <c r="R2" s="16" t="n">
        <f aca="false">IF(F2="","",IFERROR(MIN(Parameters!$B$33,MAX(0,Parameters!$B$32-VALUE(LEFT(F2,4))))/Parameters!$B$33,""))</f>
        <v>0.4</v>
      </c>
      <c r="S2" s="16" t="str">
        <f aca="false">IF(ISNUMBER(H2),H2,IF(G2="",IF(ISNUMBER(Parameters!$B$34),Parameters!$B$34,""),""))</f>
        <v/>
      </c>
      <c r="T2" s="16" t="n">
        <f aca="false">IFERROR(IF(ISNUMBER(INDEX(Parameters!$B$5:$B$23,MATCH(I2,Parameters!$A$5:$A$23,0))),INDEX(Parameters!$B$5:$B$23,MATCH(I2,Parameters!$A$5:$A$23,0)),""),"")</f>
        <v>0</v>
      </c>
      <c r="U2" s="16" t="n">
        <f aca="false">IFERROR(IF(ISNUMBER(INDEX(Parameters!$B$5:$B$23,MATCH(L2,Parameters!$A$5:$A$23,0))),INDEX(Parameters!$B$5:$B$23,MATCH(L2,Parameters!$A$5:$A$23,0)),""),"")</f>
        <v>1</v>
      </c>
      <c r="V2" s="16" t="str">
        <f aca="false">IFERROR(IF(ISNUMBER(INDEX(Parameters!$B$5:$B$23,MATCH(J2,Parameters!$A$5:$A$23,0))),INDEX(Parameters!$B$5:$B$23,MATCH(J2,Parameters!$A$5:$A$23,0)),""),"")</f>
        <v/>
      </c>
      <c r="W2" s="16" t="str">
        <f aca="false">IF(K2&lt;&gt;"",1,IF(COUNTIF(Parameters!$A$27:$A$28,J2)&gt;0,0,""))</f>
        <v/>
      </c>
      <c r="X2" s="17" t="n">
        <f aca="false">IF(J2="Not applicable",0,1)</f>
        <v>0</v>
      </c>
      <c r="Y2" s="17" t="n">
        <f aca="false">IF(OR(K2&lt;&gt;"",COUNTIF(Parameters!$A$27:$A$28,J2)&gt;0),1,0)</f>
        <v>0</v>
      </c>
      <c r="Z2"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2+(Parameters!$F$12=Parameters!$E$15)*Parameters!$I$12*Y2)=0,"",IF(AND(((Parameters!$F$5=Parameters!$E$15)*Parameters!$I$5*ISNUMBER(P2)+(Parameters!$F$6=Parameters!$E$15)*Parameters!$I$6*ISNUMBER(Q2)+(Parameters!$F$7=Parameters!$E$15)*Parameters!$I$7*ISNUMBER(R2)+(Parameters!$F$8=Parameters!$E$15)*Parameters!$I$8*ISNUMBER(S2)+(Parameters!$F$9=Parameters!$E$15)*Parameters!$I$9*ISNUMBER(T2)+(Parameters!$F$10=Parameters!$E$15)*Parameters!$I$10*ISNUMBER(U2)+(Parameters!$F$11=Parameters!$E$15)*Parameters!$I$11*ISNUMBER(V2)+(Parameters!$F$12=Parameters!$E$15)*Parameters!$I$12*ISNUMBER(W2))&gt;0,((Parameters!$F$5=Parameters!$E$15)*Parameters!$I$5*ISNUMBER(P2)+(Parameters!$F$6=Parameters!$E$15)*Parameters!$I$6*ISNUMBER(Q2)+(Parameters!$F$7=Parameters!$E$15)*Parameters!$I$7*ISNUMBER(R2)+(Parameters!$F$8=Parameters!$E$15)*Parameters!$I$8*ISNUMBER(S2)+(Parameters!$F$9=Parameters!$E$15)*Parameters!$I$9*ISNUMBER(T2)+(Parameters!$F$10=Parameters!$E$15)*Parameters!$I$10*ISNUMBER(U2)+(Parameters!$F$11=Parameters!$E$15)*Parameters!$I$11*ISNUMBER(V2)+(Parameters!$F$12=Parameters!$E$15)*Parameters!$I$12*ISNUMBER(W2))/((Parameters!$F$5=Parameters!$E$15)*Parameters!$I$5*1+(Parameters!$F$6=Parameters!$E$15)*Parameters!$I$6*1+(Parameters!$F$7=Parameters!$E$15)*Parameters!$I$7*1+(Parameters!$F$8=Parameters!$E$15)*Parameters!$I$8*1+(Parameters!$F$9=Parameters!$E$15)*Parameters!$I$9*1+(Parameters!$F$10=Parameters!$E$15)*Parameters!$I$10*1+(Parameters!$F$11=Parameters!$E$15)*Parameters!$I$11*X2+(Parameters!$F$12=Parameters!$E$15)*Parameters!$I$12*Y2)&gt;=Parameters!$B$36),((Parameters!$F$5=Parameters!$E$15)*Parameters!$I$5*N(P2)+(Parameters!$F$6=Parameters!$E$15)*Parameters!$I$6*N(Q2)+(Parameters!$F$7=Parameters!$E$15)*Parameters!$I$7*N(R2)+(Parameters!$F$8=Parameters!$E$15)*Parameters!$I$8*N(S2)+(Parameters!$F$9=Parameters!$E$15)*Parameters!$I$9*N(T2)+(Parameters!$F$10=Parameters!$E$15)*Parameters!$I$10*N(U2)+(Parameters!$F$11=Parameters!$E$15)*Parameters!$I$11*N(V2)+(Parameters!$F$12=Parameters!$E$15)*Parameters!$I$12*N(W2))/((Parameters!$F$5=Parameters!$E$15)*Parameters!$I$5*ISNUMBER(P2)+(Parameters!$F$6=Parameters!$E$15)*Parameters!$I$6*ISNUMBER(Q2)+(Parameters!$F$7=Parameters!$E$15)*Parameters!$I$7*ISNUMBER(R2)+(Parameters!$F$8=Parameters!$E$15)*Parameters!$I$8*ISNUMBER(S2)+(Parameters!$F$9=Parameters!$E$15)*Parameters!$I$9*ISNUMBER(T2)+(Parameters!$F$10=Parameters!$E$15)*Parameters!$I$10*ISNUMBER(U2)+(Parameters!$F$11=Parameters!$E$15)*Parameters!$I$11*ISNUMBER(V2)+(Parameters!$F$12=Parameters!$E$15)*Parameters!$I$12*ISNUMBER(W2)),""))</f>
        <v>0.94</v>
      </c>
      <c r="AA2"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2+(Parameters!$F$12=Parameters!$E$16)*Parameters!$I$12*Y2)=0,"",IF(AND(((Parameters!$F$5=Parameters!$E$16)*Parameters!$I$5*ISNUMBER(P2)+(Parameters!$F$6=Parameters!$E$16)*Parameters!$I$6*ISNUMBER(Q2)+(Parameters!$F$7=Parameters!$E$16)*Parameters!$I$7*ISNUMBER(R2)+(Parameters!$F$8=Parameters!$E$16)*Parameters!$I$8*ISNUMBER(S2)+(Parameters!$F$9=Parameters!$E$16)*Parameters!$I$9*ISNUMBER(T2)+(Parameters!$F$10=Parameters!$E$16)*Parameters!$I$10*ISNUMBER(U2)+(Parameters!$F$11=Parameters!$E$16)*Parameters!$I$11*ISNUMBER(V2)+(Parameters!$F$12=Parameters!$E$16)*Parameters!$I$12*ISNUMBER(W2))&gt;0,((Parameters!$F$5=Parameters!$E$16)*Parameters!$I$5*ISNUMBER(P2)+(Parameters!$F$6=Parameters!$E$16)*Parameters!$I$6*ISNUMBER(Q2)+(Parameters!$F$7=Parameters!$E$16)*Parameters!$I$7*ISNUMBER(R2)+(Parameters!$F$8=Parameters!$E$16)*Parameters!$I$8*ISNUMBER(S2)+(Parameters!$F$9=Parameters!$E$16)*Parameters!$I$9*ISNUMBER(T2)+(Parameters!$F$10=Parameters!$E$16)*Parameters!$I$10*ISNUMBER(U2)+(Parameters!$F$11=Parameters!$E$16)*Parameters!$I$11*ISNUMBER(V2)+(Parameters!$F$12=Parameters!$E$16)*Parameters!$I$12*ISNUMBER(W2))/((Parameters!$F$5=Parameters!$E$16)*Parameters!$I$5*1+(Parameters!$F$6=Parameters!$E$16)*Parameters!$I$6*1+(Parameters!$F$7=Parameters!$E$16)*Parameters!$I$7*1+(Parameters!$F$8=Parameters!$E$16)*Parameters!$I$8*1+(Parameters!$F$9=Parameters!$E$16)*Parameters!$I$9*1+(Parameters!$F$10=Parameters!$E$16)*Parameters!$I$10*1+(Parameters!$F$11=Parameters!$E$16)*Parameters!$I$11*X2+(Parameters!$F$12=Parameters!$E$16)*Parameters!$I$12*Y2)&gt;=Parameters!$B$36),((Parameters!$F$5=Parameters!$E$16)*Parameters!$I$5*N(P2)+(Parameters!$F$6=Parameters!$E$16)*Parameters!$I$6*N(Q2)+(Parameters!$F$7=Parameters!$E$16)*Parameters!$I$7*N(R2)+(Parameters!$F$8=Parameters!$E$16)*Parameters!$I$8*N(S2)+(Parameters!$F$9=Parameters!$E$16)*Parameters!$I$9*N(T2)+(Parameters!$F$10=Parameters!$E$16)*Parameters!$I$10*N(U2)+(Parameters!$F$11=Parameters!$E$16)*Parameters!$I$11*N(V2)+(Parameters!$F$12=Parameters!$E$16)*Parameters!$I$12*N(W2))/((Parameters!$F$5=Parameters!$E$16)*Parameters!$I$5*ISNUMBER(P2)+(Parameters!$F$6=Parameters!$E$16)*Parameters!$I$6*ISNUMBER(Q2)+(Parameters!$F$7=Parameters!$E$16)*Parameters!$I$7*ISNUMBER(R2)+(Parameters!$F$8=Parameters!$E$16)*Parameters!$I$8*ISNUMBER(S2)+(Parameters!$F$9=Parameters!$E$16)*Parameters!$I$9*ISNUMBER(T2)+(Parameters!$F$10=Parameters!$E$16)*Parameters!$I$10*ISNUMBER(U2)+(Parameters!$F$11=Parameters!$E$16)*Parameters!$I$11*ISNUMBER(V2)+(Parameters!$F$12=Parameters!$E$16)*Parameters!$I$12*ISNUMBER(W2)),""))</f>
        <v>0.666666666666667</v>
      </c>
      <c r="AB2"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2+(Parameters!$F$12=Parameters!$E$17)*Parameters!$I$12*Y2)=0,"",IF(AND(((Parameters!$F$5=Parameters!$E$17)*Parameters!$I$5*ISNUMBER(P2)+(Parameters!$F$6=Parameters!$E$17)*Parameters!$I$6*ISNUMBER(Q2)+(Parameters!$F$7=Parameters!$E$17)*Parameters!$I$7*ISNUMBER(R2)+(Parameters!$F$8=Parameters!$E$17)*Parameters!$I$8*ISNUMBER(S2)+(Parameters!$F$9=Parameters!$E$17)*Parameters!$I$9*ISNUMBER(T2)+(Parameters!$F$10=Parameters!$E$17)*Parameters!$I$10*ISNUMBER(U2)+(Parameters!$F$11=Parameters!$E$17)*Parameters!$I$11*ISNUMBER(V2)+(Parameters!$F$12=Parameters!$E$17)*Parameters!$I$12*ISNUMBER(W2))&gt;0,((Parameters!$F$5=Parameters!$E$17)*Parameters!$I$5*ISNUMBER(P2)+(Parameters!$F$6=Parameters!$E$17)*Parameters!$I$6*ISNUMBER(Q2)+(Parameters!$F$7=Parameters!$E$17)*Parameters!$I$7*ISNUMBER(R2)+(Parameters!$F$8=Parameters!$E$17)*Parameters!$I$8*ISNUMBER(S2)+(Parameters!$F$9=Parameters!$E$17)*Parameters!$I$9*ISNUMBER(T2)+(Parameters!$F$10=Parameters!$E$17)*Parameters!$I$10*ISNUMBER(U2)+(Parameters!$F$11=Parameters!$E$17)*Parameters!$I$11*ISNUMBER(V2)+(Parameters!$F$12=Parameters!$E$17)*Parameters!$I$12*ISNUMBER(W2))/((Parameters!$F$5=Parameters!$E$17)*Parameters!$I$5*1+(Parameters!$F$6=Parameters!$E$17)*Parameters!$I$6*1+(Parameters!$F$7=Parameters!$E$17)*Parameters!$I$7*1+(Parameters!$F$8=Parameters!$E$17)*Parameters!$I$8*1+(Parameters!$F$9=Parameters!$E$17)*Parameters!$I$9*1+(Parameters!$F$10=Parameters!$E$17)*Parameters!$I$10*1+(Parameters!$F$11=Parameters!$E$17)*Parameters!$I$11*X2+(Parameters!$F$12=Parameters!$E$17)*Parameters!$I$12*Y2)&gt;=Parameters!$B$36),((Parameters!$F$5=Parameters!$E$17)*Parameters!$I$5*N(P2)+(Parameters!$F$6=Parameters!$E$17)*Parameters!$I$6*N(Q2)+(Parameters!$F$7=Parameters!$E$17)*Parameters!$I$7*N(R2)+(Parameters!$F$8=Parameters!$E$17)*Parameters!$I$8*N(S2)+(Parameters!$F$9=Parameters!$E$17)*Parameters!$I$9*N(T2)+(Parameters!$F$10=Parameters!$E$17)*Parameters!$I$10*N(U2)+(Parameters!$F$11=Parameters!$E$17)*Parameters!$I$11*N(V2)+(Parameters!$F$12=Parameters!$E$17)*Parameters!$I$12*N(W2))/((Parameters!$F$5=Parameters!$E$17)*Parameters!$I$5*ISNUMBER(P2)+(Parameters!$F$6=Parameters!$E$17)*Parameters!$I$6*ISNUMBER(Q2)+(Parameters!$F$7=Parameters!$E$17)*Parameters!$I$7*ISNUMBER(R2)+(Parameters!$F$8=Parameters!$E$17)*Parameters!$I$8*ISNUMBER(S2)+(Parameters!$F$9=Parameters!$E$17)*Parameters!$I$9*ISNUMBER(T2)+(Parameters!$F$10=Parameters!$E$17)*Parameters!$I$10*ISNUMBER(U2)+(Parameters!$F$11=Parameters!$E$17)*Parameters!$I$11*ISNUMBER(V2)+(Parameters!$F$12=Parameters!$E$17)*Parameters!$I$12*ISNUMBER(W2)),""))</f>
        <v/>
      </c>
      <c r="AC2" s="17" t="n">
        <f aca="false">Parameters!$I$5*ISNUMBER(P2)+Parameters!$I$6*ISNUMBER(Q2)+Parameters!$I$7*ISNUMBER(R2)+Parameters!$I$8*ISNUMBER(S2)+Parameters!$I$9*ISNUMBER(T2)+Parameters!$I$10*ISNUMBER(U2)+Parameters!$I$11*ISNUMBER(V2)+Parameters!$I$12*ISNUMBER(W2)</f>
        <v>65</v>
      </c>
      <c r="AD2" s="17" t="n">
        <f aca="false">Parameters!$I$5*1+Parameters!$I$6*1+Parameters!$I$7*1+Parameters!$I$8*1+Parameters!$I$9*1+Parameters!$I$10*1+Parameters!$I$11*X2+Parameters!$I$12*Y2</f>
        <v>75</v>
      </c>
      <c r="AE2" s="18" t="n">
        <f aca="false">IF(AD2=0,"",AC2/AD2)</f>
        <v>0.866666666666667</v>
      </c>
      <c r="AF2" s="17" t="str">
        <f aca="false">IF(ISNUMBER(Z2),"M","")&amp;IF(ISNUMBER(AA2),"I","")&amp;IF(ISNUMBER(AB2),"O","")</f>
        <v>MI</v>
      </c>
      <c r="AG2" s="19" t="n">
        <f aca="false">IF(AND(ISNUMBER(AE2),ISNUMBER(Z2)+ISNUMBER(AA2)+ISNUMBER(AB2)&gt;=Parameters!$B$37),IF(AE2&gt;=Parameters!$B$35,100*(Parameters!$F$15*N(Z2)+Parameters!$F$16*N(AA2)+Parameters!$F$17*N(AB2))/(Parameters!$F$15*ISNUMBER(Z2)+Parameters!$F$16*ISNUMBER(AA2)+Parameters!$F$17*ISNUMBER(AB2)),""),"")</f>
        <v>83.75</v>
      </c>
      <c r="AH2" s="17" t="n">
        <f aca="false">IF(ISNUMBER(AG2),RANK(AG2,$AG$2:$AG$113),"")</f>
        <v>65</v>
      </c>
    </row>
    <row r="3" customFormat="false" ht="15" hidden="false" customHeight="false" outlineLevel="0" collapsed="false">
      <c r="A3" s="5" t="s">
        <v>137</v>
      </c>
      <c r="B3" s="5" t="s">
        <v>137</v>
      </c>
      <c r="C3" s="5" t="s">
        <v>138</v>
      </c>
      <c r="D3" s="5" t="s">
        <v>31</v>
      </c>
      <c r="E3" s="5" t="s">
        <v>44</v>
      </c>
      <c r="F3" s="5" t="s">
        <v>139</v>
      </c>
      <c r="G3" s="15" t="s">
        <v>140</v>
      </c>
      <c r="H3" s="8" t="n">
        <v>1</v>
      </c>
      <c r="I3" s="5" t="s">
        <v>57</v>
      </c>
      <c r="J3" s="5" t="s">
        <v>66</v>
      </c>
      <c r="K3" s="15"/>
      <c r="L3" s="5" t="s">
        <v>79</v>
      </c>
      <c r="M3" s="5" t="s">
        <v>141</v>
      </c>
      <c r="N3" s="5" t="s">
        <v>142</v>
      </c>
      <c r="O3" s="5"/>
      <c r="P3" s="16" t="n">
        <f aca="false">IFERROR(IF(ISNUMBER(INDEX(Parameters!$B$5:$B$23,MATCH(D3,Parameters!$A$5:$A$23,0))),INDEX(Parameters!$B$5:$B$23,MATCH(D3,Parameters!$A$5:$A$23,0)),""),"")</f>
        <v>1</v>
      </c>
      <c r="Q3" s="16" t="n">
        <f aca="false">IFERROR(IF(ISNUMBER(INDEX(Parameters!$B$5:$B$23,MATCH(E3,Parameters!$A$5:$A$23,0))),INDEX(Parameters!$B$5:$B$23,MATCH(E3,Parameters!$A$5:$A$23,0)),""),"")</f>
        <v>1</v>
      </c>
      <c r="R3" s="16" t="n">
        <f aca="false">IF(F3="","",IFERROR(MIN(Parameters!$B$33,MAX(0,Parameters!$B$32-VALUE(LEFT(F3,4))))/Parameters!$B$33,""))</f>
        <v>0.8</v>
      </c>
      <c r="S3" s="16" t="n">
        <f aca="false">IF(ISNUMBER(H3),H3,IF(G3="",IF(ISNUMBER(Parameters!$B$34),Parameters!$B$34,""),""))</f>
        <v>1</v>
      </c>
      <c r="T3" s="16" t="n">
        <f aca="false">IFERROR(IF(ISNUMBER(INDEX(Parameters!$B$5:$B$23,MATCH(I3,Parameters!$A$5:$A$23,0))),INDEX(Parameters!$B$5:$B$23,MATCH(I3,Parameters!$A$5:$A$23,0)),""),"")</f>
        <v>0</v>
      </c>
      <c r="U3" s="16" t="n">
        <f aca="false">IFERROR(IF(ISNUMBER(INDEX(Parameters!$B$5:$B$23,MATCH(L3,Parameters!$A$5:$A$23,0))),INDEX(Parameters!$B$5:$B$23,MATCH(L3,Parameters!$A$5:$A$23,0)),""),"")</f>
        <v>1</v>
      </c>
      <c r="V3" s="16" t="n">
        <f aca="false">IFERROR(IF(ISNUMBER(INDEX(Parameters!$B$5:$B$23,MATCH(J3,Parameters!$A$5:$A$23,0))),INDEX(Parameters!$B$5:$B$23,MATCH(J3,Parameters!$A$5:$A$23,0)),""),"")</f>
        <v>1</v>
      </c>
      <c r="W3" s="16" t="str">
        <f aca="false">IF(K3&lt;&gt;"",1,IF(COUNTIF(Parameters!$A$27:$A$28,J3)&gt;0,0,""))</f>
        <v/>
      </c>
      <c r="X3" s="17" t="n">
        <f aca="false">IF(J3="Not applicable",0,1)</f>
        <v>1</v>
      </c>
      <c r="Y3" s="17" t="n">
        <f aca="false">IF(OR(K3&lt;&gt;"",COUNTIF(Parameters!$A$27:$A$28,J3)&gt;0),1,0)</f>
        <v>0</v>
      </c>
      <c r="Z3"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3+(Parameters!$F$12=Parameters!$E$15)*Parameters!$I$12*Y3)=0,"",IF(AND(((Parameters!$F$5=Parameters!$E$15)*Parameters!$I$5*ISNUMBER(P3)+(Parameters!$F$6=Parameters!$E$15)*Parameters!$I$6*ISNUMBER(Q3)+(Parameters!$F$7=Parameters!$E$15)*Parameters!$I$7*ISNUMBER(R3)+(Parameters!$F$8=Parameters!$E$15)*Parameters!$I$8*ISNUMBER(S3)+(Parameters!$F$9=Parameters!$E$15)*Parameters!$I$9*ISNUMBER(T3)+(Parameters!$F$10=Parameters!$E$15)*Parameters!$I$10*ISNUMBER(U3)+(Parameters!$F$11=Parameters!$E$15)*Parameters!$I$11*ISNUMBER(V3)+(Parameters!$F$12=Parameters!$E$15)*Parameters!$I$12*ISNUMBER(W3))&gt;0,((Parameters!$F$5=Parameters!$E$15)*Parameters!$I$5*ISNUMBER(P3)+(Parameters!$F$6=Parameters!$E$15)*Parameters!$I$6*ISNUMBER(Q3)+(Parameters!$F$7=Parameters!$E$15)*Parameters!$I$7*ISNUMBER(R3)+(Parameters!$F$8=Parameters!$E$15)*Parameters!$I$8*ISNUMBER(S3)+(Parameters!$F$9=Parameters!$E$15)*Parameters!$I$9*ISNUMBER(T3)+(Parameters!$F$10=Parameters!$E$15)*Parameters!$I$10*ISNUMBER(U3)+(Parameters!$F$11=Parameters!$E$15)*Parameters!$I$11*ISNUMBER(V3)+(Parameters!$F$12=Parameters!$E$15)*Parameters!$I$12*ISNUMBER(W3))/((Parameters!$F$5=Parameters!$E$15)*Parameters!$I$5*1+(Parameters!$F$6=Parameters!$E$15)*Parameters!$I$6*1+(Parameters!$F$7=Parameters!$E$15)*Parameters!$I$7*1+(Parameters!$F$8=Parameters!$E$15)*Parameters!$I$8*1+(Parameters!$F$9=Parameters!$E$15)*Parameters!$I$9*1+(Parameters!$F$10=Parameters!$E$15)*Parameters!$I$10*1+(Parameters!$F$11=Parameters!$E$15)*Parameters!$I$11*X3+(Parameters!$F$12=Parameters!$E$15)*Parameters!$I$12*Y3)&gt;=Parameters!$B$36),((Parameters!$F$5=Parameters!$E$15)*Parameters!$I$5*N(P3)+(Parameters!$F$6=Parameters!$E$15)*Parameters!$I$6*N(Q3)+(Parameters!$F$7=Parameters!$E$15)*Parameters!$I$7*N(R3)+(Parameters!$F$8=Parameters!$E$15)*Parameters!$I$8*N(S3)+(Parameters!$F$9=Parameters!$E$15)*Parameters!$I$9*N(T3)+(Parameters!$F$10=Parameters!$E$15)*Parameters!$I$10*N(U3)+(Parameters!$F$11=Parameters!$E$15)*Parameters!$I$11*N(V3)+(Parameters!$F$12=Parameters!$E$15)*Parameters!$I$12*N(W3))/((Parameters!$F$5=Parameters!$E$15)*Parameters!$I$5*ISNUMBER(P3)+(Parameters!$F$6=Parameters!$E$15)*Parameters!$I$6*ISNUMBER(Q3)+(Parameters!$F$7=Parameters!$E$15)*Parameters!$I$7*ISNUMBER(R3)+(Parameters!$F$8=Parameters!$E$15)*Parameters!$I$8*ISNUMBER(S3)+(Parameters!$F$9=Parameters!$E$15)*Parameters!$I$9*ISNUMBER(T3)+(Parameters!$F$10=Parameters!$E$15)*Parameters!$I$10*ISNUMBER(U3)+(Parameters!$F$11=Parameters!$E$15)*Parameters!$I$11*ISNUMBER(V3)+(Parameters!$F$12=Parameters!$E$15)*Parameters!$I$12*ISNUMBER(W3)),""))</f>
        <v>0.98</v>
      </c>
      <c r="AA3"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3+(Parameters!$F$12=Parameters!$E$16)*Parameters!$I$12*Y3)=0,"",IF(AND(((Parameters!$F$5=Parameters!$E$16)*Parameters!$I$5*ISNUMBER(P3)+(Parameters!$F$6=Parameters!$E$16)*Parameters!$I$6*ISNUMBER(Q3)+(Parameters!$F$7=Parameters!$E$16)*Parameters!$I$7*ISNUMBER(R3)+(Parameters!$F$8=Parameters!$E$16)*Parameters!$I$8*ISNUMBER(S3)+(Parameters!$F$9=Parameters!$E$16)*Parameters!$I$9*ISNUMBER(T3)+(Parameters!$F$10=Parameters!$E$16)*Parameters!$I$10*ISNUMBER(U3)+(Parameters!$F$11=Parameters!$E$16)*Parameters!$I$11*ISNUMBER(V3)+(Parameters!$F$12=Parameters!$E$16)*Parameters!$I$12*ISNUMBER(W3))&gt;0,((Parameters!$F$5=Parameters!$E$16)*Parameters!$I$5*ISNUMBER(P3)+(Parameters!$F$6=Parameters!$E$16)*Parameters!$I$6*ISNUMBER(Q3)+(Parameters!$F$7=Parameters!$E$16)*Parameters!$I$7*ISNUMBER(R3)+(Parameters!$F$8=Parameters!$E$16)*Parameters!$I$8*ISNUMBER(S3)+(Parameters!$F$9=Parameters!$E$16)*Parameters!$I$9*ISNUMBER(T3)+(Parameters!$F$10=Parameters!$E$16)*Parameters!$I$10*ISNUMBER(U3)+(Parameters!$F$11=Parameters!$E$16)*Parameters!$I$11*ISNUMBER(V3)+(Parameters!$F$12=Parameters!$E$16)*Parameters!$I$12*ISNUMBER(W3))/((Parameters!$F$5=Parameters!$E$16)*Parameters!$I$5*1+(Parameters!$F$6=Parameters!$E$16)*Parameters!$I$6*1+(Parameters!$F$7=Parameters!$E$16)*Parameters!$I$7*1+(Parameters!$F$8=Parameters!$E$16)*Parameters!$I$8*1+(Parameters!$F$9=Parameters!$E$16)*Parameters!$I$9*1+(Parameters!$F$10=Parameters!$E$16)*Parameters!$I$10*1+(Parameters!$F$11=Parameters!$E$16)*Parameters!$I$11*X3+(Parameters!$F$12=Parameters!$E$16)*Parameters!$I$12*Y3)&gt;=Parameters!$B$36),((Parameters!$F$5=Parameters!$E$16)*Parameters!$I$5*N(P3)+(Parameters!$F$6=Parameters!$E$16)*Parameters!$I$6*N(Q3)+(Parameters!$F$7=Parameters!$E$16)*Parameters!$I$7*N(R3)+(Parameters!$F$8=Parameters!$E$16)*Parameters!$I$8*N(S3)+(Parameters!$F$9=Parameters!$E$16)*Parameters!$I$9*N(T3)+(Parameters!$F$10=Parameters!$E$16)*Parameters!$I$10*N(U3)+(Parameters!$F$11=Parameters!$E$16)*Parameters!$I$11*N(V3)+(Parameters!$F$12=Parameters!$E$16)*Parameters!$I$12*N(W3))/((Parameters!$F$5=Parameters!$E$16)*Parameters!$I$5*ISNUMBER(P3)+(Parameters!$F$6=Parameters!$E$16)*Parameters!$I$6*ISNUMBER(Q3)+(Parameters!$F$7=Parameters!$E$16)*Parameters!$I$7*ISNUMBER(R3)+(Parameters!$F$8=Parameters!$E$16)*Parameters!$I$8*ISNUMBER(S3)+(Parameters!$F$9=Parameters!$E$16)*Parameters!$I$9*ISNUMBER(T3)+(Parameters!$F$10=Parameters!$E$16)*Parameters!$I$10*ISNUMBER(U3)+(Parameters!$F$11=Parameters!$E$16)*Parameters!$I$11*ISNUMBER(V3)+(Parameters!$F$12=Parameters!$E$16)*Parameters!$I$12*ISNUMBER(W3)),""))</f>
        <v>0.8</v>
      </c>
      <c r="AB3"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3+(Parameters!$F$12=Parameters!$E$17)*Parameters!$I$12*Y3)=0,"",IF(AND(((Parameters!$F$5=Parameters!$E$17)*Parameters!$I$5*ISNUMBER(P3)+(Parameters!$F$6=Parameters!$E$17)*Parameters!$I$6*ISNUMBER(Q3)+(Parameters!$F$7=Parameters!$E$17)*Parameters!$I$7*ISNUMBER(R3)+(Parameters!$F$8=Parameters!$E$17)*Parameters!$I$8*ISNUMBER(S3)+(Parameters!$F$9=Parameters!$E$17)*Parameters!$I$9*ISNUMBER(T3)+(Parameters!$F$10=Parameters!$E$17)*Parameters!$I$10*ISNUMBER(U3)+(Parameters!$F$11=Parameters!$E$17)*Parameters!$I$11*ISNUMBER(V3)+(Parameters!$F$12=Parameters!$E$17)*Parameters!$I$12*ISNUMBER(W3))&gt;0,((Parameters!$F$5=Parameters!$E$17)*Parameters!$I$5*ISNUMBER(P3)+(Parameters!$F$6=Parameters!$E$17)*Parameters!$I$6*ISNUMBER(Q3)+(Parameters!$F$7=Parameters!$E$17)*Parameters!$I$7*ISNUMBER(R3)+(Parameters!$F$8=Parameters!$E$17)*Parameters!$I$8*ISNUMBER(S3)+(Parameters!$F$9=Parameters!$E$17)*Parameters!$I$9*ISNUMBER(T3)+(Parameters!$F$10=Parameters!$E$17)*Parameters!$I$10*ISNUMBER(U3)+(Parameters!$F$11=Parameters!$E$17)*Parameters!$I$11*ISNUMBER(V3)+(Parameters!$F$12=Parameters!$E$17)*Parameters!$I$12*ISNUMBER(W3))/((Parameters!$F$5=Parameters!$E$17)*Parameters!$I$5*1+(Parameters!$F$6=Parameters!$E$17)*Parameters!$I$6*1+(Parameters!$F$7=Parameters!$E$17)*Parameters!$I$7*1+(Parameters!$F$8=Parameters!$E$17)*Parameters!$I$8*1+(Parameters!$F$9=Parameters!$E$17)*Parameters!$I$9*1+(Parameters!$F$10=Parameters!$E$17)*Parameters!$I$10*1+(Parameters!$F$11=Parameters!$E$17)*Parameters!$I$11*X3+(Parameters!$F$12=Parameters!$E$17)*Parameters!$I$12*Y3)&gt;=Parameters!$B$36),((Parameters!$F$5=Parameters!$E$17)*Parameters!$I$5*N(P3)+(Parameters!$F$6=Parameters!$E$17)*Parameters!$I$6*N(Q3)+(Parameters!$F$7=Parameters!$E$17)*Parameters!$I$7*N(R3)+(Parameters!$F$8=Parameters!$E$17)*Parameters!$I$8*N(S3)+(Parameters!$F$9=Parameters!$E$17)*Parameters!$I$9*N(T3)+(Parameters!$F$10=Parameters!$E$17)*Parameters!$I$10*N(U3)+(Parameters!$F$11=Parameters!$E$17)*Parameters!$I$11*N(V3)+(Parameters!$F$12=Parameters!$E$17)*Parameters!$I$12*N(W3))/((Parameters!$F$5=Parameters!$E$17)*Parameters!$I$5*ISNUMBER(P3)+(Parameters!$F$6=Parameters!$E$17)*Parameters!$I$6*ISNUMBER(Q3)+(Parameters!$F$7=Parameters!$E$17)*Parameters!$I$7*ISNUMBER(R3)+(Parameters!$F$8=Parameters!$E$17)*Parameters!$I$8*ISNUMBER(S3)+(Parameters!$F$9=Parameters!$E$17)*Parameters!$I$9*ISNUMBER(T3)+(Parameters!$F$10=Parameters!$E$17)*Parameters!$I$10*ISNUMBER(U3)+(Parameters!$F$11=Parameters!$E$17)*Parameters!$I$11*ISNUMBER(V3)+(Parameters!$F$12=Parameters!$E$17)*Parameters!$I$12*ISNUMBER(W3)),""))</f>
        <v>1</v>
      </c>
      <c r="AC3" s="17" t="n">
        <f aca="false">Parameters!$I$5*ISNUMBER(P3)+Parameters!$I$6*ISNUMBER(Q3)+Parameters!$I$7*ISNUMBER(R3)+Parameters!$I$8*ISNUMBER(S3)+Parameters!$I$9*ISNUMBER(T3)+Parameters!$I$10*ISNUMBER(U3)+Parameters!$I$11*ISNUMBER(V3)+Parameters!$I$12*ISNUMBER(W3)</f>
        <v>85</v>
      </c>
      <c r="AD3" s="17" t="n">
        <f aca="false">Parameters!$I$5*1+Parameters!$I$6*1+Parameters!$I$7*1+Parameters!$I$8*1+Parameters!$I$9*1+Parameters!$I$10*1+Parameters!$I$11*X3+Parameters!$I$12*Y3</f>
        <v>85</v>
      </c>
      <c r="AE3" s="18" t="n">
        <f aca="false">IF(AD3=0,"",AC3/AD3)</f>
        <v>1</v>
      </c>
      <c r="AF3" s="17" t="str">
        <f aca="false">IF(ISNUMBER(Z3),"M","")&amp;IF(ISNUMBER(AA3),"I","")&amp;IF(ISNUMBER(AB3),"O","")</f>
        <v>MIO</v>
      </c>
      <c r="AG3" s="19" t="n">
        <f aca="false">IF(AND(ISNUMBER(AE3),ISNUMBER(Z3)+ISNUMBER(AA3)+ISNUMBER(AB3)&gt;=Parameters!$B$37),IF(AE3&gt;=Parameters!$B$35,100*(Parameters!$F$15*N(Z3)+Parameters!$F$16*N(AA3)+Parameters!$F$17*N(AB3))/(Parameters!$F$15*ISNUMBER(Z3)+Parameters!$F$16*ISNUMBER(AA3)+Parameters!$F$17*ISNUMBER(AB3)),""),"")</f>
        <v>93</v>
      </c>
      <c r="AH3" s="17" t="n">
        <f aca="false">IF(ISNUMBER(AG3),RANK(AG3,$AG$2:$AG$113),"")</f>
        <v>13</v>
      </c>
    </row>
    <row r="4" customFormat="false" ht="15" hidden="false" customHeight="false" outlineLevel="0" collapsed="false">
      <c r="A4" s="5" t="s">
        <v>143</v>
      </c>
      <c r="B4" s="5" t="s">
        <v>144</v>
      </c>
      <c r="C4" s="5" t="s">
        <v>145</v>
      </c>
      <c r="D4" s="5" t="s">
        <v>31</v>
      </c>
      <c r="E4" s="5" t="s">
        <v>44</v>
      </c>
      <c r="F4" s="5" t="s">
        <v>146</v>
      </c>
      <c r="G4" s="15" t="s">
        <v>147</v>
      </c>
      <c r="H4" s="8" t="n">
        <v>1</v>
      </c>
      <c r="I4" s="5" t="s">
        <v>57</v>
      </c>
      <c r="J4" s="5" t="s">
        <v>74</v>
      </c>
      <c r="K4" s="15"/>
      <c r="L4" s="5" t="s">
        <v>81</v>
      </c>
      <c r="M4" s="5" t="s">
        <v>136</v>
      </c>
      <c r="N4" s="5" t="s">
        <v>142</v>
      </c>
      <c r="O4" s="5" t="s">
        <v>142</v>
      </c>
      <c r="P4" s="16" t="n">
        <f aca="false">IFERROR(IF(ISNUMBER(INDEX(Parameters!$B$5:$B$23,MATCH(D4,Parameters!$A$5:$A$23,0))),INDEX(Parameters!$B$5:$B$23,MATCH(D4,Parameters!$A$5:$A$23,0)),""),"")</f>
        <v>1</v>
      </c>
      <c r="Q4" s="16" t="n">
        <f aca="false">IFERROR(IF(ISNUMBER(INDEX(Parameters!$B$5:$B$23,MATCH(E4,Parameters!$A$5:$A$23,0))),INDEX(Parameters!$B$5:$B$23,MATCH(E4,Parameters!$A$5:$A$23,0)),""),"")</f>
        <v>1</v>
      </c>
      <c r="R4" s="16" t="n">
        <f aca="false">IF(F4="","",IFERROR(MIN(Parameters!$B$33,MAX(0,Parameters!$B$32-VALUE(LEFT(F4,4))))/Parameters!$B$33,""))</f>
        <v>0.533333333333333</v>
      </c>
      <c r="S4" s="16" t="n">
        <f aca="false">IF(ISNUMBER(H4),H4,IF(G4="",IF(ISNUMBER(Parameters!$B$34),Parameters!$B$34,""),""))</f>
        <v>1</v>
      </c>
      <c r="T4" s="16" t="n">
        <f aca="false">IFERROR(IF(ISNUMBER(INDEX(Parameters!$B$5:$B$23,MATCH(I4,Parameters!$A$5:$A$23,0))),INDEX(Parameters!$B$5:$B$23,MATCH(I4,Parameters!$A$5:$A$23,0)),""),"")</f>
        <v>0</v>
      </c>
      <c r="U4" s="16" t="n">
        <f aca="false">IFERROR(IF(ISNUMBER(INDEX(Parameters!$B$5:$B$23,MATCH(L4,Parameters!$A$5:$A$23,0))),INDEX(Parameters!$B$5:$B$23,MATCH(L4,Parameters!$A$5:$A$23,0)),""),"")</f>
        <v>1</v>
      </c>
      <c r="V4" s="16" t="str">
        <f aca="false">IFERROR(IF(ISNUMBER(INDEX(Parameters!$B$5:$B$23,MATCH(J4,Parameters!$A$5:$A$23,0))),INDEX(Parameters!$B$5:$B$23,MATCH(J4,Parameters!$A$5:$A$23,0)),""),"")</f>
        <v/>
      </c>
      <c r="W4" s="16" t="str">
        <f aca="false">IF(K4&lt;&gt;"",1,IF(COUNTIF(Parameters!$A$27:$A$28,J4)&gt;0,0,""))</f>
        <v/>
      </c>
      <c r="X4" s="17" t="n">
        <f aca="false">IF(J4="Not applicable",0,1)</f>
        <v>0</v>
      </c>
      <c r="Y4" s="17" t="n">
        <f aca="false">IF(OR(K4&lt;&gt;"",COUNTIF(Parameters!$A$27:$A$28,J4)&gt;0),1,0)</f>
        <v>0</v>
      </c>
      <c r="Z4"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4+(Parameters!$F$12=Parameters!$E$15)*Parameters!$I$12*Y4)=0,"",IF(AND(((Parameters!$F$5=Parameters!$E$15)*Parameters!$I$5*ISNUMBER(P4)+(Parameters!$F$6=Parameters!$E$15)*Parameters!$I$6*ISNUMBER(Q4)+(Parameters!$F$7=Parameters!$E$15)*Parameters!$I$7*ISNUMBER(R4)+(Parameters!$F$8=Parameters!$E$15)*Parameters!$I$8*ISNUMBER(S4)+(Parameters!$F$9=Parameters!$E$15)*Parameters!$I$9*ISNUMBER(T4)+(Parameters!$F$10=Parameters!$E$15)*Parameters!$I$10*ISNUMBER(U4)+(Parameters!$F$11=Parameters!$E$15)*Parameters!$I$11*ISNUMBER(V4)+(Parameters!$F$12=Parameters!$E$15)*Parameters!$I$12*ISNUMBER(W4))&gt;0,((Parameters!$F$5=Parameters!$E$15)*Parameters!$I$5*ISNUMBER(P4)+(Parameters!$F$6=Parameters!$E$15)*Parameters!$I$6*ISNUMBER(Q4)+(Parameters!$F$7=Parameters!$E$15)*Parameters!$I$7*ISNUMBER(R4)+(Parameters!$F$8=Parameters!$E$15)*Parameters!$I$8*ISNUMBER(S4)+(Parameters!$F$9=Parameters!$E$15)*Parameters!$I$9*ISNUMBER(T4)+(Parameters!$F$10=Parameters!$E$15)*Parameters!$I$10*ISNUMBER(U4)+(Parameters!$F$11=Parameters!$E$15)*Parameters!$I$11*ISNUMBER(V4)+(Parameters!$F$12=Parameters!$E$15)*Parameters!$I$12*ISNUMBER(W4))/((Parameters!$F$5=Parameters!$E$15)*Parameters!$I$5*1+(Parameters!$F$6=Parameters!$E$15)*Parameters!$I$6*1+(Parameters!$F$7=Parameters!$E$15)*Parameters!$I$7*1+(Parameters!$F$8=Parameters!$E$15)*Parameters!$I$8*1+(Parameters!$F$9=Parameters!$E$15)*Parameters!$I$9*1+(Parameters!$F$10=Parameters!$E$15)*Parameters!$I$10*1+(Parameters!$F$11=Parameters!$E$15)*Parameters!$I$11*X4+(Parameters!$F$12=Parameters!$E$15)*Parameters!$I$12*Y4)&gt;=Parameters!$B$36),((Parameters!$F$5=Parameters!$E$15)*Parameters!$I$5*N(P4)+(Parameters!$F$6=Parameters!$E$15)*Parameters!$I$6*N(Q4)+(Parameters!$F$7=Parameters!$E$15)*Parameters!$I$7*N(R4)+(Parameters!$F$8=Parameters!$E$15)*Parameters!$I$8*N(S4)+(Parameters!$F$9=Parameters!$E$15)*Parameters!$I$9*N(T4)+(Parameters!$F$10=Parameters!$E$15)*Parameters!$I$10*N(U4)+(Parameters!$F$11=Parameters!$E$15)*Parameters!$I$11*N(V4)+(Parameters!$F$12=Parameters!$E$15)*Parameters!$I$12*N(W4))/((Parameters!$F$5=Parameters!$E$15)*Parameters!$I$5*ISNUMBER(P4)+(Parameters!$F$6=Parameters!$E$15)*Parameters!$I$6*ISNUMBER(Q4)+(Parameters!$F$7=Parameters!$E$15)*Parameters!$I$7*ISNUMBER(R4)+(Parameters!$F$8=Parameters!$E$15)*Parameters!$I$8*ISNUMBER(S4)+(Parameters!$F$9=Parameters!$E$15)*Parameters!$I$9*ISNUMBER(T4)+(Parameters!$F$10=Parameters!$E$15)*Parameters!$I$10*ISNUMBER(U4)+(Parameters!$F$11=Parameters!$E$15)*Parameters!$I$11*ISNUMBER(V4)+(Parameters!$F$12=Parameters!$E$15)*Parameters!$I$12*ISNUMBER(W4)),""))</f>
        <v>0.953333333333333</v>
      </c>
      <c r="AA4"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4+(Parameters!$F$12=Parameters!$E$16)*Parameters!$I$12*Y4)=0,"",IF(AND(((Parameters!$F$5=Parameters!$E$16)*Parameters!$I$5*ISNUMBER(P4)+(Parameters!$F$6=Parameters!$E$16)*Parameters!$I$6*ISNUMBER(Q4)+(Parameters!$F$7=Parameters!$E$16)*Parameters!$I$7*ISNUMBER(R4)+(Parameters!$F$8=Parameters!$E$16)*Parameters!$I$8*ISNUMBER(S4)+(Parameters!$F$9=Parameters!$E$16)*Parameters!$I$9*ISNUMBER(T4)+(Parameters!$F$10=Parameters!$E$16)*Parameters!$I$10*ISNUMBER(U4)+(Parameters!$F$11=Parameters!$E$16)*Parameters!$I$11*ISNUMBER(V4)+(Parameters!$F$12=Parameters!$E$16)*Parameters!$I$12*ISNUMBER(W4))&gt;0,((Parameters!$F$5=Parameters!$E$16)*Parameters!$I$5*ISNUMBER(P4)+(Parameters!$F$6=Parameters!$E$16)*Parameters!$I$6*ISNUMBER(Q4)+(Parameters!$F$7=Parameters!$E$16)*Parameters!$I$7*ISNUMBER(R4)+(Parameters!$F$8=Parameters!$E$16)*Parameters!$I$8*ISNUMBER(S4)+(Parameters!$F$9=Parameters!$E$16)*Parameters!$I$9*ISNUMBER(T4)+(Parameters!$F$10=Parameters!$E$16)*Parameters!$I$10*ISNUMBER(U4)+(Parameters!$F$11=Parameters!$E$16)*Parameters!$I$11*ISNUMBER(V4)+(Parameters!$F$12=Parameters!$E$16)*Parameters!$I$12*ISNUMBER(W4))/((Parameters!$F$5=Parameters!$E$16)*Parameters!$I$5*1+(Parameters!$F$6=Parameters!$E$16)*Parameters!$I$6*1+(Parameters!$F$7=Parameters!$E$16)*Parameters!$I$7*1+(Parameters!$F$8=Parameters!$E$16)*Parameters!$I$8*1+(Parameters!$F$9=Parameters!$E$16)*Parameters!$I$9*1+(Parameters!$F$10=Parameters!$E$16)*Parameters!$I$10*1+(Parameters!$F$11=Parameters!$E$16)*Parameters!$I$11*X4+(Parameters!$F$12=Parameters!$E$16)*Parameters!$I$12*Y4)&gt;=Parameters!$B$36),((Parameters!$F$5=Parameters!$E$16)*Parameters!$I$5*N(P4)+(Parameters!$F$6=Parameters!$E$16)*Parameters!$I$6*N(Q4)+(Parameters!$F$7=Parameters!$E$16)*Parameters!$I$7*N(R4)+(Parameters!$F$8=Parameters!$E$16)*Parameters!$I$8*N(S4)+(Parameters!$F$9=Parameters!$E$16)*Parameters!$I$9*N(T4)+(Parameters!$F$10=Parameters!$E$16)*Parameters!$I$10*N(U4)+(Parameters!$F$11=Parameters!$E$16)*Parameters!$I$11*N(V4)+(Parameters!$F$12=Parameters!$E$16)*Parameters!$I$12*N(W4))/((Parameters!$F$5=Parameters!$E$16)*Parameters!$I$5*ISNUMBER(P4)+(Parameters!$F$6=Parameters!$E$16)*Parameters!$I$6*ISNUMBER(Q4)+(Parameters!$F$7=Parameters!$E$16)*Parameters!$I$7*ISNUMBER(R4)+(Parameters!$F$8=Parameters!$E$16)*Parameters!$I$8*ISNUMBER(S4)+(Parameters!$F$9=Parameters!$E$16)*Parameters!$I$9*ISNUMBER(T4)+(Parameters!$F$10=Parameters!$E$16)*Parameters!$I$10*ISNUMBER(U4)+(Parameters!$F$11=Parameters!$E$16)*Parameters!$I$11*ISNUMBER(V4)+(Parameters!$F$12=Parameters!$E$16)*Parameters!$I$12*ISNUMBER(W4)),""))</f>
        <v>0.8</v>
      </c>
      <c r="AB4"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4+(Parameters!$F$12=Parameters!$E$17)*Parameters!$I$12*Y4)=0,"",IF(AND(((Parameters!$F$5=Parameters!$E$17)*Parameters!$I$5*ISNUMBER(P4)+(Parameters!$F$6=Parameters!$E$17)*Parameters!$I$6*ISNUMBER(Q4)+(Parameters!$F$7=Parameters!$E$17)*Parameters!$I$7*ISNUMBER(R4)+(Parameters!$F$8=Parameters!$E$17)*Parameters!$I$8*ISNUMBER(S4)+(Parameters!$F$9=Parameters!$E$17)*Parameters!$I$9*ISNUMBER(T4)+(Parameters!$F$10=Parameters!$E$17)*Parameters!$I$10*ISNUMBER(U4)+(Parameters!$F$11=Parameters!$E$17)*Parameters!$I$11*ISNUMBER(V4)+(Parameters!$F$12=Parameters!$E$17)*Parameters!$I$12*ISNUMBER(W4))&gt;0,((Parameters!$F$5=Parameters!$E$17)*Parameters!$I$5*ISNUMBER(P4)+(Parameters!$F$6=Parameters!$E$17)*Parameters!$I$6*ISNUMBER(Q4)+(Parameters!$F$7=Parameters!$E$17)*Parameters!$I$7*ISNUMBER(R4)+(Parameters!$F$8=Parameters!$E$17)*Parameters!$I$8*ISNUMBER(S4)+(Parameters!$F$9=Parameters!$E$17)*Parameters!$I$9*ISNUMBER(T4)+(Parameters!$F$10=Parameters!$E$17)*Parameters!$I$10*ISNUMBER(U4)+(Parameters!$F$11=Parameters!$E$17)*Parameters!$I$11*ISNUMBER(V4)+(Parameters!$F$12=Parameters!$E$17)*Parameters!$I$12*ISNUMBER(W4))/((Parameters!$F$5=Parameters!$E$17)*Parameters!$I$5*1+(Parameters!$F$6=Parameters!$E$17)*Parameters!$I$6*1+(Parameters!$F$7=Parameters!$E$17)*Parameters!$I$7*1+(Parameters!$F$8=Parameters!$E$17)*Parameters!$I$8*1+(Parameters!$F$9=Parameters!$E$17)*Parameters!$I$9*1+(Parameters!$F$10=Parameters!$E$17)*Parameters!$I$10*1+(Parameters!$F$11=Parameters!$E$17)*Parameters!$I$11*X4+(Parameters!$F$12=Parameters!$E$17)*Parameters!$I$12*Y4)&gt;=Parameters!$B$36),((Parameters!$F$5=Parameters!$E$17)*Parameters!$I$5*N(P4)+(Parameters!$F$6=Parameters!$E$17)*Parameters!$I$6*N(Q4)+(Parameters!$F$7=Parameters!$E$17)*Parameters!$I$7*N(R4)+(Parameters!$F$8=Parameters!$E$17)*Parameters!$I$8*N(S4)+(Parameters!$F$9=Parameters!$E$17)*Parameters!$I$9*N(T4)+(Parameters!$F$10=Parameters!$E$17)*Parameters!$I$10*N(U4)+(Parameters!$F$11=Parameters!$E$17)*Parameters!$I$11*N(V4)+(Parameters!$F$12=Parameters!$E$17)*Parameters!$I$12*N(W4))/((Parameters!$F$5=Parameters!$E$17)*Parameters!$I$5*ISNUMBER(P4)+(Parameters!$F$6=Parameters!$E$17)*Parameters!$I$6*ISNUMBER(Q4)+(Parameters!$F$7=Parameters!$E$17)*Parameters!$I$7*ISNUMBER(R4)+(Parameters!$F$8=Parameters!$E$17)*Parameters!$I$8*ISNUMBER(S4)+(Parameters!$F$9=Parameters!$E$17)*Parameters!$I$9*ISNUMBER(T4)+(Parameters!$F$10=Parameters!$E$17)*Parameters!$I$10*ISNUMBER(U4)+(Parameters!$F$11=Parameters!$E$17)*Parameters!$I$11*ISNUMBER(V4)+(Parameters!$F$12=Parameters!$E$17)*Parameters!$I$12*ISNUMBER(W4)),""))</f>
        <v/>
      </c>
      <c r="AC4" s="17" t="n">
        <f aca="false">Parameters!$I$5*ISNUMBER(P4)+Parameters!$I$6*ISNUMBER(Q4)+Parameters!$I$7*ISNUMBER(R4)+Parameters!$I$8*ISNUMBER(S4)+Parameters!$I$9*ISNUMBER(T4)+Parameters!$I$10*ISNUMBER(U4)+Parameters!$I$11*ISNUMBER(V4)+Parameters!$I$12*ISNUMBER(W4)</f>
        <v>75</v>
      </c>
      <c r="AD4" s="17" t="n">
        <f aca="false">Parameters!$I$5*1+Parameters!$I$6*1+Parameters!$I$7*1+Parameters!$I$8*1+Parameters!$I$9*1+Parameters!$I$10*1+Parameters!$I$11*X4+Parameters!$I$12*Y4</f>
        <v>75</v>
      </c>
      <c r="AE4" s="18" t="n">
        <f aca="false">IF(AD4=0,"",AC4/AD4)</f>
        <v>1</v>
      </c>
      <c r="AF4" s="17" t="str">
        <f aca="false">IF(ISNUMBER(Z4),"M","")&amp;IF(ISNUMBER(AA4),"I","")&amp;IF(ISNUMBER(AB4),"O","")</f>
        <v>MI</v>
      </c>
      <c r="AG4" s="19" t="n">
        <f aca="false">IF(AND(ISNUMBER(AE4),ISNUMBER(Z4)+ISNUMBER(AA4)+ISNUMBER(AB4)&gt;=Parameters!$B$37),IF(AE4&gt;=Parameters!$B$35,100*(Parameters!$F$15*N(Z4)+Parameters!$F$16*N(AA4)+Parameters!$F$17*N(AB4))/(Parameters!$F$15*ISNUMBER(Z4)+Parameters!$F$16*ISNUMBER(AA4)+Parameters!$F$17*ISNUMBER(AB4)),""),"")</f>
        <v>89.5833333333333</v>
      </c>
      <c r="AH4" s="17" t="n">
        <f aca="false">IF(ISNUMBER(AG4),RANK(AG4,$AG$2:$AG$113),"")</f>
        <v>31</v>
      </c>
    </row>
    <row r="5" customFormat="false" ht="15" hidden="false" customHeight="false" outlineLevel="0" collapsed="false">
      <c r="A5" s="5" t="s">
        <v>148</v>
      </c>
      <c r="B5" s="5" t="s">
        <v>149</v>
      </c>
      <c r="C5" s="5" t="s">
        <v>150</v>
      </c>
      <c r="D5" s="5" t="s">
        <v>31</v>
      </c>
      <c r="E5" s="5" t="s">
        <v>44</v>
      </c>
      <c r="F5" s="5" t="s">
        <v>151</v>
      </c>
      <c r="G5" s="20" t="s">
        <v>152</v>
      </c>
      <c r="H5" s="8" t="n">
        <v>1</v>
      </c>
      <c r="I5" s="5" t="s">
        <v>57</v>
      </c>
      <c r="J5" s="5" t="s">
        <v>70</v>
      </c>
      <c r="K5" s="15" t="s">
        <v>153</v>
      </c>
      <c r="L5" s="5" t="s">
        <v>76</v>
      </c>
      <c r="M5" s="5" t="s">
        <v>136</v>
      </c>
      <c r="N5" s="5"/>
      <c r="O5" s="5"/>
      <c r="P5" s="16" t="n">
        <f aca="false">IFERROR(IF(ISNUMBER(INDEX(Parameters!$B$5:$B$23,MATCH(D5,Parameters!$A$5:$A$23,0))),INDEX(Parameters!$B$5:$B$23,MATCH(D5,Parameters!$A$5:$A$23,0)),""),"")</f>
        <v>1</v>
      </c>
      <c r="Q5" s="16" t="n">
        <f aca="false">IFERROR(IF(ISNUMBER(INDEX(Parameters!$B$5:$B$23,MATCH(E5,Parameters!$A$5:$A$23,0))),INDEX(Parameters!$B$5:$B$23,MATCH(E5,Parameters!$A$5:$A$23,0)),""),"")</f>
        <v>1</v>
      </c>
      <c r="R5" s="16" t="n">
        <f aca="false">IF(F5="","",IFERROR(MIN(Parameters!$B$33,MAX(0,Parameters!$B$32-VALUE(LEFT(F5,4))))/Parameters!$B$33,""))</f>
        <v>0.866666666666667</v>
      </c>
      <c r="S5" s="16" t="n">
        <f aca="false">IF(ISNUMBER(H5),H5,IF(G5="",IF(ISNUMBER(Parameters!$B$34),Parameters!$B$34,""),""))</f>
        <v>1</v>
      </c>
      <c r="T5" s="16" t="n">
        <f aca="false">IFERROR(IF(ISNUMBER(INDEX(Parameters!$B$5:$B$23,MATCH(I5,Parameters!$A$5:$A$23,0))),INDEX(Parameters!$B$5:$B$23,MATCH(I5,Parameters!$A$5:$A$23,0)),""),"")</f>
        <v>0</v>
      </c>
      <c r="U5" s="16" t="n">
        <f aca="false">IFERROR(IF(ISNUMBER(INDEX(Parameters!$B$5:$B$23,MATCH(L5,Parameters!$A$5:$A$23,0))),INDEX(Parameters!$B$5:$B$23,MATCH(L5,Parameters!$A$5:$A$23,0)),""),"")</f>
        <v>1</v>
      </c>
      <c r="V5" s="16" t="n">
        <f aca="false">IFERROR(IF(ISNUMBER(INDEX(Parameters!$B$5:$B$23,MATCH(J5,Parameters!$A$5:$A$23,0))),INDEX(Parameters!$B$5:$B$23,MATCH(J5,Parameters!$A$5:$A$23,0)),""),"")</f>
        <v>1</v>
      </c>
      <c r="W5" s="16" t="n">
        <f aca="false">IF(K5&lt;&gt;"",1,IF(COUNTIF(Parameters!$A$27:$A$28,J5)&gt;0,0,""))</f>
        <v>1</v>
      </c>
      <c r="X5" s="17" t="n">
        <f aca="false">IF(J5="Not applicable",0,1)</f>
        <v>1</v>
      </c>
      <c r="Y5" s="17" t="n">
        <f aca="false">IF(OR(K5&lt;&gt;"",COUNTIF(Parameters!$A$27:$A$28,J5)&gt;0),1,0)</f>
        <v>1</v>
      </c>
      <c r="Z5"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5+(Parameters!$F$12=Parameters!$E$15)*Parameters!$I$12*Y5)=0,"",IF(AND(((Parameters!$F$5=Parameters!$E$15)*Parameters!$I$5*ISNUMBER(P5)+(Parameters!$F$6=Parameters!$E$15)*Parameters!$I$6*ISNUMBER(Q5)+(Parameters!$F$7=Parameters!$E$15)*Parameters!$I$7*ISNUMBER(R5)+(Parameters!$F$8=Parameters!$E$15)*Parameters!$I$8*ISNUMBER(S5)+(Parameters!$F$9=Parameters!$E$15)*Parameters!$I$9*ISNUMBER(T5)+(Parameters!$F$10=Parameters!$E$15)*Parameters!$I$10*ISNUMBER(U5)+(Parameters!$F$11=Parameters!$E$15)*Parameters!$I$11*ISNUMBER(V5)+(Parameters!$F$12=Parameters!$E$15)*Parameters!$I$12*ISNUMBER(W5))&gt;0,((Parameters!$F$5=Parameters!$E$15)*Parameters!$I$5*ISNUMBER(P5)+(Parameters!$F$6=Parameters!$E$15)*Parameters!$I$6*ISNUMBER(Q5)+(Parameters!$F$7=Parameters!$E$15)*Parameters!$I$7*ISNUMBER(R5)+(Parameters!$F$8=Parameters!$E$15)*Parameters!$I$8*ISNUMBER(S5)+(Parameters!$F$9=Parameters!$E$15)*Parameters!$I$9*ISNUMBER(T5)+(Parameters!$F$10=Parameters!$E$15)*Parameters!$I$10*ISNUMBER(U5)+(Parameters!$F$11=Parameters!$E$15)*Parameters!$I$11*ISNUMBER(V5)+(Parameters!$F$12=Parameters!$E$15)*Parameters!$I$12*ISNUMBER(W5))/((Parameters!$F$5=Parameters!$E$15)*Parameters!$I$5*1+(Parameters!$F$6=Parameters!$E$15)*Parameters!$I$6*1+(Parameters!$F$7=Parameters!$E$15)*Parameters!$I$7*1+(Parameters!$F$8=Parameters!$E$15)*Parameters!$I$8*1+(Parameters!$F$9=Parameters!$E$15)*Parameters!$I$9*1+(Parameters!$F$10=Parameters!$E$15)*Parameters!$I$10*1+(Parameters!$F$11=Parameters!$E$15)*Parameters!$I$11*X5+(Parameters!$F$12=Parameters!$E$15)*Parameters!$I$12*Y5)&gt;=Parameters!$B$36),((Parameters!$F$5=Parameters!$E$15)*Parameters!$I$5*N(P5)+(Parameters!$F$6=Parameters!$E$15)*Parameters!$I$6*N(Q5)+(Parameters!$F$7=Parameters!$E$15)*Parameters!$I$7*N(R5)+(Parameters!$F$8=Parameters!$E$15)*Parameters!$I$8*N(S5)+(Parameters!$F$9=Parameters!$E$15)*Parameters!$I$9*N(T5)+(Parameters!$F$10=Parameters!$E$15)*Parameters!$I$10*N(U5)+(Parameters!$F$11=Parameters!$E$15)*Parameters!$I$11*N(V5)+(Parameters!$F$12=Parameters!$E$15)*Parameters!$I$12*N(W5))/((Parameters!$F$5=Parameters!$E$15)*Parameters!$I$5*ISNUMBER(P5)+(Parameters!$F$6=Parameters!$E$15)*Parameters!$I$6*ISNUMBER(Q5)+(Parameters!$F$7=Parameters!$E$15)*Parameters!$I$7*ISNUMBER(R5)+(Parameters!$F$8=Parameters!$E$15)*Parameters!$I$8*ISNUMBER(S5)+(Parameters!$F$9=Parameters!$E$15)*Parameters!$I$9*ISNUMBER(T5)+(Parameters!$F$10=Parameters!$E$15)*Parameters!$I$10*ISNUMBER(U5)+(Parameters!$F$11=Parameters!$E$15)*Parameters!$I$11*ISNUMBER(V5)+(Parameters!$F$12=Parameters!$E$15)*Parameters!$I$12*ISNUMBER(W5)),""))</f>
        <v>0.986666666666667</v>
      </c>
      <c r="AA5"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5+(Parameters!$F$12=Parameters!$E$16)*Parameters!$I$12*Y5)=0,"",IF(AND(((Parameters!$F$5=Parameters!$E$16)*Parameters!$I$5*ISNUMBER(P5)+(Parameters!$F$6=Parameters!$E$16)*Parameters!$I$6*ISNUMBER(Q5)+(Parameters!$F$7=Parameters!$E$16)*Parameters!$I$7*ISNUMBER(R5)+(Parameters!$F$8=Parameters!$E$16)*Parameters!$I$8*ISNUMBER(S5)+(Parameters!$F$9=Parameters!$E$16)*Parameters!$I$9*ISNUMBER(T5)+(Parameters!$F$10=Parameters!$E$16)*Parameters!$I$10*ISNUMBER(U5)+(Parameters!$F$11=Parameters!$E$16)*Parameters!$I$11*ISNUMBER(V5)+(Parameters!$F$12=Parameters!$E$16)*Parameters!$I$12*ISNUMBER(W5))&gt;0,((Parameters!$F$5=Parameters!$E$16)*Parameters!$I$5*ISNUMBER(P5)+(Parameters!$F$6=Parameters!$E$16)*Parameters!$I$6*ISNUMBER(Q5)+(Parameters!$F$7=Parameters!$E$16)*Parameters!$I$7*ISNUMBER(R5)+(Parameters!$F$8=Parameters!$E$16)*Parameters!$I$8*ISNUMBER(S5)+(Parameters!$F$9=Parameters!$E$16)*Parameters!$I$9*ISNUMBER(T5)+(Parameters!$F$10=Parameters!$E$16)*Parameters!$I$10*ISNUMBER(U5)+(Parameters!$F$11=Parameters!$E$16)*Parameters!$I$11*ISNUMBER(V5)+(Parameters!$F$12=Parameters!$E$16)*Parameters!$I$12*ISNUMBER(W5))/((Parameters!$F$5=Parameters!$E$16)*Parameters!$I$5*1+(Parameters!$F$6=Parameters!$E$16)*Parameters!$I$6*1+(Parameters!$F$7=Parameters!$E$16)*Parameters!$I$7*1+(Parameters!$F$8=Parameters!$E$16)*Parameters!$I$8*1+(Parameters!$F$9=Parameters!$E$16)*Parameters!$I$9*1+(Parameters!$F$10=Parameters!$E$16)*Parameters!$I$10*1+(Parameters!$F$11=Parameters!$E$16)*Parameters!$I$11*X5+(Parameters!$F$12=Parameters!$E$16)*Parameters!$I$12*Y5)&gt;=Parameters!$B$36),((Parameters!$F$5=Parameters!$E$16)*Parameters!$I$5*N(P5)+(Parameters!$F$6=Parameters!$E$16)*Parameters!$I$6*N(Q5)+(Parameters!$F$7=Parameters!$E$16)*Parameters!$I$7*N(R5)+(Parameters!$F$8=Parameters!$E$16)*Parameters!$I$8*N(S5)+(Parameters!$F$9=Parameters!$E$16)*Parameters!$I$9*N(T5)+(Parameters!$F$10=Parameters!$E$16)*Parameters!$I$10*N(U5)+(Parameters!$F$11=Parameters!$E$16)*Parameters!$I$11*N(V5)+(Parameters!$F$12=Parameters!$E$16)*Parameters!$I$12*N(W5))/((Parameters!$F$5=Parameters!$E$16)*Parameters!$I$5*ISNUMBER(P5)+(Parameters!$F$6=Parameters!$E$16)*Parameters!$I$6*ISNUMBER(Q5)+(Parameters!$F$7=Parameters!$E$16)*Parameters!$I$7*ISNUMBER(R5)+(Parameters!$F$8=Parameters!$E$16)*Parameters!$I$8*ISNUMBER(S5)+(Parameters!$F$9=Parameters!$E$16)*Parameters!$I$9*ISNUMBER(T5)+(Parameters!$F$10=Parameters!$E$16)*Parameters!$I$10*ISNUMBER(U5)+(Parameters!$F$11=Parameters!$E$16)*Parameters!$I$11*ISNUMBER(V5)+(Parameters!$F$12=Parameters!$E$16)*Parameters!$I$12*ISNUMBER(W5)),""))</f>
        <v>0.8</v>
      </c>
      <c r="AB5"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5+(Parameters!$F$12=Parameters!$E$17)*Parameters!$I$12*Y5)=0,"",IF(AND(((Parameters!$F$5=Parameters!$E$17)*Parameters!$I$5*ISNUMBER(P5)+(Parameters!$F$6=Parameters!$E$17)*Parameters!$I$6*ISNUMBER(Q5)+(Parameters!$F$7=Parameters!$E$17)*Parameters!$I$7*ISNUMBER(R5)+(Parameters!$F$8=Parameters!$E$17)*Parameters!$I$8*ISNUMBER(S5)+(Parameters!$F$9=Parameters!$E$17)*Parameters!$I$9*ISNUMBER(T5)+(Parameters!$F$10=Parameters!$E$17)*Parameters!$I$10*ISNUMBER(U5)+(Parameters!$F$11=Parameters!$E$17)*Parameters!$I$11*ISNUMBER(V5)+(Parameters!$F$12=Parameters!$E$17)*Parameters!$I$12*ISNUMBER(W5))&gt;0,((Parameters!$F$5=Parameters!$E$17)*Parameters!$I$5*ISNUMBER(P5)+(Parameters!$F$6=Parameters!$E$17)*Parameters!$I$6*ISNUMBER(Q5)+(Parameters!$F$7=Parameters!$E$17)*Parameters!$I$7*ISNUMBER(R5)+(Parameters!$F$8=Parameters!$E$17)*Parameters!$I$8*ISNUMBER(S5)+(Parameters!$F$9=Parameters!$E$17)*Parameters!$I$9*ISNUMBER(T5)+(Parameters!$F$10=Parameters!$E$17)*Parameters!$I$10*ISNUMBER(U5)+(Parameters!$F$11=Parameters!$E$17)*Parameters!$I$11*ISNUMBER(V5)+(Parameters!$F$12=Parameters!$E$17)*Parameters!$I$12*ISNUMBER(W5))/((Parameters!$F$5=Parameters!$E$17)*Parameters!$I$5*1+(Parameters!$F$6=Parameters!$E$17)*Parameters!$I$6*1+(Parameters!$F$7=Parameters!$E$17)*Parameters!$I$7*1+(Parameters!$F$8=Parameters!$E$17)*Parameters!$I$8*1+(Parameters!$F$9=Parameters!$E$17)*Parameters!$I$9*1+(Parameters!$F$10=Parameters!$E$17)*Parameters!$I$10*1+(Parameters!$F$11=Parameters!$E$17)*Parameters!$I$11*X5+(Parameters!$F$12=Parameters!$E$17)*Parameters!$I$12*Y5)&gt;=Parameters!$B$36),((Parameters!$F$5=Parameters!$E$17)*Parameters!$I$5*N(P5)+(Parameters!$F$6=Parameters!$E$17)*Parameters!$I$6*N(Q5)+(Parameters!$F$7=Parameters!$E$17)*Parameters!$I$7*N(R5)+(Parameters!$F$8=Parameters!$E$17)*Parameters!$I$8*N(S5)+(Parameters!$F$9=Parameters!$E$17)*Parameters!$I$9*N(T5)+(Parameters!$F$10=Parameters!$E$17)*Parameters!$I$10*N(U5)+(Parameters!$F$11=Parameters!$E$17)*Parameters!$I$11*N(V5)+(Parameters!$F$12=Parameters!$E$17)*Parameters!$I$12*N(W5))/((Parameters!$F$5=Parameters!$E$17)*Parameters!$I$5*ISNUMBER(P5)+(Parameters!$F$6=Parameters!$E$17)*Parameters!$I$6*ISNUMBER(Q5)+(Parameters!$F$7=Parameters!$E$17)*Parameters!$I$7*ISNUMBER(R5)+(Parameters!$F$8=Parameters!$E$17)*Parameters!$I$8*ISNUMBER(S5)+(Parameters!$F$9=Parameters!$E$17)*Parameters!$I$9*ISNUMBER(T5)+(Parameters!$F$10=Parameters!$E$17)*Parameters!$I$10*ISNUMBER(U5)+(Parameters!$F$11=Parameters!$E$17)*Parameters!$I$11*ISNUMBER(V5)+(Parameters!$F$12=Parameters!$E$17)*Parameters!$I$12*ISNUMBER(W5)),""))</f>
        <v>1</v>
      </c>
      <c r="AC5" s="17" t="n">
        <f aca="false">Parameters!$I$5*ISNUMBER(P5)+Parameters!$I$6*ISNUMBER(Q5)+Parameters!$I$7*ISNUMBER(R5)+Parameters!$I$8*ISNUMBER(S5)+Parameters!$I$9*ISNUMBER(T5)+Parameters!$I$10*ISNUMBER(U5)+Parameters!$I$11*ISNUMBER(V5)+Parameters!$I$12*ISNUMBER(W5)</f>
        <v>95</v>
      </c>
      <c r="AD5" s="17" t="n">
        <f aca="false">Parameters!$I$5*1+Parameters!$I$6*1+Parameters!$I$7*1+Parameters!$I$8*1+Parameters!$I$9*1+Parameters!$I$10*1+Parameters!$I$11*X5+Parameters!$I$12*Y5</f>
        <v>95</v>
      </c>
      <c r="AE5" s="18" t="n">
        <f aca="false">IF(AD5=0,"",AC5/AD5)</f>
        <v>1</v>
      </c>
      <c r="AF5" s="17" t="str">
        <f aca="false">IF(ISNUMBER(Z5),"M","")&amp;IF(ISNUMBER(AA5),"I","")&amp;IF(ISNUMBER(AB5),"O","")</f>
        <v>MIO</v>
      </c>
      <c r="AG5" s="19" t="n">
        <f aca="false">IF(AND(ISNUMBER(AE5),ISNUMBER(Z5)+ISNUMBER(AA5)+ISNUMBER(AB5)&gt;=Parameters!$B$37),IF(AE5&gt;=Parameters!$B$35,100*(Parameters!$F$15*N(Z5)+Parameters!$F$16*N(AA5)+Parameters!$F$17*N(AB5))/(Parameters!$F$15*ISNUMBER(Z5)+Parameters!$F$16*ISNUMBER(AA5)+Parameters!$F$17*ISNUMBER(AB5)),""),"")</f>
        <v>93.3333333333333</v>
      </c>
      <c r="AH5" s="17" t="n">
        <f aca="false">IF(ISNUMBER(AG5),RANK(AG5,$AG$2:$AG$113),"")</f>
        <v>12</v>
      </c>
    </row>
    <row r="6" customFormat="false" ht="15" hidden="false" customHeight="false" outlineLevel="0" collapsed="false">
      <c r="A6" s="5" t="s">
        <v>154</v>
      </c>
      <c r="B6" s="5" t="s">
        <v>155</v>
      </c>
      <c r="C6" s="5" t="s">
        <v>156</v>
      </c>
      <c r="D6" s="5" t="s">
        <v>31</v>
      </c>
      <c r="E6" s="5" t="s">
        <v>44</v>
      </c>
      <c r="F6" s="5" t="s">
        <v>146</v>
      </c>
      <c r="G6" s="15"/>
      <c r="H6" s="8"/>
      <c r="I6" s="5" t="s">
        <v>57</v>
      </c>
      <c r="J6" s="5" t="s">
        <v>68</v>
      </c>
      <c r="K6" s="15"/>
      <c r="L6" s="5" t="s">
        <v>83</v>
      </c>
      <c r="M6" s="5" t="s">
        <v>157</v>
      </c>
      <c r="N6" s="5"/>
      <c r="O6" s="5"/>
      <c r="P6" s="16" t="n">
        <f aca="false">IFERROR(IF(ISNUMBER(INDEX(Parameters!$B$5:$B$23,MATCH(D6,Parameters!$A$5:$A$23,0))),INDEX(Parameters!$B$5:$B$23,MATCH(D6,Parameters!$A$5:$A$23,0)),""),"")</f>
        <v>1</v>
      </c>
      <c r="Q6" s="16" t="n">
        <f aca="false">IFERROR(IF(ISNUMBER(INDEX(Parameters!$B$5:$B$23,MATCH(E6,Parameters!$A$5:$A$23,0))),INDEX(Parameters!$B$5:$B$23,MATCH(E6,Parameters!$A$5:$A$23,0)),""),"")</f>
        <v>1</v>
      </c>
      <c r="R6" s="16" t="n">
        <f aca="false">IF(F6="","",IFERROR(MIN(Parameters!$B$33,MAX(0,Parameters!$B$32-VALUE(LEFT(F6,4))))/Parameters!$B$33,""))</f>
        <v>0.533333333333333</v>
      </c>
      <c r="S6" s="16" t="str">
        <f aca="false">IF(ISNUMBER(H6),H6,IF(G6="",IF(ISNUMBER(Parameters!$B$34),Parameters!$B$34,""),""))</f>
        <v/>
      </c>
      <c r="T6" s="16" t="n">
        <f aca="false">IFERROR(IF(ISNUMBER(INDEX(Parameters!$B$5:$B$23,MATCH(I6,Parameters!$A$5:$A$23,0))),INDEX(Parameters!$B$5:$B$23,MATCH(I6,Parameters!$A$5:$A$23,0)),""),"")</f>
        <v>0</v>
      </c>
      <c r="U6" s="16" t="n">
        <f aca="false">IFERROR(IF(ISNUMBER(INDEX(Parameters!$B$5:$B$23,MATCH(L6,Parameters!$A$5:$A$23,0))),INDEX(Parameters!$B$5:$B$23,MATCH(L6,Parameters!$A$5:$A$23,0)),""),"")</f>
        <v>1</v>
      </c>
      <c r="V6" s="16" t="n">
        <f aca="false">IFERROR(IF(ISNUMBER(INDEX(Parameters!$B$5:$B$23,MATCH(J6,Parameters!$A$5:$A$23,0))),INDEX(Parameters!$B$5:$B$23,MATCH(J6,Parameters!$A$5:$A$23,0)),""),"")</f>
        <v>1</v>
      </c>
      <c r="W6" s="16" t="n">
        <f aca="false">IF(K6&lt;&gt;"",1,IF(COUNTIF(Parameters!$A$27:$A$28,J6)&gt;0,0,""))</f>
        <v>0</v>
      </c>
      <c r="X6" s="17" t="n">
        <f aca="false">IF(J6="Not applicable",0,1)</f>
        <v>1</v>
      </c>
      <c r="Y6" s="17" t="n">
        <f aca="false">IF(OR(K6&lt;&gt;"",COUNTIF(Parameters!$A$27:$A$28,J6)&gt;0),1,0)</f>
        <v>1</v>
      </c>
      <c r="Z6"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6+(Parameters!$F$12=Parameters!$E$15)*Parameters!$I$12*Y6)=0,"",IF(AND(((Parameters!$F$5=Parameters!$E$15)*Parameters!$I$5*ISNUMBER(P6)+(Parameters!$F$6=Parameters!$E$15)*Parameters!$I$6*ISNUMBER(Q6)+(Parameters!$F$7=Parameters!$E$15)*Parameters!$I$7*ISNUMBER(R6)+(Parameters!$F$8=Parameters!$E$15)*Parameters!$I$8*ISNUMBER(S6)+(Parameters!$F$9=Parameters!$E$15)*Parameters!$I$9*ISNUMBER(T6)+(Parameters!$F$10=Parameters!$E$15)*Parameters!$I$10*ISNUMBER(U6)+(Parameters!$F$11=Parameters!$E$15)*Parameters!$I$11*ISNUMBER(V6)+(Parameters!$F$12=Parameters!$E$15)*Parameters!$I$12*ISNUMBER(W6))&gt;0,((Parameters!$F$5=Parameters!$E$15)*Parameters!$I$5*ISNUMBER(P6)+(Parameters!$F$6=Parameters!$E$15)*Parameters!$I$6*ISNUMBER(Q6)+(Parameters!$F$7=Parameters!$E$15)*Parameters!$I$7*ISNUMBER(R6)+(Parameters!$F$8=Parameters!$E$15)*Parameters!$I$8*ISNUMBER(S6)+(Parameters!$F$9=Parameters!$E$15)*Parameters!$I$9*ISNUMBER(T6)+(Parameters!$F$10=Parameters!$E$15)*Parameters!$I$10*ISNUMBER(U6)+(Parameters!$F$11=Parameters!$E$15)*Parameters!$I$11*ISNUMBER(V6)+(Parameters!$F$12=Parameters!$E$15)*Parameters!$I$12*ISNUMBER(W6))/((Parameters!$F$5=Parameters!$E$15)*Parameters!$I$5*1+(Parameters!$F$6=Parameters!$E$15)*Parameters!$I$6*1+(Parameters!$F$7=Parameters!$E$15)*Parameters!$I$7*1+(Parameters!$F$8=Parameters!$E$15)*Parameters!$I$8*1+(Parameters!$F$9=Parameters!$E$15)*Parameters!$I$9*1+(Parameters!$F$10=Parameters!$E$15)*Parameters!$I$10*1+(Parameters!$F$11=Parameters!$E$15)*Parameters!$I$11*X6+(Parameters!$F$12=Parameters!$E$15)*Parameters!$I$12*Y6)&gt;=Parameters!$B$36),((Parameters!$F$5=Parameters!$E$15)*Parameters!$I$5*N(P6)+(Parameters!$F$6=Parameters!$E$15)*Parameters!$I$6*N(Q6)+(Parameters!$F$7=Parameters!$E$15)*Parameters!$I$7*N(R6)+(Parameters!$F$8=Parameters!$E$15)*Parameters!$I$8*N(S6)+(Parameters!$F$9=Parameters!$E$15)*Parameters!$I$9*N(T6)+(Parameters!$F$10=Parameters!$E$15)*Parameters!$I$10*N(U6)+(Parameters!$F$11=Parameters!$E$15)*Parameters!$I$11*N(V6)+(Parameters!$F$12=Parameters!$E$15)*Parameters!$I$12*N(W6))/((Parameters!$F$5=Parameters!$E$15)*Parameters!$I$5*ISNUMBER(P6)+(Parameters!$F$6=Parameters!$E$15)*Parameters!$I$6*ISNUMBER(Q6)+(Parameters!$F$7=Parameters!$E$15)*Parameters!$I$7*ISNUMBER(R6)+(Parameters!$F$8=Parameters!$E$15)*Parameters!$I$8*ISNUMBER(S6)+(Parameters!$F$9=Parameters!$E$15)*Parameters!$I$9*ISNUMBER(T6)+(Parameters!$F$10=Parameters!$E$15)*Parameters!$I$10*ISNUMBER(U6)+(Parameters!$F$11=Parameters!$E$15)*Parameters!$I$11*ISNUMBER(V6)+(Parameters!$F$12=Parameters!$E$15)*Parameters!$I$12*ISNUMBER(W6)),""))</f>
        <v>0.953333333333333</v>
      </c>
      <c r="AA6"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6+(Parameters!$F$12=Parameters!$E$16)*Parameters!$I$12*Y6)=0,"",IF(AND(((Parameters!$F$5=Parameters!$E$16)*Parameters!$I$5*ISNUMBER(P6)+(Parameters!$F$6=Parameters!$E$16)*Parameters!$I$6*ISNUMBER(Q6)+(Parameters!$F$7=Parameters!$E$16)*Parameters!$I$7*ISNUMBER(R6)+(Parameters!$F$8=Parameters!$E$16)*Parameters!$I$8*ISNUMBER(S6)+(Parameters!$F$9=Parameters!$E$16)*Parameters!$I$9*ISNUMBER(T6)+(Parameters!$F$10=Parameters!$E$16)*Parameters!$I$10*ISNUMBER(U6)+(Parameters!$F$11=Parameters!$E$16)*Parameters!$I$11*ISNUMBER(V6)+(Parameters!$F$12=Parameters!$E$16)*Parameters!$I$12*ISNUMBER(W6))&gt;0,((Parameters!$F$5=Parameters!$E$16)*Parameters!$I$5*ISNUMBER(P6)+(Parameters!$F$6=Parameters!$E$16)*Parameters!$I$6*ISNUMBER(Q6)+(Parameters!$F$7=Parameters!$E$16)*Parameters!$I$7*ISNUMBER(R6)+(Parameters!$F$8=Parameters!$E$16)*Parameters!$I$8*ISNUMBER(S6)+(Parameters!$F$9=Parameters!$E$16)*Parameters!$I$9*ISNUMBER(T6)+(Parameters!$F$10=Parameters!$E$16)*Parameters!$I$10*ISNUMBER(U6)+(Parameters!$F$11=Parameters!$E$16)*Parameters!$I$11*ISNUMBER(V6)+(Parameters!$F$12=Parameters!$E$16)*Parameters!$I$12*ISNUMBER(W6))/((Parameters!$F$5=Parameters!$E$16)*Parameters!$I$5*1+(Parameters!$F$6=Parameters!$E$16)*Parameters!$I$6*1+(Parameters!$F$7=Parameters!$E$16)*Parameters!$I$7*1+(Parameters!$F$8=Parameters!$E$16)*Parameters!$I$8*1+(Parameters!$F$9=Parameters!$E$16)*Parameters!$I$9*1+(Parameters!$F$10=Parameters!$E$16)*Parameters!$I$10*1+(Parameters!$F$11=Parameters!$E$16)*Parameters!$I$11*X6+(Parameters!$F$12=Parameters!$E$16)*Parameters!$I$12*Y6)&gt;=Parameters!$B$36),((Parameters!$F$5=Parameters!$E$16)*Parameters!$I$5*N(P6)+(Parameters!$F$6=Parameters!$E$16)*Parameters!$I$6*N(Q6)+(Parameters!$F$7=Parameters!$E$16)*Parameters!$I$7*N(R6)+(Parameters!$F$8=Parameters!$E$16)*Parameters!$I$8*N(S6)+(Parameters!$F$9=Parameters!$E$16)*Parameters!$I$9*N(T6)+(Parameters!$F$10=Parameters!$E$16)*Parameters!$I$10*N(U6)+(Parameters!$F$11=Parameters!$E$16)*Parameters!$I$11*N(V6)+(Parameters!$F$12=Parameters!$E$16)*Parameters!$I$12*N(W6))/((Parameters!$F$5=Parameters!$E$16)*Parameters!$I$5*ISNUMBER(P6)+(Parameters!$F$6=Parameters!$E$16)*Parameters!$I$6*ISNUMBER(Q6)+(Parameters!$F$7=Parameters!$E$16)*Parameters!$I$7*ISNUMBER(R6)+(Parameters!$F$8=Parameters!$E$16)*Parameters!$I$8*ISNUMBER(S6)+(Parameters!$F$9=Parameters!$E$16)*Parameters!$I$9*ISNUMBER(T6)+(Parameters!$F$10=Parameters!$E$16)*Parameters!$I$10*ISNUMBER(U6)+(Parameters!$F$11=Parameters!$E$16)*Parameters!$I$11*ISNUMBER(V6)+(Parameters!$F$12=Parameters!$E$16)*Parameters!$I$12*ISNUMBER(W6)),""))</f>
        <v>0.666666666666667</v>
      </c>
      <c r="AB6"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6+(Parameters!$F$12=Parameters!$E$17)*Parameters!$I$12*Y6)=0,"",IF(AND(((Parameters!$F$5=Parameters!$E$17)*Parameters!$I$5*ISNUMBER(P6)+(Parameters!$F$6=Parameters!$E$17)*Parameters!$I$6*ISNUMBER(Q6)+(Parameters!$F$7=Parameters!$E$17)*Parameters!$I$7*ISNUMBER(R6)+(Parameters!$F$8=Parameters!$E$17)*Parameters!$I$8*ISNUMBER(S6)+(Parameters!$F$9=Parameters!$E$17)*Parameters!$I$9*ISNUMBER(T6)+(Parameters!$F$10=Parameters!$E$17)*Parameters!$I$10*ISNUMBER(U6)+(Parameters!$F$11=Parameters!$E$17)*Parameters!$I$11*ISNUMBER(V6)+(Parameters!$F$12=Parameters!$E$17)*Parameters!$I$12*ISNUMBER(W6))&gt;0,((Parameters!$F$5=Parameters!$E$17)*Parameters!$I$5*ISNUMBER(P6)+(Parameters!$F$6=Parameters!$E$17)*Parameters!$I$6*ISNUMBER(Q6)+(Parameters!$F$7=Parameters!$E$17)*Parameters!$I$7*ISNUMBER(R6)+(Parameters!$F$8=Parameters!$E$17)*Parameters!$I$8*ISNUMBER(S6)+(Parameters!$F$9=Parameters!$E$17)*Parameters!$I$9*ISNUMBER(T6)+(Parameters!$F$10=Parameters!$E$17)*Parameters!$I$10*ISNUMBER(U6)+(Parameters!$F$11=Parameters!$E$17)*Parameters!$I$11*ISNUMBER(V6)+(Parameters!$F$12=Parameters!$E$17)*Parameters!$I$12*ISNUMBER(W6))/((Parameters!$F$5=Parameters!$E$17)*Parameters!$I$5*1+(Parameters!$F$6=Parameters!$E$17)*Parameters!$I$6*1+(Parameters!$F$7=Parameters!$E$17)*Parameters!$I$7*1+(Parameters!$F$8=Parameters!$E$17)*Parameters!$I$8*1+(Parameters!$F$9=Parameters!$E$17)*Parameters!$I$9*1+(Parameters!$F$10=Parameters!$E$17)*Parameters!$I$10*1+(Parameters!$F$11=Parameters!$E$17)*Parameters!$I$11*X6+(Parameters!$F$12=Parameters!$E$17)*Parameters!$I$12*Y6)&gt;=Parameters!$B$36),((Parameters!$F$5=Parameters!$E$17)*Parameters!$I$5*N(P6)+(Parameters!$F$6=Parameters!$E$17)*Parameters!$I$6*N(Q6)+(Parameters!$F$7=Parameters!$E$17)*Parameters!$I$7*N(R6)+(Parameters!$F$8=Parameters!$E$17)*Parameters!$I$8*N(S6)+(Parameters!$F$9=Parameters!$E$17)*Parameters!$I$9*N(T6)+(Parameters!$F$10=Parameters!$E$17)*Parameters!$I$10*N(U6)+(Parameters!$F$11=Parameters!$E$17)*Parameters!$I$11*N(V6)+(Parameters!$F$12=Parameters!$E$17)*Parameters!$I$12*N(W6))/((Parameters!$F$5=Parameters!$E$17)*Parameters!$I$5*ISNUMBER(P6)+(Parameters!$F$6=Parameters!$E$17)*Parameters!$I$6*ISNUMBER(Q6)+(Parameters!$F$7=Parameters!$E$17)*Parameters!$I$7*ISNUMBER(R6)+(Parameters!$F$8=Parameters!$E$17)*Parameters!$I$8*ISNUMBER(S6)+(Parameters!$F$9=Parameters!$E$17)*Parameters!$I$9*ISNUMBER(T6)+(Parameters!$F$10=Parameters!$E$17)*Parameters!$I$10*ISNUMBER(U6)+(Parameters!$F$11=Parameters!$E$17)*Parameters!$I$11*ISNUMBER(V6)+(Parameters!$F$12=Parameters!$E$17)*Parameters!$I$12*ISNUMBER(W6)),""))</f>
        <v>0.5</v>
      </c>
      <c r="AC6" s="17" t="n">
        <f aca="false">Parameters!$I$5*ISNUMBER(P6)+Parameters!$I$6*ISNUMBER(Q6)+Parameters!$I$7*ISNUMBER(R6)+Parameters!$I$8*ISNUMBER(S6)+Parameters!$I$9*ISNUMBER(T6)+Parameters!$I$10*ISNUMBER(U6)+Parameters!$I$11*ISNUMBER(V6)+Parameters!$I$12*ISNUMBER(W6)</f>
        <v>85</v>
      </c>
      <c r="AD6" s="17" t="n">
        <f aca="false">Parameters!$I$5*1+Parameters!$I$6*1+Parameters!$I$7*1+Parameters!$I$8*1+Parameters!$I$9*1+Parameters!$I$10*1+Parameters!$I$11*X6+Parameters!$I$12*Y6</f>
        <v>95</v>
      </c>
      <c r="AE6" s="18" t="n">
        <f aca="false">IF(AD6=0,"",AC6/AD6)</f>
        <v>0.894736842105263</v>
      </c>
      <c r="AF6" s="17" t="str">
        <f aca="false">IF(ISNUMBER(Z6),"M","")&amp;IF(ISNUMBER(AA6),"I","")&amp;IF(ISNUMBER(AB6),"O","")</f>
        <v>MIO</v>
      </c>
      <c r="AG6" s="19" t="n">
        <f aca="false">IF(AND(ISNUMBER(AE6),ISNUMBER(Z6)+ISNUMBER(AA6)+ISNUMBER(AB6)&gt;=Parameters!$B$37),IF(AE6&gt;=Parameters!$B$35,100*(Parameters!$F$15*N(Z6)+Parameters!$F$16*N(AA6)+Parameters!$F$17*N(AB6))/(Parameters!$F$15*ISNUMBER(Z6)+Parameters!$F$16*ISNUMBER(AA6)+Parameters!$F$17*ISNUMBER(AB6)),""),"")</f>
        <v>77.6666666666667</v>
      </c>
      <c r="AH6" s="17" t="n">
        <f aca="false">IF(ISNUMBER(AG6),RANK(AG6,$AG$2:$AG$113),"")</f>
        <v>83</v>
      </c>
    </row>
    <row r="7" customFormat="false" ht="15" hidden="false" customHeight="false" outlineLevel="0" collapsed="false">
      <c r="A7" s="5" t="s">
        <v>158</v>
      </c>
      <c r="B7" s="5" t="s">
        <v>159</v>
      </c>
      <c r="C7" s="5" t="s">
        <v>160</v>
      </c>
      <c r="D7" s="5" t="s">
        <v>40</v>
      </c>
      <c r="E7" s="5" t="s">
        <v>44</v>
      </c>
      <c r="F7" s="5" t="s">
        <v>161</v>
      </c>
      <c r="G7" s="15"/>
      <c r="H7" s="8"/>
      <c r="I7" s="5" t="s">
        <v>57</v>
      </c>
      <c r="J7" s="5" t="s">
        <v>74</v>
      </c>
      <c r="K7" s="15"/>
      <c r="L7" s="5" t="s">
        <v>87</v>
      </c>
      <c r="M7" s="5" t="s">
        <v>157</v>
      </c>
      <c r="N7" s="5"/>
      <c r="O7" s="5"/>
      <c r="P7" s="16" t="n">
        <f aca="false">IFERROR(IF(ISNUMBER(INDEX(Parameters!$B$5:$B$23,MATCH(D7,Parameters!$A$5:$A$23,0))),INDEX(Parameters!$B$5:$B$23,MATCH(D7,Parameters!$A$5:$A$23,0)),""),"")</f>
        <v>0.555555555555556</v>
      </c>
      <c r="Q7" s="16" t="n">
        <f aca="false">IFERROR(IF(ISNUMBER(INDEX(Parameters!$B$5:$B$23,MATCH(E7,Parameters!$A$5:$A$23,0))),INDEX(Parameters!$B$5:$B$23,MATCH(E7,Parameters!$A$5:$A$23,0)),""),"")</f>
        <v>1</v>
      </c>
      <c r="R7" s="16" t="n">
        <f aca="false">IF(F7="","",IFERROR(MIN(Parameters!$B$33,MAX(0,Parameters!$B$32-VALUE(LEFT(F7,4))))/Parameters!$B$33,""))</f>
        <v>1</v>
      </c>
      <c r="S7" s="16" t="str">
        <f aca="false">IF(ISNUMBER(H7),H7,IF(G7="",IF(ISNUMBER(Parameters!$B$34),Parameters!$B$34,""),""))</f>
        <v/>
      </c>
      <c r="T7" s="16" t="n">
        <f aca="false">IFERROR(IF(ISNUMBER(INDEX(Parameters!$B$5:$B$23,MATCH(I7,Parameters!$A$5:$A$23,0))),INDEX(Parameters!$B$5:$B$23,MATCH(I7,Parameters!$A$5:$A$23,0)),""),"")</f>
        <v>0</v>
      </c>
      <c r="U7" s="16" t="n">
        <f aca="false">IFERROR(IF(ISNUMBER(INDEX(Parameters!$B$5:$B$23,MATCH(L7,Parameters!$A$5:$A$23,0))),INDEX(Parameters!$B$5:$B$23,MATCH(L7,Parameters!$A$5:$A$23,0)),""),"")</f>
        <v>0</v>
      </c>
      <c r="V7" s="16" t="str">
        <f aca="false">IFERROR(IF(ISNUMBER(INDEX(Parameters!$B$5:$B$23,MATCH(J7,Parameters!$A$5:$A$23,0))),INDEX(Parameters!$B$5:$B$23,MATCH(J7,Parameters!$A$5:$A$23,0)),""),"")</f>
        <v/>
      </c>
      <c r="W7" s="16" t="str">
        <f aca="false">IF(K7&lt;&gt;"",1,IF(COUNTIF(Parameters!$A$27:$A$28,J7)&gt;0,0,""))</f>
        <v/>
      </c>
      <c r="X7" s="17" t="n">
        <f aca="false">IF(J7="Not applicable",0,1)</f>
        <v>0</v>
      </c>
      <c r="Y7" s="17" t="n">
        <f aca="false">IF(OR(K7&lt;&gt;"",COUNTIF(Parameters!$A$27:$A$28,J7)&gt;0),1,0)</f>
        <v>0</v>
      </c>
      <c r="Z7"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7+(Parameters!$F$12=Parameters!$E$15)*Parameters!$I$12*Y7)=0,"",IF(AND(((Parameters!$F$5=Parameters!$E$15)*Parameters!$I$5*ISNUMBER(P7)+(Parameters!$F$6=Parameters!$E$15)*Parameters!$I$6*ISNUMBER(Q7)+(Parameters!$F$7=Parameters!$E$15)*Parameters!$I$7*ISNUMBER(R7)+(Parameters!$F$8=Parameters!$E$15)*Parameters!$I$8*ISNUMBER(S7)+(Parameters!$F$9=Parameters!$E$15)*Parameters!$I$9*ISNUMBER(T7)+(Parameters!$F$10=Parameters!$E$15)*Parameters!$I$10*ISNUMBER(U7)+(Parameters!$F$11=Parameters!$E$15)*Parameters!$I$11*ISNUMBER(V7)+(Parameters!$F$12=Parameters!$E$15)*Parameters!$I$12*ISNUMBER(W7))&gt;0,((Parameters!$F$5=Parameters!$E$15)*Parameters!$I$5*ISNUMBER(P7)+(Parameters!$F$6=Parameters!$E$15)*Parameters!$I$6*ISNUMBER(Q7)+(Parameters!$F$7=Parameters!$E$15)*Parameters!$I$7*ISNUMBER(R7)+(Parameters!$F$8=Parameters!$E$15)*Parameters!$I$8*ISNUMBER(S7)+(Parameters!$F$9=Parameters!$E$15)*Parameters!$I$9*ISNUMBER(T7)+(Parameters!$F$10=Parameters!$E$15)*Parameters!$I$10*ISNUMBER(U7)+(Parameters!$F$11=Parameters!$E$15)*Parameters!$I$11*ISNUMBER(V7)+(Parameters!$F$12=Parameters!$E$15)*Parameters!$I$12*ISNUMBER(W7))/((Parameters!$F$5=Parameters!$E$15)*Parameters!$I$5*1+(Parameters!$F$6=Parameters!$E$15)*Parameters!$I$6*1+(Parameters!$F$7=Parameters!$E$15)*Parameters!$I$7*1+(Parameters!$F$8=Parameters!$E$15)*Parameters!$I$8*1+(Parameters!$F$9=Parameters!$E$15)*Parameters!$I$9*1+(Parameters!$F$10=Parameters!$E$15)*Parameters!$I$10*1+(Parameters!$F$11=Parameters!$E$15)*Parameters!$I$11*X7+(Parameters!$F$12=Parameters!$E$15)*Parameters!$I$12*Y7)&gt;=Parameters!$B$36),((Parameters!$F$5=Parameters!$E$15)*Parameters!$I$5*N(P7)+(Parameters!$F$6=Parameters!$E$15)*Parameters!$I$6*N(Q7)+(Parameters!$F$7=Parameters!$E$15)*Parameters!$I$7*N(R7)+(Parameters!$F$8=Parameters!$E$15)*Parameters!$I$8*N(S7)+(Parameters!$F$9=Parameters!$E$15)*Parameters!$I$9*N(T7)+(Parameters!$F$10=Parameters!$E$15)*Parameters!$I$10*N(U7)+(Parameters!$F$11=Parameters!$E$15)*Parameters!$I$11*N(V7)+(Parameters!$F$12=Parameters!$E$15)*Parameters!$I$12*N(W7))/((Parameters!$F$5=Parameters!$E$15)*Parameters!$I$5*ISNUMBER(P7)+(Parameters!$F$6=Parameters!$E$15)*Parameters!$I$6*ISNUMBER(Q7)+(Parameters!$F$7=Parameters!$E$15)*Parameters!$I$7*ISNUMBER(R7)+(Parameters!$F$8=Parameters!$E$15)*Parameters!$I$8*ISNUMBER(S7)+(Parameters!$F$9=Parameters!$E$15)*Parameters!$I$9*ISNUMBER(T7)+(Parameters!$F$10=Parameters!$E$15)*Parameters!$I$10*ISNUMBER(U7)+(Parameters!$F$11=Parameters!$E$15)*Parameters!$I$11*ISNUMBER(V7)+(Parameters!$F$12=Parameters!$E$15)*Parameters!$I$12*ISNUMBER(W7)),""))</f>
        <v>0.822222222222222</v>
      </c>
      <c r="AA7"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7+(Parameters!$F$12=Parameters!$E$16)*Parameters!$I$12*Y7)=0,"",IF(AND(((Parameters!$F$5=Parameters!$E$16)*Parameters!$I$5*ISNUMBER(P7)+(Parameters!$F$6=Parameters!$E$16)*Parameters!$I$6*ISNUMBER(Q7)+(Parameters!$F$7=Parameters!$E$16)*Parameters!$I$7*ISNUMBER(R7)+(Parameters!$F$8=Parameters!$E$16)*Parameters!$I$8*ISNUMBER(S7)+(Parameters!$F$9=Parameters!$E$16)*Parameters!$I$9*ISNUMBER(T7)+(Parameters!$F$10=Parameters!$E$16)*Parameters!$I$10*ISNUMBER(U7)+(Parameters!$F$11=Parameters!$E$16)*Parameters!$I$11*ISNUMBER(V7)+(Parameters!$F$12=Parameters!$E$16)*Parameters!$I$12*ISNUMBER(W7))&gt;0,((Parameters!$F$5=Parameters!$E$16)*Parameters!$I$5*ISNUMBER(P7)+(Parameters!$F$6=Parameters!$E$16)*Parameters!$I$6*ISNUMBER(Q7)+(Parameters!$F$7=Parameters!$E$16)*Parameters!$I$7*ISNUMBER(R7)+(Parameters!$F$8=Parameters!$E$16)*Parameters!$I$8*ISNUMBER(S7)+(Parameters!$F$9=Parameters!$E$16)*Parameters!$I$9*ISNUMBER(T7)+(Parameters!$F$10=Parameters!$E$16)*Parameters!$I$10*ISNUMBER(U7)+(Parameters!$F$11=Parameters!$E$16)*Parameters!$I$11*ISNUMBER(V7)+(Parameters!$F$12=Parameters!$E$16)*Parameters!$I$12*ISNUMBER(W7))/((Parameters!$F$5=Parameters!$E$16)*Parameters!$I$5*1+(Parameters!$F$6=Parameters!$E$16)*Parameters!$I$6*1+(Parameters!$F$7=Parameters!$E$16)*Parameters!$I$7*1+(Parameters!$F$8=Parameters!$E$16)*Parameters!$I$8*1+(Parameters!$F$9=Parameters!$E$16)*Parameters!$I$9*1+(Parameters!$F$10=Parameters!$E$16)*Parameters!$I$10*1+(Parameters!$F$11=Parameters!$E$16)*Parameters!$I$11*X7+(Parameters!$F$12=Parameters!$E$16)*Parameters!$I$12*Y7)&gt;=Parameters!$B$36),((Parameters!$F$5=Parameters!$E$16)*Parameters!$I$5*N(P7)+(Parameters!$F$6=Parameters!$E$16)*Parameters!$I$6*N(Q7)+(Parameters!$F$7=Parameters!$E$16)*Parameters!$I$7*N(R7)+(Parameters!$F$8=Parameters!$E$16)*Parameters!$I$8*N(S7)+(Parameters!$F$9=Parameters!$E$16)*Parameters!$I$9*N(T7)+(Parameters!$F$10=Parameters!$E$16)*Parameters!$I$10*N(U7)+(Parameters!$F$11=Parameters!$E$16)*Parameters!$I$11*N(V7)+(Parameters!$F$12=Parameters!$E$16)*Parameters!$I$12*N(W7))/((Parameters!$F$5=Parameters!$E$16)*Parameters!$I$5*ISNUMBER(P7)+(Parameters!$F$6=Parameters!$E$16)*Parameters!$I$6*ISNUMBER(Q7)+(Parameters!$F$7=Parameters!$E$16)*Parameters!$I$7*ISNUMBER(R7)+(Parameters!$F$8=Parameters!$E$16)*Parameters!$I$8*ISNUMBER(S7)+(Parameters!$F$9=Parameters!$E$16)*Parameters!$I$9*ISNUMBER(T7)+(Parameters!$F$10=Parameters!$E$16)*Parameters!$I$10*ISNUMBER(U7)+(Parameters!$F$11=Parameters!$E$16)*Parameters!$I$11*ISNUMBER(V7)+(Parameters!$F$12=Parameters!$E$16)*Parameters!$I$12*ISNUMBER(W7)),""))</f>
        <v>0</v>
      </c>
      <c r="AB7"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7+(Parameters!$F$12=Parameters!$E$17)*Parameters!$I$12*Y7)=0,"",IF(AND(((Parameters!$F$5=Parameters!$E$17)*Parameters!$I$5*ISNUMBER(P7)+(Parameters!$F$6=Parameters!$E$17)*Parameters!$I$6*ISNUMBER(Q7)+(Parameters!$F$7=Parameters!$E$17)*Parameters!$I$7*ISNUMBER(R7)+(Parameters!$F$8=Parameters!$E$17)*Parameters!$I$8*ISNUMBER(S7)+(Parameters!$F$9=Parameters!$E$17)*Parameters!$I$9*ISNUMBER(T7)+(Parameters!$F$10=Parameters!$E$17)*Parameters!$I$10*ISNUMBER(U7)+(Parameters!$F$11=Parameters!$E$17)*Parameters!$I$11*ISNUMBER(V7)+(Parameters!$F$12=Parameters!$E$17)*Parameters!$I$12*ISNUMBER(W7))&gt;0,((Parameters!$F$5=Parameters!$E$17)*Parameters!$I$5*ISNUMBER(P7)+(Parameters!$F$6=Parameters!$E$17)*Parameters!$I$6*ISNUMBER(Q7)+(Parameters!$F$7=Parameters!$E$17)*Parameters!$I$7*ISNUMBER(R7)+(Parameters!$F$8=Parameters!$E$17)*Parameters!$I$8*ISNUMBER(S7)+(Parameters!$F$9=Parameters!$E$17)*Parameters!$I$9*ISNUMBER(T7)+(Parameters!$F$10=Parameters!$E$17)*Parameters!$I$10*ISNUMBER(U7)+(Parameters!$F$11=Parameters!$E$17)*Parameters!$I$11*ISNUMBER(V7)+(Parameters!$F$12=Parameters!$E$17)*Parameters!$I$12*ISNUMBER(W7))/((Parameters!$F$5=Parameters!$E$17)*Parameters!$I$5*1+(Parameters!$F$6=Parameters!$E$17)*Parameters!$I$6*1+(Parameters!$F$7=Parameters!$E$17)*Parameters!$I$7*1+(Parameters!$F$8=Parameters!$E$17)*Parameters!$I$8*1+(Parameters!$F$9=Parameters!$E$17)*Parameters!$I$9*1+(Parameters!$F$10=Parameters!$E$17)*Parameters!$I$10*1+(Parameters!$F$11=Parameters!$E$17)*Parameters!$I$11*X7+(Parameters!$F$12=Parameters!$E$17)*Parameters!$I$12*Y7)&gt;=Parameters!$B$36),((Parameters!$F$5=Parameters!$E$17)*Parameters!$I$5*N(P7)+(Parameters!$F$6=Parameters!$E$17)*Parameters!$I$6*N(Q7)+(Parameters!$F$7=Parameters!$E$17)*Parameters!$I$7*N(R7)+(Parameters!$F$8=Parameters!$E$17)*Parameters!$I$8*N(S7)+(Parameters!$F$9=Parameters!$E$17)*Parameters!$I$9*N(T7)+(Parameters!$F$10=Parameters!$E$17)*Parameters!$I$10*N(U7)+(Parameters!$F$11=Parameters!$E$17)*Parameters!$I$11*N(V7)+(Parameters!$F$12=Parameters!$E$17)*Parameters!$I$12*N(W7))/((Parameters!$F$5=Parameters!$E$17)*Parameters!$I$5*ISNUMBER(P7)+(Parameters!$F$6=Parameters!$E$17)*Parameters!$I$6*ISNUMBER(Q7)+(Parameters!$F$7=Parameters!$E$17)*Parameters!$I$7*ISNUMBER(R7)+(Parameters!$F$8=Parameters!$E$17)*Parameters!$I$8*ISNUMBER(S7)+(Parameters!$F$9=Parameters!$E$17)*Parameters!$I$9*ISNUMBER(T7)+(Parameters!$F$10=Parameters!$E$17)*Parameters!$I$10*ISNUMBER(U7)+(Parameters!$F$11=Parameters!$E$17)*Parameters!$I$11*ISNUMBER(V7)+(Parameters!$F$12=Parameters!$E$17)*Parameters!$I$12*ISNUMBER(W7)),""))</f>
        <v/>
      </c>
      <c r="AC7" s="17" t="n">
        <f aca="false">Parameters!$I$5*ISNUMBER(P7)+Parameters!$I$6*ISNUMBER(Q7)+Parameters!$I$7*ISNUMBER(R7)+Parameters!$I$8*ISNUMBER(S7)+Parameters!$I$9*ISNUMBER(T7)+Parameters!$I$10*ISNUMBER(U7)+Parameters!$I$11*ISNUMBER(V7)+Parameters!$I$12*ISNUMBER(W7)</f>
        <v>65</v>
      </c>
      <c r="AD7" s="17" t="n">
        <f aca="false">Parameters!$I$5*1+Parameters!$I$6*1+Parameters!$I$7*1+Parameters!$I$8*1+Parameters!$I$9*1+Parameters!$I$10*1+Parameters!$I$11*X7+Parameters!$I$12*Y7</f>
        <v>75</v>
      </c>
      <c r="AE7" s="18" t="n">
        <f aca="false">IF(AD7=0,"",AC7/AD7)</f>
        <v>0.866666666666667</v>
      </c>
      <c r="AF7" s="17" t="str">
        <f aca="false">IF(ISNUMBER(Z7),"M","")&amp;IF(ISNUMBER(AA7),"I","")&amp;IF(ISNUMBER(AB7),"O","")</f>
        <v>MI</v>
      </c>
      <c r="AG7" s="19" t="n">
        <f aca="false">IF(AND(ISNUMBER(AE7),ISNUMBER(Z7)+ISNUMBER(AA7)+ISNUMBER(AB7)&gt;=Parameters!$B$37),IF(AE7&gt;=Parameters!$B$35,100*(Parameters!$F$15*N(Z7)+Parameters!$F$16*N(AA7)+Parameters!$F$17*N(AB7))/(Parameters!$F$15*ISNUMBER(Z7)+Parameters!$F$16*ISNUMBER(AA7)+Parameters!$F$17*ISNUMBER(AB7)),""),"")</f>
        <v>51.3888888888889</v>
      </c>
      <c r="AH7" s="17" t="n">
        <f aca="false">IF(ISNUMBER(AG7),RANK(AG7,$AG$2:$AG$113),"")</f>
        <v>107</v>
      </c>
    </row>
    <row r="8" customFormat="false" ht="15" hidden="false" customHeight="false" outlineLevel="0" collapsed="false">
      <c r="A8" s="5" t="s">
        <v>162</v>
      </c>
      <c r="B8" s="5" t="s">
        <v>163</v>
      </c>
      <c r="C8" s="5" t="s">
        <v>164</v>
      </c>
      <c r="D8" s="5" t="s">
        <v>31</v>
      </c>
      <c r="E8" s="5" t="s">
        <v>44</v>
      </c>
      <c r="F8" s="5" t="s">
        <v>165</v>
      </c>
      <c r="G8" s="15" t="s">
        <v>166</v>
      </c>
      <c r="H8" s="8" t="n">
        <v>0</v>
      </c>
      <c r="I8" s="5" t="s">
        <v>57</v>
      </c>
      <c r="J8" s="5" t="s">
        <v>68</v>
      </c>
      <c r="K8" s="15" t="s">
        <v>167</v>
      </c>
      <c r="L8" s="5" t="s">
        <v>85</v>
      </c>
      <c r="M8" s="5" t="s">
        <v>141</v>
      </c>
      <c r="N8" s="5" t="s">
        <v>168</v>
      </c>
      <c r="O8" s="5"/>
      <c r="P8" s="16" t="n">
        <f aca="false">IFERROR(IF(ISNUMBER(INDEX(Parameters!$B$5:$B$23,MATCH(D8,Parameters!$A$5:$A$23,0))),INDEX(Parameters!$B$5:$B$23,MATCH(D8,Parameters!$A$5:$A$23,0)),""),"")</f>
        <v>1</v>
      </c>
      <c r="Q8" s="16" t="n">
        <f aca="false">IFERROR(IF(ISNUMBER(INDEX(Parameters!$B$5:$B$23,MATCH(E8,Parameters!$A$5:$A$23,0))),INDEX(Parameters!$B$5:$B$23,MATCH(E8,Parameters!$A$5:$A$23,0)),""),"")</f>
        <v>1</v>
      </c>
      <c r="R8" s="16" t="n">
        <f aca="false">IF(F8="","",IFERROR(MIN(Parameters!$B$33,MAX(0,Parameters!$B$32-VALUE(LEFT(F8,4))))/Parameters!$B$33,""))</f>
        <v>1</v>
      </c>
      <c r="S8" s="16" t="n">
        <f aca="false">IF(ISNUMBER(H8),H8,IF(G8="",IF(ISNUMBER(Parameters!$B$34),Parameters!$B$34,""),""))</f>
        <v>0</v>
      </c>
      <c r="T8" s="16" t="n">
        <f aca="false">IFERROR(IF(ISNUMBER(INDEX(Parameters!$B$5:$B$23,MATCH(I8,Parameters!$A$5:$A$23,0))),INDEX(Parameters!$B$5:$B$23,MATCH(I8,Parameters!$A$5:$A$23,0)),""),"")</f>
        <v>0</v>
      </c>
      <c r="U8" s="16" t="n">
        <f aca="false">IFERROR(IF(ISNUMBER(INDEX(Parameters!$B$5:$B$23,MATCH(L8,Parameters!$A$5:$A$23,0))),INDEX(Parameters!$B$5:$B$23,MATCH(L8,Parameters!$A$5:$A$23,0)),""),"")</f>
        <v>0.5</v>
      </c>
      <c r="V8" s="16" t="n">
        <f aca="false">IFERROR(IF(ISNUMBER(INDEX(Parameters!$B$5:$B$23,MATCH(J8,Parameters!$A$5:$A$23,0))),INDEX(Parameters!$B$5:$B$23,MATCH(J8,Parameters!$A$5:$A$23,0)),""),"")</f>
        <v>1</v>
      </c>
      <c r="W8" s="16" t="n">
        <f aca="false">IF(K8&lt;&gt;"",1,IF(COUNTIF(Parameters!$A$27:$A$28,J8)&gt;0,0,""))</f>
        <v>1</v>
      </c>
      <c r="X8" s="17" t="n">
        <f aca="false">IF(J8="Not applicable",0,1)</f>
        <v>1</v>
      </c>
      <c r="Y8" s="17" t="n">
        <f aca="false">IF(OR(K8&lt;&gt;"",COUNTIF(Parameters!$A$27:$A$28,J8)&gt;0),1,0)</f>
        <v>1</v>
      </c>
      <c r="Z8"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8+(Parameters!$F$12=Parameters!$E$15)*Parameters!$I$12*Y8)=0,"",IF(AND(((Parameters!$F$5=Parameters!$E$15)*Parameters!$I$5*ISNUMBER(P8)+(Parameters!$F$6=Parameters!$E$15)*Parameters!$I$6*ISNUMBER(Q8)+(Parameters!$F$7=Parameters!$E$15)*Parameters!$I$7*ISNUMBER(R8)+(Parameters!$F$8=Parameters!$E$15)*Parameters!$I$8*ISNUMBER(S8)+(Parameters!$F$9=Parameters!$E$15)*Parameters!$I$9*ISNUMBER(T8)+(Parameters!$F$10=Parameters!$E$15)*Parameters!$I$10*ISNUMBER(U8)+(Parameters!$F$11=Parameters!$E$15)*Parameters!$I$11*ISNUMBER(V8)+(Parameters!$F$12=Parameters!$E$15)*Parameters!$I$12*ISNUMBER(W8))&gt;0,((Parameters!$F$5=Parameters!$E$15)*Parameters!$I$5*ISNUMBER(P8)+(Parameters!$F$6=Parameters!$E$15)*Parameters!$I$6*ISNUMBER(Q8)+(Parameters!$F$7=Parameters!$E$15)*Parameters!$I$7*ISNUMBER(R8)+(Parameters!$F$8=Parameters!$E$15)*Parameters!$I$8*ISNUMBER(S8)+(Parameters!$F$9=Parameters!$E$15)*Parameters!$I$9*ISNUMBER(T8)+(Parameters!$F$10=Parameters!$E$15)*Parameters!$I$10*ISNUMBER(U8)+(Parameters!$F$11=Parameters!$E$15)*Parameters!$I$11*ISNUMBER(V8)+(Parameters!$F$12=Parameters!$E$15)*Parameters!$I$12*ISNUMBER(W8))/((Parameters!$F$5=Parameters!$E$15)*Parameters!$I$5*1+(Parameters!$F$6=Parameters!$E$15)*Parameters!$I$6*1+(Parameters!$F$7=Parameters!$E$15)*Parameters!$I$7*1+(Parameters!$F$8=Parameters!$E$15)*Parameters!$I$8*1+(Parameters!$F$9=Parameters!$E$15)*Parameters!$I$9*1+(Parameters!$F$10=Parameters!$E$15)*Parameters!$I$10*1+(Parameters!$F$11=Parameters!$E$15)*Parameters!$I$11*X8+(Parameters!$F$12=Parameters!$E$15)*Parameters!$I$12*Y8)&gt;=Parameters!$B$36),((Parameters!$F$5=Parameters!$E$15)*Parameters!$I$5*N(P8)+(Parameters!$F$6=Parameters!$E$15)*Parameters!$I$6*N(Q8)+(Parameters!$F$7=Parameters!$E$15)*Parameters!$I$7*N(R8)+(Parameters!$F$8=Parameters!$E$15)*Parameters!$I$8*N(S8)+(Parameters!$F$9=Parameters!$E$15)*Parameters!$I$9*N(T8)+(Parameters!$F$10=Parameters!$E$15)*Parameters!$I$10*N(U8)+(Parameters!$F$11=Parameters!$E$15)*Parameters!$I$11*N(V8)+(Parameters!$F$12=Parameters!$E$15)*Parameters!$I$12*N(W8))/((Parameters!$F$5=Parameters!$E$15)*Parameters!$I$5*ISNUMBER(P8)+(Parameters!$F$6=Parameters!$E$15)*Parameters!$I$6*ISNUMBER(Q8)+(Parameters!$F$7=Parameters!$E$15)*Parameters!$I$7*ISNUMBER(R8)+(Parameters!$F$8=Parameters!$E$15)*Parameters!$I$8*ISNUMBER(S8)+(Parameters!$F$9=Parameters!$E$15)*Parameters!$I$9*ISNUMBER(T8)+(Parameters!$F$10=Parameters!$E$15)*Parameters!$I$10*ISNUMBER(U8)+(Parameters!$F$11=Parameters!$E$15)*Parameters!$I$11*ISNUMBER(V8)+(Parameters!$F$12=Parameters!$E$15)*Parameters!$I$12*ISNUMBER(W8)),""))</f>
        <v>1</v>
      </c>
      <c r="AA8"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8+(Parameters!$F$12=Parameters!$E$16)*Parameters!$I$12*Y8)=0,"",IF(AND(((Parameters!$F$5=Parameters!$E$16)*Parameters!$I$5*ISNUMBER(P8)+(Parameters!$F$6=Parameters!$E$16)*Parameters!$I$6*ISNUMBER(Q8)+(Parameters!$F$7=Parameters!$E$16)*Parameters!$I$7*ISNUMBER(R8)+(Parameters!$F$8=Parameters!$E$16)*Parameters!$I$8*ISNUMBER(S8)+(Parameters!$F$9=Parameters!$E$16)*Parameters!$I$9*ISNUMBER(T8)+(Parameters!$F$10=Parameters!$E$16)*Parameters!$I$10*ISNUMBER(U8)+(Parameters!$F$11=Parameters!$E$16)*Parameters!$I$11*ISNUMBER(V8)+(Parameters!$F$12=Parameters!$E$16)*Parameters!$I$12*ISNUMBER(W8))&gt;0,((Parameters!$F$5=Parameters!$E$16)*Parameters!$I$5*ISNUMBER(P8)+(Parameters!$F$6=Parameters!$E$16)*Parameters!$I$6*ISNUMBER(Q8)+(Parameters!$F$7=Parameters!$E$16)*Parameters!$I$7*ISNUMBER(R8)+(Parameters!$F$8=Parameters!$E$16)*Parameters!$I$8*ISNUMBER(S8)+(Parameters!$F$9=Parameters!$E$16)*Parameters!$I$9*ISNUMBER(T8)+(Parameters!$F$10=Parameters!$E$16)*Parameters!$I$10*ISNUMBER(U8)+(Parameters!$F$11=Parameters!$E$16)*Parameters!$I$11*ISNUMBER(V8)+(Parameters!$F$12=Parameters!$E$16)*Parameters!$I$12*ISNUMBER(W8))/((Parameters!$F$5=Parameters!$E$16)*Parameters!$I$5*1+(Parameters!$F$6=Parameters!$E$16)*Parameters!$I$6*1+(Parameters!$F$7=Parameters!$E$16)*Parameters!$I$7*1+(Parameters!$F$8=Parameters!$E$16)*Parameters!$I$8*1+(Parameters!$F$9=Parameters!$E$16)*Parameters!$I$9*1+(Parameters!$F$10=Parameters!$E$16)*Parameters!$I$10*1+(Parameters!$F$11=Parameters!$E$16)*Parameters!$I$11*X8+(Parameters!$F$12=Parameters!$E$16)*Parameters!$I$12*Y8)&gt;=Parameters!$B$36),((Parameters!$F$5=Parameters!$E$16)*Parameters!$I$5*N(P8)+(Parameters!$F$6=Parameters!$E$16)*Parameters!$I$6*N(Q8)+(Parameters!$F$7=Parameters!$E$16)*Parameters!$I$7*N(R8)+(Parameters!$F$8=Parameters!$E$16)*Parameters!$I$8*N(S8)+(Parameters!$F$9=Parameters!$E$16)*Parameters!$I$9*N(T8)+(Parameters!$F$10=Parameters!$E$16)*Parameters!$I$10*N(U8)+(Parameters!$F$11=Parameters!$E$16)*Parameters!$I$11*N(V8)+(Parameters!$F$12=Parameters!$E$16)*Parameters!$I$12*N(W8))/((Parameters!$F$5=Parameters!$E$16)*Parameters!$I$5*ISNUMBER(P8)+(Parameters!$F$6=Parameters!$E$16)*Parameters!$I$6*ISNUMBER(Q8)+(Parameters!$F$7=Parameters!$E$16)*Parameters!$I$7*ISNUMBER(R8)+(Parameters!$F$8=Parameters!$E$16)*Parameters!$I$8*ISNUMBER(S8)+(Parameters!$F$9=Parameters!$E$16)*Parameters!$I$9*ISNUMBER(T8)+(Parameters!$F$10=Parameters!$E$16)*Parameters!$I$10*ISNUMBER(U8)+(Parameters!$F$11=Parameters!$E$16)*Parameters!$I$11*ISNUMBER(V8)+(Parameters!$F$12=Parameters!$E$16)*Parameters!$I$12*ISNUMBER(W8)),""))</f>
        <v>0.2</v>
      </c>
      <c r="AB8"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8+(Parameters!$F$12=Parameters!$E$17)*Parameters!$I$12*Y8)=0,"",IF(AND(((Parameters!$F$5=Parameters!$E$17)*Parameters!$I$5*ISNUMBER(P8)+(Parameters!$F$6=Parameters!$E$17)*Parameters!$I$6*ISNUMBER(Q8)+(Parameters!$F$7=Parameters!$E$17)*Parameters!$I$7*ISNUMBER(R8)+(Parameters!$F$8=Parameters!$E$17)*Parameters!$I$8*ISNUMBER(S8)+(Parameters!$F$9=Parameters!$E$17)*Parameters!$I$9*ISNUMBER(T8)+(Parameters!$F$10=Parameters!$E$17)*Parameters!$I$10*ISNUMBER(U8)+(Parameters!$F$11=Parameters!$E$17)*Parameters!$I$11*ISNUMBER(V8)+(Parameters!$F$12=Parameters!$E$17)*Parameters!$I$12*ISNUMBER(W8))&gt;0,((Parameters!$F$5=Parameters!$E$17)*Parameters!$I$5*ISNUMBER(P8)+(Parameters!$F$6=Parameters!$E$17)*Parameters!$I$6*ISNUMBER(Q8)+(Parameters!$F$7=Parameters!$E$17)*Parameters!$I$7*ISNUMBER(R8)+(Parameters!$F$8=Parameters!$E$17)*Parameters!$I$8*ISNUMBER(S8)+(Parameters!$F$9=Parameters!$E$17)*Parameters!$I$9*ISNUMBER(T8)+(Parameters!$F$10=Parameters!$E$17)*Parameters!$I$10*ISNUMBER(U8)+(Parameters!$F$11=Parameters!$E$17)*Parameters!$I$11*ISNUMBER(V8)+(Parameters!$F$12=Parameters!$E$17)*Parameters!$I$12*ISNUMBER(W8))/((Parameters!$F$5=Parameters!$E$17)*Parameters!$I$5*1+(Parameters!$F$6=Parameters!$E$17)*Parameters!$I$6*1+(Parameters!$F$7=Parameters!$E$17)*Parameters!$I$7*1+(Parameters!$F$8=Parameters!$E$17)*Parameters!$I$8*1+(Parameters!$F$9=Parameters!$E$17)*Parameters!$I$9*1+(Parameters!$F$10=Parameters!$E$17)*Parameters!$I$10*1+(Parameters!$F$11=Parameters!$E$17)*Parameters!$I$11*X8+(Parameters!$F$12=Parameters!$E$17)*Parameters!$I$12*Y8)&gt;=Parameters!$B$36),((Parameters!$F$5=Parameters!$E$17)*Parameters!$I$5*N(P8)+(Parameters!$F$6=Parameters!$E$17)*Parameters!$I$6*N(Q8)+(Parameters!$F$7=Parameters!$E$17)*Parameters!$I$7*N(R8)+(Parameters!$F$8=Parameters!$E$17)*Parameters!$I$8*N(S8)+(Parameters!$F$9=Parameters!$E$17)*Parameters!$I$9*N(T8)+(Parameters!$F$10=Parameters!$E$17)*Parameters!$I$10*N(U8)+(Parameters!$F$11=Parameters!$E$17)*Parameters!$I$11*N(V8)+(Parameters!$F$12=Parameters!$E$17)*Parameters!$I$12*N(W8))/((Parameters!$F$5=Parameters!$E$17)*Parameters!$I$5*ISNUMBER(P8)+(Parameters!$F$6=Parameters!$E$17)*Parameters!$I$6*ISNUMBER(Q8)+(Parameters!$F$7=Parameters!$E$17)*Parameters!$I$7*ISNUMBER(R8)+(Parameters!$F$8=Parameters!$E$17)*Parameters!$I$8*ISNUMBER(S8)+(Parameters!$F$9=Parameters!$E$17)*Parameters!$I$9*ISNUMBER(T8)+(Parameters!$F$10=Parameters!$E$17)*Parameters!$I$10*ISNUMBER(U8)+(Parameters!$F$11=Parameters!$E$17)*Parameters!$I$11*ISNUMBER(V8)+(Parameters!$F$12=Parameters!$E$17)*Parameters!$I$12*ISNUMBER(W8)),""))</f>
        <v>1</v>
      </c>
      <c r="AC8" s="17" t="n">
        <f aca="false">Parameters!$I$5*ISNUMBER(P8)+Parameters!$I$6*ISNUMBER(Q8)+Parameters!$I$7*ISNUMBER(R8)+Parameters!$I$8*ISNUMBER(S8)+Parameters!$I$9*ISNUMBER(T8)+Parameters!$I$10*ISNUMBER(U8)+Parameters!$I$11*ISNUMBER(V8)+Parameters!$I$12*ISNUMBER(W8)</f>
        <v>95</v>
      </c>
      <c r="AD8" s="17" t="n">
        <f aca="false">Parameters!$I$5*1+Parameters!$I$6*1+Parameters!$I$7*1+Parameters!$I$8*1+Parameters!$I$9*1+Parameters!$I$10*1+Parameters!$I$11*X8+Parameters!$I$12*Y8</f>
        <v>95</v>
      </c>
      <c r="AE8" s="18" t="n">
        <f aca="false">IF(AD8=0,"",AC8/AD8)</f>
        <v>1</v>
      </c>
      <c r="AF8" s="17" t="str">
        <f aca="false">IF(ISNUMBER(Z8),"M","")&amp;IF(ISNUMBER(AA8),"I","")&amp;IF(ISNUMBER(AB8),"O","")</f>
        <v>MIO</v>
      </c>
      <c r="AG8" s="19" t="n">
        <f aca="false">IF(AND(ISNUMBER(AE8),ISNUMBER(Z8)+ISNUMBER(AA8)+ISNUMBER(AB8)&gt;=Parameters!$B$37),IF(AE8&gt;=Parameters!$B$35,100*(Parameters!$F$15*N(Z8)+Parameters!$F$16*N(AA8)+Parameters!$F$17*N(AB8))/(Parameters!$F$15*ISNUMBER(Z8)+Parameters!$F$16*ISNUMBER(AA8)+Parameters!$F$17*ISNUMBER(AB8)),""),"")</f>
        <v>76</v>
      </c>
      <c r="AH8" s="17" t="n">
        <f aca="false">IF(ISNUMBER(AG8),RANK(AG8,$AG$2:$AG$113),"")</f>
        <v>88</v>
      </c>
    </row>
    <row r="9" customFormat="false" ht="15" hidden="false" customHeight="false" outlineLevel="0" collapsed="false">
      <c r="A9" s="5" t="s">
        <v>169</v>
      </c>
      <c r="B9" s="5" t="s">
        <v>169</v>
      </c>
      <c r="C9" s="5" t="s">
        <v>170</v>
      </c>
      <c r="D9" s="5" t="s">
        <v>31</v>
      </c>
      <c r="E9" s="5" t="s">
        <v>44</v>
      </c>
      <c r="F9" s="5" t="s">
        <v>151</v>
      </c>
      <c r="G9" s="15" t="s">
        <v>171</v>
      </c>
      <c r="H9" s="8" t="n">
        <v>1</v>
      </c>
      <c r="I9" s="5" t="s">
        <v>57</v>
      </c>
      <c r="J9" s="5" t="s">
        <v>70</v>
      </c>
      <c r="K9" s="15" t="s">
        <v>172</v>
      </c>
      <c r="L9" s="5" t="s">
        <v>157</v>
      </c>
      <c r="M9" s="5" t="s">
        <v>157</v>
      </c>
      <c r="N9" s="5" t="s">
        <v>173</v>
      </c>
      <c r="O9" s="5"/>
      <c r="P9" s="16" t="n">
        <f aca="false">IFERROR(IF(ISNUMBER(INDEX(Parameters!$B$5:$B$23,MATCH(D9,Parameters!$A$5:$A$23,0))),INDEX(Parameters!$B$5:$B$23,MATCH(D9,Parameters!$A$5:$A$23,0)),""),"")</f>
        <v>1</v>
      </c>
      <c r="Q9" s="16" t="n">
        <f aca="false">IFERROR(IF(ISNUMBER(INDEX(Parameters!$B$5:$B$23,MATCH(E9,Parameters!$A$5:$A$23,0))),INDEX(Parameters!$B$5:$B$23,MATCH(E9,Parameters!$A$5:$A$23,0)),""),"")</f>
        <v>1</v>
      </c>
      <c r="R9" s="16" t="n">
        <f aca="false">IF(F9="","",IFERROR(MIN(Parameters!$B$33,MAX(0,Parameters!$B$32-VALUE(LEFT(F9,4))))/Parameters!$B$33,""))</f>
        <v>0.866666666666667</v>
      </c>
      <c r="S9" s="16" t="n">
        <f aca="false">IF(ISNUMBER(H9),H9,IF(G9="",IF(ISNUMBER(Parameters!$B$34),Parameters!$B$34,""),""))</f>
        <v>1</v>
      </c>
      <c r="T9" s="16" t="n">
        <f aca="false">IFERROR(IF(ISNUMBER(INDEX(Parameters!$B$5:$B$23,MATCH(I9,Parameters!$A$5:$A$23,0))),INDEX(Parameters!$B$5:$B$23,MATCH(I9,Parameters!$A$5:$A$23,0)),""),"")</f>
        <v>0</v>
      </c>
      <c r="U9" s="16" t="str">
        <f aca="false">IFERROR(IF(ISNUMBER(INDEX(Parameters!$B$5:$B$23,MATCH(L9,Parameters!$A$5:$A$23,0))),INDEX(Parameters!$B$5:$B$23,MATCH(L9,Parameters!$A$5:$A$23,0)),""),"")</f>
        <v/>
      </c>
      <c r="V9" s="16" t="n">
        <f aca="false">IFERROR(IF(ISNUMBER(INDEX(Parameters!$B$5:$B$23,MATCH(J9,Parameters!$A$5:$A$23,0))),INDEX(Parameters!$B$5:$B$23,MATCH(J9,Parameters!$A$5:$A$23,0)),""),"")</f>
        <v>1</v>
      </c>
      <c r="W9" s="16" t="n">
        <f aca="false">IF(K9&lt;&gt;"",1,IF(COUNTIF(Parameters!$A$27:$A$28,J9)&gt;0,0,""))</f>
        <v>1</v>
      </c>
      <c r="X9" s="17" t="n">
        <f aca="false">IF(J9="Not applicable",0,1)</f>
        <v>1</v>
      </c>
      <c r="Y9" s="17" t="n">
        <f aca="false">IF(OR(K9&lt;&gt;"",COUNTIF(Parameters!$A$27:$A$28,J9)&gt;0),1,0)</f>
        <v>1</v>
      </c>
      <c r="Z9"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9+(Parameters!$F$12=Parameters!$E$15)*Parameters!$I$12*Y9)=0,"",IF(AND(((Parameters!$F$5=Parameters!$E$15)*Parameters!$I$5*ISNUMBER(P9)+(Parameters!$F$6=Parameters!$E$15)*Parameters!$I$6*ISNUMBER(Q9)+(Parameters!$F$7=Parameters!$E$15)*Parameters!$I$7*ISNUMBER(R9)+(Parameters!$F$8=Parameters!$E$15)*Parameters!$I$8*ISNUMBER(S9)+(Parameters!$F$9=Parameters!$E$15)*Parameters!$I$9*ISNUMBER(T9)+(Parameters!$F$10=Parameters!$E$15)*Parameters!$I$10*ISNUMBER(U9)+(Parameters!$F$11=Parameters!$E$15)*Parameters!$I$11*ISNUMBER(V9)+(Parameters!$F$12=Parameters!$E$15)*Parameters!$I$12*ISNUMBER(W9))&gt;0,((Parameters!$F$5=Parameters!$E$15)*Parameters!$I$5*ISNUMBER(P9)+(Parameters!$F$6=Parameters!$E$15)*Parameters!$I$6*ISNUMBER(Q9)+(Parameters!$F$7=Parameters!$E$15)*Parameters!$I$7*ISNUMBER(R9)+(Parameters!$F$8=Parameters!$E$15)*Parameters!$I$8*ISNUMBER(S9)+(Parameters!$F$9=Parameters!$E$15)*Parameters!$I$9*ISNUMBER(T9)+(Parameters!$F$10=Parameters!$E$15)*Parameters!$I$10*ISNUMBER(U9)+(Parameters!$F$11=Parameters!$E$15)*Parameters!$I$11*ISNUMBER(V9)+(Parameters!$F$12=Parameters!$E$15)*Parameters!$I$12*ISNUMBER(W9))/((Parameters!$F$5=Parameters!$E$15)*Parameters!$I$5*1+(Parameters!$F$6=Parameters!$E$15)*Parameters!$I$6*1+(Parameters!$F$7=Parameters!$E$15)*Parameters!$I$7*1+(Parameters!$F$8=Parameters!$E$15)*Parameters!$I$8*1+(Parameters!$F$9=Parameters!$E$15)*Parameters!$I$9*1+(Parameters!$F$10=Parameters!$E$15)*Parameters!$I$10*1+(Parameters!$F$11=Parameters!$E$15)*Parameters!$I$11*X9+(Parameters!$F$12=Parameters!$E$15)*Parameters!$I$12*Y9)&gt;=Parameters!$B$36),((Parameters!$F$5=Parameters!$E$15)*Parameters!$I$5*N(P9)+(Parameters!$F$6=Parameters!$E$15)*Parameters!$I$6*N(Q9)+(Parameters!$F$7=Parameters!$E$15)*Parameters!$I$7*N(R9)+(Parameters!$F$8=Parameters!$E$15)*Parameters!$I$8*N(S9)+(Parameters!$F$9=Parameters!$E$15)*Parameters!$I$9*N(T9)+(Parameters!$F$10=Parameters!$E$15)*Parameters!$I$10*N(U9)+(Parameters!$F$11=Parameters!$E$15)*Parameters!$I$11*N(V9)+(Parameters!$F$12=Parameters!$E$15)*Parameters!$I$12*N(W9))/((Parameters!$F$5=Parameters!$E$15)*Parameters!$I$5*ISNUMBER(P9)+(Parameters!$F$6=Parameters!$E$15)*Parameters!$I$6*ISNUMBER(Q9)+(Parameters!$F$7=Parameters!$E$15)*Parameters!$I$7*ISNUMBER(R9)+(Parameters!$F$8=Parameters!$E$15)*Parameters!$I$8*ISNUMBER(S9)+(Parameters!$F$9=Parameters!$E$15)*Parameters!$I$9*ISNUMBER(T9)+(Parameters!$F$10=Parameters!$E$15)*Parameters!$I$10*ISNUMBER(U9)+(Parameters!$F$11=Parameters!$E$15)*Parameters!$I$11*ISNUMBER(V9)+(Parameters!$F$12=Parameters!$E$15)*Parameters!$I$12*ISNUMBER(W9)),""))</f>
        <v>0.986666666666667</v>
      </c>
      <c r="AA9"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9+(Parameters!$F$12=Parameters!$E$16)*Parameters!$I$12*Y9)=0,"",IF(AND(((Parameters!$F$5=Parameters!$E$16)*Parameters!$I$5*ISNUMBER(P9)+(Parameters!$F$6=Parameters!$E$16)*Parameters!$I$6*ISNUMBER(Q9)+(Parameters!$F$7=Parameters!$E$16)*Parameters!$I$7*ISNUMBER(R9)+(Parameters!$F$8=Parameters!$E$16)*Parameters!$I$8*ISNUMBER(S9)+(Parameters!$F$9=Parameters!$E$16)*Parameters!$I$9*ISNUMBER(T9)+(Parameters!$F$10=Parameters!$E$16)*Parameters!$I$10*ISNUMBER(U9)+(Parameters!$F$11=Parameters!$E$16)*Parameters!$I$11*ISNUMBER(V9)+(Parameters!$F$12=Parameters!$E$16)*Parameters!$I$12*ISNUMBER(W9))&gt;0,((Parameters!$F$5=Parameters!$E$16)*Parameters!$I$5*ISNUMBER(P9)+(Parameters!$F$6=Parameters!$E$16)*Parameters!$I$6*ISNUMBER(Q9)+(Parameters!$F$7=Parameters!$E$16)*Parameters!$I$7*ISNUMBER(R9)+(Parameters!$F$8=Parameters!$E$16)*Parameters!$I$8*ISNUMBER(S9)+(Parameters!$F$9=Parameters!$E$16)*Parameters!$I$9*ISNUMBER(T9)+(Parameters!$F$10=Parameters!$E$16)*Parameters!$I$10*ISNUMBER(U9)+(Parameters!$F$11=Parameters!$E$16)*Parameters!$I$11*ISNUMBER(V9)+(Parameters!$F$12=Parameters!$E$16)*Parameters!$I$12*ISNUMBER(W9))/((Parameters!$F$5=Parameters!$E$16)*Parameters!$I$5*1+(Parameters!$F$6=Parameters!$E$16)*Parameters!$I$6*1+(Parameters!$F$7=Parameters!$E$16)*Parameters!$I$7*1+(Parameters!$F$8=Parameters!$E$16)*Parameters!$I$8*1+(Parameters!$F$9=Parameters!$E$16)*Parameters!$I$9*1+(Parameters!$F$10=Parameters!$E$16)*Parameters!$I$10*1+(Parameters!$F$11=Parameters!$E$16)*Parameters!$I$11*X9+(Parameters!$F$12=Parameters!$E$16)*Parameters!$I$12*Y9)&gt;=Parameters!$B$36),((Parameters!$F$5=Parameters!$E$16)*Parameters!$I$5*N(P9)+(Parameters!$F$6=Parameters!$E$16)*Parameters!$I$6*N(Q9)+(Parameters!$F$7=Parameters!$E$16)*Parameters!$I$7*N(R9)+(Parameters!$F$8=Parameters!$E$16)*Parameters!$I$8*N(S9)+(Parameters!$F$9=Parameters!$E$16)*Parameters!$I$9*N(T9)+(Parameters!$F$10=Parameters!$E$16)*Parameters!$I$10*N(U9)+(Parameters!$F$11=Parameters!$E$16)*Parameters!$I$11*N(V9)+(Parameters!$F$12=Parameters!$E$16)*Parameters!$I$12*N(W9))/((Parameters!$F$5=Parameters!$E$16)*Parameters!$I$5*ISNUMBER(P9)+(Parameters!$F$6=Parameters!$E$16)*Parameters!$I$6*ISNUMBER(Q9)+(Parameters!$F$7=Parameters!$E$16)*Parameters!$I$7*ISNUMBER(R9)+(Parameters!$F$8=Parameters!$E$16)*Parameters!$I$8*ISNUMBER(S9)+(Parameters!$F$9=Parameters!$E$16)*Parameters!$I$9*ISNUMBER(T9)+(Parameters!$F$10=Parameters!$E$16)*Parameters!$I$10*ISNUMBER(U9)+(Parameters!$F$11=Parameters!$E$16)*Parameters!$I$11*ISNUMBER(V9)+(Parameters!$F$12=Parameters!$E$16)*Parameters!$I$12*ISNUMBER(W9)),""))</f>
        <v>0.666666666666667</v>
      </c>
      <c r="AB9"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9+(Parameters!$F$12=Parameters!$E$17)*Parameters!$I$12*Y9)=0,"",IF(AND(((Parameters!$F$5=Parameters!$E$17)*Parameters!$I$5*ISNUMBER(P9)+(Parameters!$F$6=Parameters!$E$17)*Parameters!$I$6*ISNUMBER(Q9)+(Parameters!$F$7=Parameters!$E$17)*Parameters!$I$7*ISNUMBER(R9)+(Parameters!$F$8=Parameters!$E$17)*Parameters!$I$8*ISNUMBER(S9)+(Parameters!$F$9=Parameters!$E$17)*Parameters!$I$9*ISNUMBER(T9)+(Parameters!$F$10=Parameters!$E$17)*Parameters!$I$10*ISNUMBER(U9)+(Parameters!$F$11=Parameters!$E$17)*Parameters!$I$11*ISNUMBER(V9)+(Parameters!$F$12=Parameters!$E$17)*Parameters!$I$12*ISNUMBER(W9))&gt;0,((Parameters!$F$5=Parameters!$E$17)*Parameters!$I$5*ISNUMBER(P9)+(Parameters!$F$6=Parameters!$E$17)*Parameters!$I$6*ISNUMBER(Q9)+(Parameters!$F$7=Parameters!$E$17)*Parameters!$I$7*ISNUMBER(R9)+(Parameters!$F$8=Parameters!$E$17)*Parameters!$I$8*ISNUMBER(S9)+(Parameters!$F$9=Parameters!$E$17)*Parameters!$I$9*ISNUMBER(T9)+(Parameters!$F$10=Parameters!$E$17)*Parameters!$I$10*ISNUMBER(U9)+(Parameters!$F$11=Parameters!$E$17)*Parameters!$I$11*ISNUMBER(V9)+(Parameters!$F$12=Parameters!$E$17)*Parameters!$I$12*ISNUMBER(W9))/((Parameters!$F$5=Parameters!$E$17)*Parameters!$I$5*1+(Parameters!$F$6=Parameters!$E$17)*Parameters!$I$6*1+(Parameters!$F$7=Parameters!$E$17)*Parameters!$I$7*1+(Parameters!$F$8=Parameters!$E$17)*Parameters!$I$8*1+(Parameters!$F$9=Parameters!$E$17)*Parameters!$I$9*1+(Parameters!$F$10=Parameters!$E$17)*Parameters!$I$10*1+(Parameters!$F$11=Parameters!$E$17)*Parameters!$I$11*X9+(Parameters!$F$12=Parameters!$E$17)*Parameters!$I$12*Y9)&gt;=Parameters!$B$36),((Parameters!$F$5=Parameters!$E$17)*Parameters!$I$5*N(P9)+(Parameters!$F$6=Parameters!$E$17)*Parameters!$I$6*N(Q9)+(Parameters!$F$7=Parameters!$E$17)*Parameters!$I$7*N(R9)+(Parameters!$F$8=Parameters!$E$17)*Parameters!$I$8*N(S9)+(Parameters!$F$9=Parameters!$E$17)*Parameters!$I$9*N(T9)+(Parameters!$F$10=Parameters!$E$17)*Parameters!$I$10*N(U9)+(Parameters!$F$11=Parameters!$E$17)*Parameters!$I$11*N(V9)+(Parameters!$F$12=Parameters!$E$17)*Parameters!$I$12*N(W9))/((Parameters!$F$5=Parameters!$E$17)*Parameters!$I$5*ISNUMBER(P9)+(Parameters!$F$6=Parameters!$E$17)*Parameters!$I$6*ISNUMBER(Q9)+(Parameters!$F$7=Parameters!$E$17)*Parameters!$I$7*ISNUMBER(R9)+(Parameters!$F$8=Parameters!$E$17)*Parameters!$I$8*ISNUMBER(S9)+(Parameters!$F$9=Parameters!$E$17)*Parameters!$I$9*ISNUMBER(T9)+(Parameters!$F$10=Parameters!$E$17)*Parameters!$I$10*ISNUMBER(U9)+(Parameters!$F$11=Parameters!$E$17)*Parameters!$I$11*ISNUMBER(V9)+(Parameters!$F$12=Parameters!$E$17)*Parameters!$I$12*ISNUMBER(W9)),""))</f>
        <v>1</v>
      </c>
      <c r="AC9" s="17" t="n">
        <f aca="false">Parameters!$I$5*ISNUMBER(P9)+Parameters!$I$6*ISNUMBER(Q9)+Parameters!$I$7*ISNUMBER(R9)+Parameters!$I$8*ISNUMBER(S9)+Parameters!$I$9*ISNUMBER(T9)+Parameters!$I$10*ISNUMBER(U9)+Parameters!$I$11*ISNUMBER(V9)+Parameters!$I$12*ISNUMBER(W9)</f>
        <v>85</v>
      </c>
      <c r="AD9" s="17" t="n">
        <f aca="false">Parameters!$I$5*1+Parameters!$I$6*1+Parameters!$I$7*1+Parameters!$I$8*1+Parameters!$I$9*1+Parameters!$I$10*1+Parameters!$I$11*X9+Parameters!$I$12*Y9</f>
        <v>95</v>
      </c>
      <c r="AE9" s="18" t="n">
        <f aca="false">IF(AD9=0,"",AC9/AD9)</f>
        <v>0.894736842105263</v>
      </c>
      <c r="AF9" s="17" t="str">
        <f aca="false">IF(ISNUMBER(Z9),"M","")&amp;IF(ISNUMBER(AA9),"I","")&amp;IF(ISNUMBER(AB9),"O","")</f>
        <v>MIO</v>
      </c>
      <c r="AG9" s="19" t="n">
        <f aca="false">IF(AND(ISNUMBER(AE9),ISNUMBER(Z9)+ISNUMBER(AA9)+ISNUMBER(AB9)&gt;=Parameters!$B$37),IF(AE9&gt;=Parameters!$B$35,100*(Parameters!$F$15*N(Z9)+Parameters!$F$16*N(AA9)+Parameters!$F$17*N(AB9))/(Parameters!$F$15*ISNUMBER(Z9)+Parameters!$F$16*ISNUMBER(AA9)+Parameters!$F$17*ISNUMBER(AB9)),""),"")</f>
        <v>89.3333333333333</v>
      </c>
      <c r="AH9" s="17" t="n">
        <f aca="false">IF(ISNUMBER(AG9),RANK(AG9,$AG$2:$AG$113),"")</f>
        <v>35</v>
      </c>
    </row>
    <row r="10" customFormat="false" ht="15" hidden="false" customHeight="false" outlineLevel="0" collapsed="false">
      <c r="A10" s="5" t="s">
        <v>174</v>
      </c>
      <c r="B10" s="5" t="s">
        <v>175</v>
      </c>
      <c r="C10" s="5" t="s">
        <v>150</v>
      </c>
      <c r="D10" s="5" t="s">
        <v>31</v>
      </c>
      <c r="E10" s="5" t="s">
        <v>44</v>
      </c>
      <c r="F10" s="5" t="s">
        <v>146</v>
      </c>
      <c r="G10" s="20" t="s">
        <v>176</v>
      </c>
      <c r="H10" s="8" t="n">
        <v>1</v>
      </c>
      <c r="I10" s="5" t="s">
        <v>57</v>
      </c>
      <c r="J10" s="5" t="s">
        <v>66</v>
      </c>
      <c r="K10" s="15"/>
      <c r="L10" s="5" t="s">
        <v>76</v>
      </c>
      <c r="M10" s="5" t="s">
        <v>141</v>
      </c>
      <c r="N10" s="5"/>
      <c r="O10" s="5"/>
      <c r="P10" s="16" t="n">
        <f aca="false">IFERROR(IF(ISNUMBER(INDEX(Parameters!$B$5:$B$23,MATCH(D10,Parameters!$A$5:$A$23,0))),INDEX(Parameters!$B$5:$B$23,MATCH(D10,Parameters!$A$5:$A$23,0)),""),"")</f>
        <v>1</v>
      </c>
      <c r="Q10" s="16" t="n">
        <f aca="false">IFERROR(IF(ISNUMBER(INDEX(Parameters!$B$5:$B$23,MATCH(E10,Parameters!$A$5:$A$23,0))),INDEX(Parameters!$B$5:$B$23,MATCH(E10,Parameters!$A$5:$A$23,0)),""),"")</f>
        <v>1</v>
      </c>
      <c r="R10" s="16" t="n">
        <f aca="false">IF(F10="","",IFERROR(MIN(Parameters!$B$33,MAX(0,Parameters!$B$32-VALUE(LEFT(F10,4))))/Parameters!$B$33,""))</f>
        <v>0.533333333333333</v>
      </c>
      <c r="S10" s="16" t="n">
        <f aca="false">IF(ISNUMBER(H10),H10,IF(G10="",IF(ISNUMBER(Parameters!$B$34),Parameters!$B$34,""),""))</f>
        <v>1</v>
      </c>
      <c r="T10" s="16" t="n">
        <f aca="false">IFERROR(IF(ISNUMBER(INDEX(Parameters!$B$5:$B$23,MATCH(I10,Parameters!$A$5:$A$23,0))),INDEX(Parameters!$B$5:$B$23,MATCH(I10,Parameters!$A$5:$A$23,0)),""),"")</f>
        <v>0</v>
      </c>
      <c r="U10" s="16" t="n">
        <f aca="false">IFERROR(IF(ISNUMBER(INDEX(Parameters!$B$5:$B$23,MATCH(L10,Parameters!$A$5:$A$23,0))),INDEX(Parameters!$B$5:$B$23,MATCH(L10,Parameters!$A$5:$A$23,0)),""),"")</f>
        <v>1</v>
      </c>
      <c r="V10" s="16" t="n">
        <f aca="false">IFERROR(IF(ISNUMBER(INDEX(Parameters!$B$5:$B$23,MATCH(J10,Parameters!$A$5:$A$23,0))),INDEX(Parameters!$B$5:$B$23,MATCH(J10,Parameters!$A$5:$A$23,0)),""),"")</f>
        <v>1</v>
      </c>
      <c r="W10" s="16" t="str">
        <f aca="false">IF(K10&lt;&gt;"",1,IF(COUNTIF(Parameters!$A$27:$A$28,J10)&gt;0,0,""))</f>
        <v/>
      </c>
      <c r="X10" s="17" t="n">
        <f aca="false">IF(J10="Not applicable",0,1)</f>
        <v>1</v>
      </c>
      <c r="Y10" s="17" t="n">
        <f aca="false">IF(OR(K10&lt;&gt;"",COUNTIF(Parameters!$A$27:$A$28,J10)&gt;0),1,0)</f>
        <v>0</v>
      </c>
      <c r="Z10"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10+(Parameters!$F$12=Parameters!$E$15)*Parameters!$I$12*Y10)=0,"",IF(AND(((Parameters!$F$5=Parameters!$E$15)*Parameters!$I$5*ISNUMBER(P10)+(Parameters!$F$6=Parameters!$E$15)*Parameters!$I$6*ISNUMBER(Q10)+(Parameters!$F$7=Parameters!$E$15)*Parameters!$I$7*ISNUMBER(R10)+(Parameters!$F$8=Parameters!$E$15)*Parameters!$I$8*ISNUMBER(S10)+(Parameters!$F$9=Parameters!$E$15)*Parameters!$I$9*ISNUMBER(T10)+(Parameters!$F$10=Parameters!$E$15)*Parameters!$I$10*ISNUMBER(U10)+(Parameters!$F$11=Parameters!$E$15)*Parameters!$I$11*ISNUMBER(V10)+(Parameters!$F$12=Parameters!$E$15)*Parameters!$I$12*ISNUMBER(W10))&gt;0,((Parameters!$F$5=Parameters!$E$15)*Parameters!$I$5*ISNUMBER(P10)+(Parameters!$F$6=Parameters!$E$15)*Parameters!$I$6*ISNUMBER(Q10)+(Parameters!$F$7=Parameters!$E$15)*Parameters!$I$7*ISNUMBER(R10)+(Parameters!$F$8=Parameters!$E$15)*Parameters!$I$8*ISNUMBER(S10)+(Parameters!$F$9=Parameters!$E$15)*Parameters!$I$9*ISNUMBER(T10)+(Parameters!$F$10=Parameters!$E$15)*Parameters!$I$10*ISNUMBER(U10)+(Parameters!$F$11=Parameters!$E$15)*Parameters!$I$11*ISNUMBER(V10)+(Parameters!$F$12=Parameters!$E$15)*Parameters!$I$12*ISNUMBER(W10))/((Parameters!$F$5=Parameters!$E$15)*Parameters!$I$5*1+(Parameters!$F$6=Parameters!$E$15)*Parameters!$I$6*1+(Parameters!$F$7=Parameters!$E$15)*Parameters!$I$7*1+(Parameters!$F$8=Parameters!$E$15)*Parameters!$I$8*1+(Parameters!$F$9=Parameters!$E$15)*Parameters!$I$9*1+(Parameters!$F$10=Parameters!$E$15)*Parameters!$I$10*1+(Parameters!$F$11=Parameters!$E$15)*Parameters!$I$11*X10+(Parameters!$F$12=Parameters!$E$15)*Parameters!$I$12*Y10)&gt;=Parameters!$B$36),((Parameters!$F$5=Parameters!$E$15)*Parameters!$I$5*N(P10)+(Parameters!$F$6=Parameters!$E$15)*Parameters!$I$6*N(Q10)+(Parameters!$F$7=Parameters!$E$15)*Parameters!$I$7*N(R10)+(Parameters!$F$8=Parameters!$E$15)*Parameters!$I$8*N(S10)+(Parameters!$F$9=Parameters!$E$15)*Parameters!$I$9*N(T10)+(Parameters!$F$10=Parameters!$E$15)*Parameters!$I$10*N(U10)+(Parameters!$F$11=Parameters!$E$15)*Parameters!$I$11*N(V10)+(Parameters!$F$12=Parameters!$E$15)*Parameters!$I$12*N(W10))/((Parameters!$F$5=Parameters!$E$15)*Parameters!$I$5*ISNUMBER(P10)+(Parameters!$F$6=Parameters!$E$15)*Parameters!$I$6*ISNUMBER(Q10)+(Parameters!$F$7=Parameters!$E$15)*Parameters!$I$7*ISNUMBER(R10)+(Parameters!$F$8=Parameters!$E$15)*Parameters!$I$8*ISNUMBER(S10)+(Parameters!$F$9=Parameters!$E$15)*Parameters!$I$9*ISNUMBER(T10)+(Parameters!$F$10=Parameters!$E$15)*Parameters!$I$10*ISNUMBER(U10)+(Parameters!$F$11=Parameters!$E$15)*Parameters!$I$11*ISNUMBER(V10)+(Parameters!$F$12=Parameters!$E$15)*Parameters!$I$12*ISNUMBER(W10)),""))</f>
        <v>0.953333333333333</v>
      </c>
      <c r="AA10"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10+(Parameters!$F$12=Parameters!$E$16)*Parameters!$I$12*Y10)=0,"",IF(AND(((Parameters!$F$5=Parameters!$E$16)*Parameters!$I$5*ISNUMBER(P10)+(Parameters!$F$6=Parameters!$E$16)*Parameters!$I$6*ISNUMBER(Q10)+(Parameters!$F$7=Parameters!$E$16)*Parameters!$I$7*ISNUMBER(R10)+(Parameters!$F$8=Parameters!$E$16)*Parameters!$I$8*ISNUMBER(S10)+(Parameters!$F$9=Parameters!$E$16)*Parameters!$I$9*ISNUMBER(T10)+(Parameters!$F$10=Parameters!$E$16)*Parameters!$I$10*ISNUMBER(U10)+(Parameters!$F$11=Parameters!$E$16)*Parameters!$I$11*ISNUMBER(V10)+(Parameters!$F$12=Parameters!$E$16)*Parameters!$I$12*ISNUMBER(W10))&gt;0,((Parameters!$F$5=Parameters!$E$16)*Parameters!$I$5*ISNUMBER(P10)+(Parameters!$F$6=Parameters!$E$16)*Parameters!$I$6*ISNUMBER(Q10)+(Parameters!$F$7=Parameters!$E$16)*Parameters!$I$7*ISNUMBER(R10)+(Parameters!$F$8=Parameters!$E$16)*Parameters!$I$8*ISNUMBER(S10)+(Parameters!$F$9=Parameters!$E$16)*Parameters!$I$9*ISNUMBER(T10)+(Parameters!$F$10=Parameters!$E$16)*Parameters!$I$10*ISNUMBER(U10)+(Parameters!$F$11=Parameters!$E$16)*Parameters!$I$11*ISNUMBER(V10)+(Parameters!$F$12=Parameters!$E$16)*Parameters!$I$12*ISNUMBER(W10))/((Parameters!$F$5=Parameters!$E$16)*Parameters!$I$5*1+(Parameters!$F$6=Parameters!$E$16)*Parameters!$I$6*1+(Parameters!$F$7=Parameters!$E$16)*Parameters!$I$7*1+(Parameters!$F$8=Parameters!$E$16)*Parameters!$I$8*1+(Parameters!$F$9=Parameters!$E$16)*Parameters!$I$9*1+(Parameters!$F$10=Parameters!$E$16)*Parameters!$I$10*1+(Parameters!$F$11=Parameters!$E$16)*Parameters!$I$11*X10+(Parameters!$F$12=Parameters!$E$16)*Parameters!$I$12*Y10)&gt;=Parameters!$B$36),((Parameters!$F$5=Parameters!$E$16)*Parameters!$I$5*N(P10)+(Parameters!$F$6=Parameters!$E$16)*Parameters!$I$6*N(Q10)+(Parameters!$F$7=Parameters!$E$16)*Parameters!$I$7*N(R10)+(Parameters!$F$8=Parameters!$E$16)*Parameters!$I$8*N(S10)+(Parameters!$F$9=Parameters!$E$16)*Parameters!$I$9*N(T10)+(Parameters!$F$10=Parameters!$E$16)*Parameters!$I$10*N(U10)+(Parameters!$F$11=Parameters!$E$16)*Parameters!$I$11*N(V10)+(Parameters!$F$12=Parameters!$E$16)*Parameters!$I$12*N(W10))/((Parameters!$F$5=Parameters!$E$16)*Parameters!$I$5*ISNUMBER(P10)+(Parameters!$F$6=Parameters!$E$16)*Parameters!$I$6*ISNUMBER(Q10)+(Parameters!$F$7=Parameters!$E$16)*Parameters!$I$7*ISNUMBER(R10)+(Parameters!$F$8=Parameters!$E$16)*Parameters!$I$8*ISNUMBER(S10)+(Parameters!$F$9=Parameters!$E$16)*Parameters!$I$9*ISNUMBER(T10)+(Parameters!$F$10=Parameters!$E$16)*Parameters!$I$10*ISNUMBER(U10)+(Parameters!$F$11=Parameters!$E$16)*Parameters!$I$11*ISNUMBER(V10)+(Parameters!$F$12=Parameters!$E$16)*Parameters!$I$12*ISNUMBER(W10)),""))</f>
        <v>0.8</v>
      </c>
      <c r="AB10"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10+(Parameters!$F$12=Parameters!$E$17)*Parameters!$I$12*Y10)=0,"",IF(AND(((Parameters!$F$5=Parameters!$E$17)*Parameters!$I$5*ISNUMBER(P10)+(Parameters!$F$6=Parameters!$E$17)*Parameters!$I$6*ISNUMBER(Q10)+(Parameters!$F$7=Parameters!$E$17)*Parameters!$I$7*ISNUMBER(R10)+(Parameters!$F$8=Parameters!$E$17)*Parameters!$I$8*ISNUMBER(S10)+(Parameters!$F$9=Parameters!$E$17)*Parameters!$I$9*ISNUMBER(T10)+(Parameters!$F$10=Parameters!$E$17)*Parameters!$I$10*ISNUMBER(U10)+(Parameters!$F$11=Parameters!$E$17)*Parameters!$I$11*ISNUMBER(V10)+(Parameters!$F$12=Parameters!$E$17)*Parameters!$I$12*ISNUMBER(W10))&gt;0,((Parameters!$F$5=Parameters!$E$17)*Parameters!$I$5*ISNUMBER(P10)+(Parameters!$F$6=Parameters!$E$17)*Parameters!$I$6*ISNUMBER(Q10)+(Parameters!$F$7=Parameters!$E$17)*Parameters!$I$7*ISNUMBER(R10)+(Parameters!$F$8=Parameters!$E$17)*Parameters!$I$8*ISNUMBER(S10)+(Parameters!$F$9=Parameters!$E$17)*Parameters!$I$9*ISNUMBER(T10)+(Parameters!$F$10=Parameters!$E$17)*Parameters!$I$10*ISNUMBER(U10)+(Parameters!$F$11=Parameters!$E$17)*Parameters!$I$11*ISNUMBER(V10)+(Parameters!$F$12=Parameters!$E$17)*Parameters!$I$12*ISNUMBER(W10))/((Parameters!$F$5=Parameters!$E$17)*Parameters!$I$5*1+(Parameters!$F$6=Parameters!$E$17)*Parameters!$I$6*1+(Parameters!$F$7=Parameters!$E$17)*Parameters!$I$7*1+(Parameters!$F$8=Parameters!$E$17)*Parameters!$I$8*1+(Parameters!$F$9=Parameters!$E$17)*Parameters!$I$9*1+(Parameters!$F$10=Parameters!$E$17)*Parameters!$I$10*1+(Parameters!$F$11=Parameters!$E$17)*Parameters!$I$11*X10+(Parameters!$F$12=Parameters!$E$17)*Parameters!$I$12*Y10)&gt;=Parameters!$B$36),((Parameters!$F$5=Parameters!$E$17)*Parameters!$I$5*N(P10)+(Parameters!$F$6=Parameters!$E$17)*Parameters!$I$6*N(Q10)+(Parameters!$F$7=Parameters!$E$17)*Parameters!$I$7*N(R10)+(Parameters!$F$8=Parameters!$E$17)*Parameters!$I$8*N(S10)+(Parameters!$F$9=Parameters!$E$17)*Parameters!$I$9*N(T10)+(Parameters!$F$10=Parameters!$E$17)*Parameters!$I$10*N(U10)+(Parameters!$F$11=Parameters!$E$17)*Parameters!$I$11*N(V10)+(Parameters!$F$12=Parameters!$E$17)*Parameters!$I$12*N(W10))/((Parameters!$F$5=Parameters!$E$17)*Parameters!$I$5*ISNUMBER(P10)+(Parameters!$F$6=Parameters!$E$17)*Parameters!$I$6*ISNUMBER(Q10)+(Parameters!$F$7=Parameters!$E$17)*Parameters!$I$7*ISNUMBER(R10)+(Parameters!$F$8=Parameters!$E$17)*Parameters!$I$8*ISNUMBER(S10)+(Parameters!$F$9=Parameters!$E$17)*Parameters!$I$9*ISNUMBER(T10)+(Parameters!$F$10=Parameters!$E$17)*Parameters!$I$10*ISNUMBER(U10)+(Parameters!$F$11=Parameters!$E$17)*Parameters!$I$11*ISNUMBER(V10)+(Parameters!$F$12=Parameters!$E$17)*Parameters!$I$12*ISNUMBER(W10)),""))</f>
        <v>1</v>
      </c>
      <c r="AC10" s="17" t="n">
        <f aca="false">Parameters!$I$5*ISNUMBER(P10)+Parameters!$I$6*ISNUMBER(Q10)+Parameters!$I$7*ISNUMBER(R10)+Parameters!$I$8*ISNUMBER(S10)+Parameters!$I$9*ISNUMBER(T10)+Parameters!$I$10*ISNUMBER(U10)+Parameters!$I$11*ISNUMBER(V10)+Parameters!$I$12*ISNUMBER(W10)</f>
        <v>85</v>
      </c>
      <c r="AD10" s="17" t="n">
        <f aca="false">Parameters!$I$5*1+Parameters!$I$6*1+Parameters!$I$7*1+Parameters!$I$8*1+Parameters!$I$9*1+Parameters!$I$10*1+Parameters!$I$11*X10+Parameters!$I$12*Y10</f>
        <v>85</v>
      </c>
      <c r="AE10" s="18" t="n">
        <f aca="false">IF(AD10=0,"",AC10/AD10)</f>
        <v>1</v>
      </c>
      <c r="AF10" s="17" t="str">
        <f aca="false">IF(ISNUMBER(Z10),"M","")&amp;IF(ISNUMBER(AA10),"I","")&amp;IF(ISNUMBER(AB10),"O","")</f>
        <v>MIO</v>
      </c>
      <c r="AG10" s="19" t="n">
        <f aca="false">IF(AND(ISNUMBER(AE10),ISNUMBER(Z10)+ISNUMBER(AA10)+ISNUMBER(AB10)&gt;=Parameters!$B$37),IF(AE10&gt;=Parameters!$B$35,100*(Parameters!$F$15*N(Z10)+Parameters!$F$16*N(AA10)+Parameters!$F$17*N(AB10))/(Parameters!$F$15*ISNUMBER(Z10)+Parameters!$F$16*ISNUMBER(AA10)+Parameters!$F$17*ISNUMBER(AB10)),""),"")</f>
        <v>91.6666666666667</v>
      </c>
      <c r="AH10" s="17" t="n">
        <f aca="false">IF(ISNUMBER(AG10),RANK(AG10,$AG$2:$AG$113),"")</f>
        <v>19</v>
      </c>
    </row>
    <row r="11" customFormat="false" ht="15" hidden="false" customHeight="false" outlineLevel="0" collapsed="false">
      <c r="A11" s="5" t="s">
        <v>177</v>
      </c>
      <c r="B11" s="5" t="s">
        <v>178</v>
      </c>
      <c r="C11" s="5" t="s">
        <v>145</v>
      </c>
      <c r="D11" s="5" t="s">
        <v>31</v>
      </c>
      <c r="E11" s="5" t="s">
        <v>44</v>
      </c>
      <c r="F11" s="5" t="s">
        <v>179</v>
      </c>
      <c r="G11" s="15"/>
      <c r="H11" s="8"/>
      <c r="I11" s="5" t="s">
        <v>57</v>
      </c>
      <c r="J11" s="5" t="s">
        <v>74</v>
      </c>
      <c r="K11" s="15"/>
      <c r="L11" s="5" t="s">
        <v>79</v>
      </c>
      <c r="M11" s="5" t="s">
        <v>141</v>
      </c>
      <c r="N11" s="5"/>
      <c r="O11" s="5"/>
      <c r="P11" s="16" t="n">
        <f aca="false">IFERROR(IF(ISNUMBER(INDEX(Parameters!$B$5:$B$23,MATCH(D11,Parameters!$A$5:$A$23,0))),INDEX(Parameters!$B$5:$B$23,MATCH(D11,Parameters!$A$5:$A$23,0)),""),"")</f>
        <v>1</v>
      </c>
      <c r="Q11" s="16" t="n">
        <f aca="false">IFERROR(IF(ISNUMBER(INDEX(Parameters!$B$5:$B$23,MATCH(E11,Parameters!$A$5:$A$23,0))),INDEX(Parameters!$B$5:$B$23,MATCH(E11,Parameters!$A$5:$A$23,0)),""),"")</f>
        <v>1</v>
      </c>
      <c r="R11" s="16" t="n">
        <f aca="false">IF(F11="","",IFERROR(MIN(Parameters!$B$33,MAX(0,Parameters!$B$32-VALUE(LEFT(F11,4))))/Parameters!$B$33,""))</f>
        <v>1</v>
      </c>
      <c r="S11" s="16" t="str">
        <f aca="false">IF(ISNUMBER(H11),H11,IF(G11="",IF(ISNUMBER(Parameters!$B$34),Parameters!$B$34,""),""))</f>
        <v/>
      </c>
      <c r="T11" s="16" t="n">
        <f aca="false">IFERROR(IF(ISNUMBER(INDEX(Parameters!$B$5:$B$23,MATCH(I11,Parameters!$A$5:$A$23,0))),INDEX(Parameters!$B$5:$B$23,MATCH(I11,Parameters!$A$5:$A$23,0)),""),"")</f>
        <v>0</v>
      </c>
      <c r="U11" s="16" t="n">
        <f aca="false">IFERROR(IF(ISNUMBER(INDEX(Parameters!$B$5:$B$23,MATCH(L11,Parameters!$A$5:$A$23,0))),INDEX(Parameters!$B$5:$B$23,MATCH(L11,Parameters!$A$5:$A$23,0)),""),"")</f>
        <v>1</v>
      </c>
      <c r="V11" s="16" t="str">
        <f aca="false">IFERROR(IF(ISNUMBER(INDEX(Parameters!$B$5:$B$23,MATCH(J11,Parameters!$A$5:$A$23,0))),INDEX(Parameters!$B$5:$B$23,MATCH(J11,Parameters!$A$5:$A$23,0)),""),"")</f>
        <v/>
      </c>
      <c r="W11" s="16" t="str">
        <f aca="false">IF(K11&lt;&gt;"",1,IF(COUNTIF(Parameters!$A$27:$A$28,J11)&gt;0,0,""))</f>
        <v/>
      </c>
      <c r="X11" s="17" t="n">
        <f aca="false">IF(J11="Not applicable",0,1)</f>
        <v>0</v>
      </c>
      <c r="Y11" s="17" t="n">
        <f aca="false">IF(OR(K11&lt;&gt;"",COUNTIF(Parameters!$A$27:$A$28,J11)&gt;0),1,0)</f>
        <v>0</v>
      </c>
      <c r="Z11"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11+(Parameters!$F$12=Parameters!$E$15)*Parameters!$I$12*Y11)=0,"",IF(AND(((Parameters!$F$5=Parameters!$E$15)*Parameters!$I$5*ISNUMBER(P11)+(Parameters!$F$6=Parameters!$E$15)*Parameters!$I$6*ISNUMBER(Q11)+(Parameters!$F$7=Parameters!$E$15)*Parameters!$I$7*ISNUMBER(R11)+(Parameters!$F$8=Parameters!$E$15)*Parameters!$I$8*ISNUMBER(S11)+(Parameters!$F$9=Parameters!$E$15)*Parameters!$I$9*ISNUMBER(T11)+(Parameters!$F$10=Parameters!$E$15)*Parameters!$I$10*ISNUMBER(U11)+(Parameters!$F$11=Parameters!$E$15)*Parameters!$I$11*ISNUMBER(V11)+(Parameters!$F$12=Parameters!$E$15)*Parameters!$I$12*ISNUMBER(W11))&gt;0,((Parameters!$F$5=Parameters!$E$15)*Parameters!$I$5*ISNUMBER(P11)+(Parameters!$F$6=Parameters!$E$15)*Parameters!$I$6*ISNUMBER(Q11)+(Parameters!$F$7=Parameters!$E$15)*Parameters!$I$7*ISNUMBER(R11)+(Parameters!$F$8=Parameters!$E$15)*Parameters!$I$8*ISNUMBER(S11)+(Parameters!$F$9=Parameters!$E$15)*Parameters!$I$9*ISNUMBER(T11)+(Parameters!$F$10=Parameters!$E$15)*Parameters!$I$10*ISNUMBER(U11)+(Parameters!$F$11=Parameters!$E$15)*Parameters!$I$11*ISNUMBER(V11)+(Parameters!$F$12=Parameters!$E$15)*Parameters!$I$12*ISNUMBER(W11))/((Parameters!$F$5=Parameters!$E$15)*Parameters!$I$5*1+(Parameters!$F$6=Parameters!$E$15)*Parameters!$I$6*1+(Parameters!$F$7=Parameters!$E$15)*Parameters!$I$7*1+(Parameters!$F$8=Parameters!$E$15)*Parameters!$I$8*1+(Parameters!$F$9=Parameters!$E$15)*Parameters!$I$9*1+(Parameters!$F$10=Parameters!$E$15)*Parameters!$I$10*1+(Parameters!$F$11=Parameters!$E$15)*Parameters!$I$11*X11+(Parameters!$F$12=Parameters!$E$15)*Parameters!$I$12*Y11)&gt;=Parameters!$B$36),((Parameters!$F$5=Parameters!$E$15)*Parameters!$I$5*N(P11)+(Parameters!$F$6=Parameters!$E$15)*Parameters!$I$6*N(Q11)+(Parameters!$F$7=Parameters!$E$15)*Parameters!$I$7*N(R11)+(Parameters!$F$8=Parameters!$E$15)*Parameters!$I$8*N(S11)+(Parameters!$F$9=Parameters!$E$15)*Parameters!$I$9*N(T11)+(Parameters!$F$10=Parameters!$E$15)*Parameters!$I$10*N(U11)+(Parameters!$F$11=Parameters!$E$15)*Parameters!$I$11*N(V11)+(Parameters!$F$12=Parameters!$E$15)*Parameters!$I$12*N(W11))/((Parameters!$F$5=Parameters!$E$15)*Parameters!$I$5*ISNUMBER(P11)+(Parameters!$F$6=Parameters!$E$15)*Parameters!$I$6*ISNUMBER(Q11)+(Parameters!$F$7=Parameters!$E$15)*Parameters!$I$7*ISNUMBER(R11)+(Parameters!$F$8=Parameters!$E$15)*Parameters!$I$8*ISNUMBER(S11)+(Parameters!$F$9=Parameters!$E$15)*Parameters!$I$9*ISNUMBER(T11)+(Parameters!$F$10=Parameters!$E$15)*Parameters!$I$10*ISNUMBER(U11)+(Parameters!$F$11=Parameters!$E$15)*Parameters!$I$11*ISNUMBER(V11)+(Parameters!$F$12=Parameters!$E$15)*Parameters!$I$12*ISNUMBER(W11)),""))</f>
        <v>1</v>
      </c>
      <c r="AA11"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11+(Parameters!$F$12=Parameters!$E$16)*Parameters!$I$12*Y11)=0,"",IF(AND(((Parameters!$F$5=Parameters!$E$16)*Parameters!$I$5*ISNUMBER(P11)+(Parameters!$F$6=Parameters!$E$16)*Parameters!$I$6*ISNUMBER(Q11)+(Parameters!$F$7=Parameters!$E$16)*Parameters!$I$7*ISNUMBER(R11)+(Parameters!$F$8=Parameters!$E$16)*Parameters!$I$8*ISNUMBER(S11)+(Parameters!$F$9=Parameters!$E$16)*Parameters!$I$9*ISNUMBER(T11)+(Parameters!$F$10=Parameters!$E$16)*Parameters!$I$10*ISNUMBER(U11)+(Parameters!$F$11=Parameters!$E$16)*Parameters!$I$11*ISNUMBER(V11)+(Parameters!$F$12=Parameters!$E$16)*Parameters!$I$12*ISNUMBER(W11))&gt;0,((Parameters!$F$5=Parameters!$E$16)*Parameters!$I$5*ISNUMBER(P11)+(Parameters!$F$6=Parameters!$E$16)*Parameters!$I$6*ISNUMBER(Q11)+(Parameters!$F$7=Parameters!$E$16)*Parameters!$I$7*ISNUMBER(R11)+(Parameters!$F$8=Parameters!$E$16)*Parameters!$I$8*ISNUMBER(S11)+(Parameters!$F$9=Parameters!$E$16)*Parameters!$I$9*ISNUMBER(T11)+(Parameters!$F$10=Parameters!$E$16)*Parameters!$I$10*ISNUMBER(U11)+(Parameters!$F$11=Parameters!$E$16)*Parameters!$I$11*ISNUMBER(V11)+(Parameters!$F$12=Parameters!$E$16)*Parameters!$I$12*ISNUMBER(W11))/((Parameters!$F$5=Parameters!$E$16)*Parameters!$I$5*1+(Parameters!$F$6=Parameters!$E$16)*Parameters!$I$6*1+(Parameters!$F$7=Parameters!$E$16)*Parameters!$I$7*1+(Parameters!$F$8=Parameters!$E$16)*Parameters!$I$8*1+(Parameters!$F$9=Parameters!$E$16)*Parameters!$I$9*1+(Parameters!$F$10=Parameters!$E$16)*Parameters!$I$10*1+(Parameters!$F$11=Parameters!$E$16)*Parameters!$I$11*X11+(Parameters!$F$12=Parameters!$E$16)*Parameters!$I$12*Y11)&gt;=Parameters!$B$36),((Parameters!$F$5=Parameters!$E$16)*Parameters!$I$5*N(P11)+(Parameters!$F$6=Parameters!$E$16)*Parameters!$I$6*N(Q11)+(Parameters!$F$7=Parameters!$E$16)*Parameters!$I$7*N(R11)+(Parameters!$F$8=Parameters!$E$16)*Parameters!$I$8*N(S11)+(Parameters!$F$9=Parameters!$E$16)*Parameters!$I$9*N(T11)+(Parameters!$F$10=Parameters!$E$16)*Parameters!$I$10*N(U11)+(Parameters!$F$11=Parameters!$E$16)*Parameters!$I$11*N(V11)+(Parameters!$F$12=Parameters!$E$16)*Parameters!$I$12*N(W11))/((Parameters!$F$5=Parameters!$E$16)*Parameters!$I$5*ISNUMBER(P11)+(Parameters!$F$6=Parameters!$E$16)*Parameters!$I$6*ISNUMBER(Q11)+(Parameters!$F$7=Parameters!$E$16)*Parameters!$I$7*ISNUMBER(R11)+(Parameters!$F$8=Parameters!$E$16)*Parameters!$I$8*ISNUMBER(S11)+(Parameters!$F$9=Parameters!$E$16)*Parameters!$I$9*ISNUMBER(T11)+(Parameters!$F$10=Parameters!$E$16)*Parameters!$I$10*ISNUMBER(U11)+(Parameters!$F$11=Parameters!$E$16)*Parameters!$I$11*ISNUMBER(V11)+(Parameters!$F$12=Parameters!$E$16)*Parameters!$I$12*ISNUMBER(W11)),""))</f>
        <v>0.666666666666667</v>
      </c>
      <c r="AB11"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11+(Parameters!$F$12=Parameters!$E$17)*Parameters!$I$12*Y11)=0,"",IF(AND(((Parameters!$F$5=Parameters!$E$17)*Parameters!$I$5*ISNUMBER(P11)+(Parameters!$F$6=Parameters!$E$17)*Parameters!$I$6*ISNUMBER(Q11)+(Parameters!$F$7=Parameters!$E$17)*Parameters!$I$7*ISNUMBER(R11)+(Parameters!$F$8=Parameters!$E$17)*Parameters!$I$8*ISNUMBER(S11)+(Parameters!$F$9=Parameters!$E$17)*Parameters!$I$9*ISNUMBER(T11)+(Parameters!$F$10=Parameters!$E$17)*Parameters!$I$10*ISNUMBER(U11)+(Parameters!$F$11=Parameters!$E$17)*Parameters!$I$11*ISNUMBER(V11)+(Parameters!$F$12=Parameters!$E$17)*Parameters!$I$12*ISNUMBER(W11))&gt;0,((Parameters!$F$5=Parameters!$E$17)*Parameters!$I$5*ISNUMBER(P11)+(Parameters!$F$6=Parameters!$E$17)*Parameters!$I$6*ISNUMBER(Q11)+(Parameters!$F$7=Parameters!$E$17)*Parameters!$I$7*ISNUMBER(R11)+(Parameters!$F$8=Parameters!$E$17)*Parameters!$I$8*ISNUMBER(S11)+(Parameters!$F$9=Parameters!$E$17)*Parameters!$I$9*ISNUMBER(T11)+(Parameters!$F$10=Parameters!$E$17)*Parameters!$I$10*ISNUMBER(U11)+(Parameters!$F$11=Parameters!$E$17)*Parameters!$I$11*ISNUMBER(V11)+(Parameters!$F$12=Parameters!$E$17)*Parameters!$I$12*ISNUMBER(W11))/((Parameters!$F$5=Parameters!$E$17)*Parameters!$I$5*1+(Parameters!$F$6=Parameters!$E$17)*Parameters!$I$6*1+(Parameters!$F$7=Parameters!$E$17)*Parameters!$I$7*1+(Parameters!$F$8=Parameters!$E$17)*Parameters!$I$8*1+(Parameters!$F$9=Parameters!$E$17)*Parameters!$I$9*1+(Parameters!$F$10=Parameters!$E$17)*Parameters!$I$10*1+(Parameters!$F$11=Parameters!$E$17)*Parameters!$I$11*X11+(Parameters!$F$12=Parameters!$E$17)*Parameters!$I$12*Y11)&gt;=Parameters!$B$36),((Parameters!$F$5=Parameters!$E$17)*Parameters!$I$5*N(P11)+(Parameters!$F$6=Parameters!$E$17)*Parameters!$I$6*N(Q11)+(Parameters!$F$7=Parameters!$E$17)*Parameters!$I$7*N(R11)+(Parameters!$F$8=Parameters!$E$17)*Parameters!$I$8*N(S11)+(Parameters!$F$9=Parameters!$E$17)*Parameters!$I$9*N(T11)+(Parameters!$F$10=Parameters!$E$17)*Parameters!$I$10*N(U11)+(Parameters!$F$11=Parameters!$E$17)*Parameters!$I$11*N(V11)+(Parameters!$F$12=Parameters!$E$17)*Parameters!$I$12*N(W11))/((Parameters!$F$5=Parameters!$E$17)*Parameters!$I$5*ISNUMBER(P11)+(Parameters!$F$6=Parameters!$E$17)*Parameters!$I$6*ISNUMBER(Q11)+(Parameters!$F$7=Parameters!$E$17)*Parameters!$I$7*ISNUMBER(R11)+(Parameters!$F$8=Parameters!$E$17)*Parameters!$I$8*ISNUMBER(S11)+(Parameters!$F$9=Parameters!$E$17)*Parameters!$I$9*ISNUMBER(T11)+(Parameters!$F$10=Parameters!$E$17)*Parameters!$I$10*ISNUMBER(U11)+(Parameters!$F$11=Parameters!$E$17)*Parameters!$I$11*ISNUMBER(V11)+(Parameters!$F$12=Parameters!$E$17)*Parameters!$I$12*ISNUMBER(W11)),""))</f>
        <v/>
      </c>
      <c r="AC11" s="17" t="n">
        <f aca="false">Parameters!$I$5*ISNUMBER(P11)+Parameters!$I$6*ISNUMBER(Q11)+Parameters!$I$7*ISNUMBER(R11)+Parameters!$I$8*ISNUMBER(S11)+Parameters!$I$9*ISNUMBER(T11)+Parameters!$I$10*ISNUMBER(U11)+Parameters!$I$11*ISNUMBER(V11)+Parameters!$I$12*ISNUMBER(W11)</f>
        <v>65</v>
      </c>
      <c r="AD11" s="17" t="n">
        <f aca="false">Parameters!$I$5*1+Parameters!$I$6*1+Parameters!$I$7*1+Parameters!$I$8*1+Parameters!$I$9*1+Parameters!$I$10*1+Parameters!$I$11*X11+Parameters!$I$12*Y11</f>
        <v>75</v>
      </c>
      <c r="AE11" s="18" t="n">
        <f aca="false">IF(AD11=0,"",AC11/AD11)</f>
        <v>0.866666666666667</v>
      </c>
      <c r="AF11" s="17" t="str">
        <f aca="false">IF(ISNUMBER(Z11),"M","")&amp;IF(ISNUMBER(AA11),"I","")&amp;IF(ISNUMBER(AB11),"O","")</f>
        <v>MI</v>
      </c>
      <c r="AG11" s="19" t="n">
        <f aca="false">IF(AND(ISNUMBER(AE11),ISNUMBER(Z11)+ISNUMBER(AA11)+ISNUMBER(AB11)&gt;=Parameters!$B$37),IF(AE11&gt;=Parameters!$B$35,100*(Parameters!$F$15*N(Z11)+Parameters!$F$16*N(AA11)+Parameters!$F$17*N(AB11))/(Parameters!$F$15*ISNUMBER(Z11)+Parameters!$F$16*ISNUMBER(AA11)+Parameters!$F$17*ISNUMBER(AB11)),""),"")</f>
        <v>87.5</v>
      </c>
      <c r="AH11" s="17" t="n">
        <f aca="false">IF(ISNUMBER(AG11),RANK(AG11,$AG$2:$AG$113),"")</f>
        <v>40</v>
      </c>
    </row>
    <row r="12" customFormat="false" ht="15" hidden="false" customHeight="false" outlineLevel="0" collapsed="false">
      <c r="A12" s="5" t="s">
        <v>180</v>
      </c>
      <c r="B12" s="5" t="s">
        <v>163</v>
      </c>
      <c r="C12" s="5" t="s">
        <v>181</v>
      </c>
      <c r="D12" s="5" t="s">
        <v>31</v>
      </c>
      <c r="E12" s="5" t="s">
        <v>44</v>
      </c>
      <c r="F12" s="5" t="s">
        <v>182</v>
      </c>
      <c r="G12" s="15" t="s">
        <v>183</v>
      </c>
      <c r="H12" s="8" t="n">
        <v>0</v>
      </c>
      <c r="I12" s="5" t="s">
        <v>57</v>
      </c>
      <c r="J12" s="5" t="s">
        <v>68</v>
      </c>
      <c r="K12" s="15" t="s">
        <v>167</v>
      </c>
      <c r="L12" s="5" t="s">
        <v>85</v>
      </c>
      <c r="M12" s="5" t="s">
        <v>141</v>
      </c>
      <c r="N12" s="5" t="s">
        <v>168</v>
      </c>
      <c r="O12" s="5" t="s">
        <v>71</v>
      </c>
      <c r="P12" s="16" t="n">
        <f aca="false">IFERROR(IF(ISNUMBER(INDEX(Parameters!$B$5:$B$23,MATCH(D12,Parameters!$A$5:$A$23,0))),INDEX(Parameters!$B$5:$B$23,MATCH(D12,Parameters!$A$5:$A$23,0)),""),"")</f>
        <v>1</v>
      </c>
      <c r="Q12" s="16" t="n">
        <f aca="false">IFERROR(IF(ISNUMBER(INDEX(Parameters!$B$5:$B$23,MATCH(E12,Parameters!$A$5:$A$23,0))),INDEX(Parameters!$B$5:$B$23,MATCH(E12,Parameters!$A$5:$A$23,0)),""),"")</f>
        <v>1</v>
      </c>
      <c r="R12" s="16" t="n">
        <f aca="false">IF(F12="","",IFERROR(MIN(Parameters!$B$33,MAX(0,Parameters!$B$32-VALUE(LEFT(F12,4))))/Parameters!$B$33,""))</f>
        <v>1</v>
      </c>
      <c r="S12" s="16" t="n">
        <f aca="false">IF(ISNUMBER(H12),H12,IF(G12="",IF(ISNUMBER(Parameters!$B$34),Parameters!$B$34,""),""))</f>
        <v>0</v>
      </c>
      <c r="T12" s="16" t="n">
        <f aca="false">IFERROR(IF(ISNUMBER(INDEX(Parameters!$B$5:$B$23,MATCH(I12,Parameters!$A$5:$A$23,0))),INDEX(Parameters!$B$5:$B$23,MATCH(I12,Parameters!$A$5:$A$23,0)),""),"")</f>
        <v>0</v>
      </c>
      <c r="U12" s="16" t="n">
        <f aca="false">IFERROR(IF(ISNUMBER(INDEX(Parameters!$B$5:$B$23,MATCH(L12,Parameters!$A$5:$A$23,0))),INDEX(Parameters!$B$5:$B$23,MATCH(L12,Parameters!$A$5:$A$23,0)),""),"")</f>
        <v>0.5</v>
      </c>
      <c r="V12" s="16" t="n">
        <f aca="false">IFERROR(IF(ISNUMBER(INDEX(Parameters!$B$5:$B$23,MATCH(J12,Parameters!$A$5:$A$23,0))),INDEX(Parameters!$B$5:$B$23,MATCH(J12,Parameters!$A$5:$A$23,0)),""),"")</f>
        <v>1</v>
      </c>
      <c r="W12" s="16" t="n">
        <f aca="false">IF(K12&lt;&gt;"",1,IF(COUNTIF(Parameters!$A$27:$A$28,J12)&gt;0,0,""))</f>
        <v>1</v>
      </c>
      <c r="X12" s="17" t="n">
        <f aca="false">IF(J12="Not applicable",0,1)</f>
        <v>1</v>
      </c>
      <c r="Y12" s="17" t="n">
        <f aca="false">IF(OR(K12&lt;&gt;"",COUNTIF(Parameters!$A$27:$A$28,J12)&gt;0),1,0)</f>
        <v>1</v>
      </c>
      <c r="Z12"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12+(Parameters!$F$12=Parameters!$E$15)*Parameters!$I$12*Y12)=0,"",IF(AND(((Parameters!$F$5=Parameters!$E$15)*Parameters!$I$5*ISNUMBER(P12)+(Parameters!$F$6=Parameters!$E$15)*Parameters!$I$6*ISNUMBER(Q12)+(Parameters!$F$7=Parameters!$E$15)*Parameters!$I$7*ISNUMBER(R12)+(Parameters!$F$8=Parameters!$E$15)*Parameters!$I$8*ISNUMBER(S12)+(Parameters!$F$9=Parameters!$E$15)*Parameters!$I$9*ISNUMBER(T12)+(Parameters!$F$10=Parameters!$E$15)*Parameters!$I$10*ISNUMBER(U12)+(Parameters!$F$11=Parameters!$E$15)*Parameters!$I$11*ISNUMBER(V12)+(Parameters!$F$12=Parameters!$E$15)*Parameters!$I$12*ISNUMBER(W12))&gt;0,((Parameters!$F$5=Parameters!$E$15)*Parameters!$I$5*ISNUMBER(P12)+(Parameters!$F$6=Parameters!$E$15)*Parameters!$I$6*ISNUMBER(Q12)+(Parameters!$F$7=Parameters!$E$15)*Parameters!$I$7*ISNUMBER(R12)+(Parameters!$F$8=Parameters!$E$15)*Parameters!$I$8*ISNUMBER(S12)+(Parameters!$F$9=Parameters!$E$15)*Parameters!$I$9*ISNUMBER(T12)+(Parameters!$F$10=Parameters!$E$15)*Parameters!$I$10*ISNUMBER(U12)+(Parameters!$F$11=Parameters!$E$15)*Parameters!$I$11*ISNUMBER(V12)+(Parameters!$F$12=Parameters!$E$15)*Parameters!$I$12*ISNUMBER(W12))/((Parameters!$F$5=Parameters!$E$15)*Parameters!$I$5*1+(Parameters!$F$6=Parameters!$E$15)*Parameters!$I$6*1+(Parameters!$F$7=Parameters!$E$15)*Parameters!$I$7*1+(Parameters!$F$8=Parameters!$E$15)*Parameters!$I$8*1+(Parameters!$F$9=Parameters!$E$15)*Parameters!$I$9*1+(Parameters!$F$10=Parameters!$E$15)*Parameters!$I$10*1+(Parameters!$F$11=Parameters!$E$15)*Parameters!$I$11*X12+(Parameters!$F$12=Parameters!$E$15)*Parameters!$I$12*Y12)&gt;=Parameters!$B$36),((Parameters!$F$5=Parameters!$E$15)*Parameters!$I$5*N(P12)+(Parameters!$F$6=Parameters!$E$15)*Parameters!$I$6*N(Q12)+(Parameters!$F$7=Parameters!$E$15)*Parameters!$I$7*N(R12)+(Parameters!$F$8=Parameters!$E$15)*Parameters!$I$8*N(S12)+(Parameters!$F$9=Parameters!$E$15)*Parameters!$I$9*N(T12)+(Parameters!$F$10=Parameters!$E$15)*Parameters!$I$10*N(U12)+(Parameters!$F$11=Parameters!$E$15)*Parameters!$I$11*N(V12)+(Parameters!$F$12=Parameters!$E$15)*Parameters!$I$12*N(W12))/((Parameters!$F$5=Parameters!$E$15)*Parameters!$I$5*ISNUMBER(P12)+(Parameters!$F$6=Parameters!$E$15)*Parameters!$I$6*ISNUMBER(Q12)+(Parameters!$F$7=Parameters!$E$15)*Parameters!$I$7*ISNUMBER(R12)+(Parameters!$F$8=Parameters!$E$15)*Parameters!$I$8*ISNUMBER(S12)+(Parameters!$F$9=Parameters!$E$15)*Parameters!$I$9*ISNUMBER(T12)+(Parameters!$F$10=Parameters!$E$15)*Parameters!$I$10*ISNUMBER(U12)+(Parameters!$F$11=Parameters!$E$15)*Parameters!$I$11*ISNUMBER(V12)+(Parameters!$F$12=Parameters!$E$15)*Parameters!$I$12*ISNUMBER(W12)),""))</f>
        <v>1</v>
      </c>
      <c r="AA12"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12+(Parameters!$F$12=Parameters!$E$16)*Parameters!$I$12*Y12)=0,"",IF(AND(((Parameters!$F$5=Parameters!$E$16)*Parameters!$I$5*ISNUMBER(P12)+(Parameters!$F$6=Parameters!$E$16)*Parameters!$I$6*ISNUMBER(Q12)+(Parameters!$F$7=Parameters!$E$16)*Parameters!$I$7*ISNUMBER(R12)+(Parameters!$F$8=Parameters!$E$16)*Parameters!$I$8*ISNUMBER(S12)+(Parameters!$F$9=Parameters!$E$16)*Parameters!$I$9*ISNUMBER(T12)+(Parameters!$F$10=Parameters!$E$16)*Parameters!$I$10*ISNUMBER(U12)+(Parameters!$F$11=Parameters!$E$16)*Parameters!$I$11*ISNUMBER(V12)+(Parameters!$F$12=Parameters!$E$16)*Parameters!$I$12*ISNUMBER(W12))&gt;0,((Parameters!$F$5=Parameters!$E$16)*Parameters!$I$5*ISNUMBER(P12)+(Parameters!$F$6=Parameters!$E$16)*Parameters!$I$6*ISNUMBER(Q12)+(Parameters!$F$7=Parameters!$E$16)*Parameters!$I$7*ISNUMBER(R12)+(Parameters!$F$8=Parameters!$E$16)*Parameters!$I$8*ISNUMBER(S12)+(Parameters!$F$9=Parameters!$E$16)*Parameters!$I$9*ISNUMBER(T12)+(Parameters!$F$10=Parameters!$E$16)*Parameters!$I$10*ISNUMBER(U12)+(Parameters!$F$11=Parameters!$E$16)*Parameters!$I$11*ISNUMBER(V12)+(Parameters!$F$12=Parameters!$E$16)*Parameters!$I$12*ISNUMBER(W12))/((Parameters!$F$5=Parameters!$E$16)*Parameters!$I$5*1+(Parameters!$F$6=Parameters!$E$16)*Parameters!$I$6*1+(Parameters!$F$7=Parameters!$E$16)*Parameters!$I$7*1+(Parameters!$F$8=Parameters!$E$16)*Parameters!$I$8*1+(Parameters!$F$9=Parameters!$E$16)*Parameters!$I$9*1+(Parameters!$F$10=Parameters!$E$16)*Parameters!$I$10*1+(Parameters!$F$11=Parameters!$E$16)*Parameters!$I$11*X12+(Parameters!$F$12=Parameters!$E$16)*Parameters!$I$12*Y12)&gt;=Parameters!$B$36),((Parameters!$F$5=Parameters!$E$16)*Parameters!$I$5*N(P12)+(Parameters!$F$6=Parameters!$E$16)*Parameters!$I$6*N(Q12)+(Parameters!$F$7=Parameters!$E$16)*Parameters!$I$7*N(R12)+(Parameters!$F$8=Parameters!$E$16)*Parameters!$I$8*N(S12)+(Parameters!$F$9=Parameters!$E$16)*Parameters!$I$9*N(T12)+(Parameters!$F$10=Parameters!$E$16)*Parameters!$I$10*N(U12)+(Parameters!$F$11=Parameters!$E$16)*Parameters!$I$11*N(V12)+(Parameters!$F$12=Parameters!$E$16)*Parameters!$I$12*N(W12))/((Parameters!$F$5=Parameters!$E$16)*Parameters!$I$5*ISNUMBER(P12)+(Parameters!$F$6=Parameters!$E$16)*Parameters!$I$6*ISNUMBER(Q12)+(Parameters!$F$7=Parameters!$E$16)*Parameters!$I$7*ISNUMBER(R12)+(Parameters!$F$8=Parameters!$E$16)*Parameters!$I$8*ISNUMBER(S12)+(Parameters!$F$9=Parameters!$E$16)*Parameters!$I$9*ISNUMBER(T12)+(Parameters!$F$10=Parameters!$E$16)*Parameters!$I$10*ISNUMBER(U12)+(Parameters!$F$11=Parameters!$E$16)*Parameters!$I$11*ISNUMBER(V12)+(Parameters!$F$12=Parameters!$E$16)*Parameters!$I$12*ISNUMBER(W12)),""))</f>
        <v>0.2</v>
      </c>
      <c r="AB12"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12+(Parameters!$F$12=Parameters!$E$17)*Parameters!$I$12*Y12)=0,"",IF(AND(((Parameters!$F$5=Parameters!$E$17)*Parameters!$I$5*ISNUMBER(P12)+(Parameters!$F$6=Parameters!$E$17)*Parameters!$I$6*ISNUMBER(Q12)+(Parameters!$F$7=Parameters!$E$17)*Parameters!$I$7*ISNUMBER(R12)+(Parameters!$F$8=Parameters!$E$17)*Parameters!$I$8*ISNUMBER(S12)+(Parameters!$F$9=Parameters!$E$17)*Parameters!$I$9*ISNUMBER(T12)+(Parameters!$F$10=Parameters!$E$17)*Parameters!$I$10*ISNUMBER(U12)+(Parameters!$F$11=Parameters!$E$17)*Parameters!$I$11*ISNUMBER(V12)+(Parameters!$F$12=Parameters!$E$17)*Parameters!$I$12*ISNUMBER(W12))&gt;0,((Parameters!$F$5=Parameters!$E$17)*Parameters!$I$5*ISNUMBER(P12)+(Parameters!$F$6=Parameters!$E$17)*Parameters!$I$6*ISNUMBER(Q12)+(Parameters!$F$7=Parameters!$E$17)*Parameters!$I$7*ISNUMBER(R12)+(Parameters!$F$8=Parameters!$E$17)*Parameters!$I$8*ISNUMBER(S12)+(Parameters!$F$9=Parameters!$E$17)*Parameters!$I$9*ISNUMBER(T12)+(Parameters!$F$10=Parameters!$E$17)*Parameters!$I$10*ISNUMBER(U12)+(Parameters!$F$11=Parameters!$E$17)*Parameters!$I$11*ISNUMBER(V12)+(Parameters!$F$12=Parameters!$E$17)*Parameters!$I$12*ISNUMBER(W12))/((Parameters!$F$5=Parameters!$E$17)*Parameters!$I$5*1+(Parameters!$F$6=Parameters!$E$17)*Parameters!$I$6*1+(Parameters!$F$7=Parameters!$E$17)*Parameters!$I$7*1+(Parameters!$F$8=Parameters!$E$17)*Parameters!$I$8*1+(Parameters!$F$9=Parameters!$E$17)*Parameters!$I$9*1+(Parameters!$F$10=Parameters!$E$17)*Parameters!$I$10*1+(Parameters!$F$11=Parameters!$E$17)*Parameters!$I$11*X12+(Parameters!$F$12=Parameters!$E$17)*Parameters!$I$12*Y12)&gt;=Parameters!$B$36),((Parameters!$F$5=Parameters!$E$17)*Parameters!$I$5*N(P12)+(Parameters!$F$6=Parameters!$E$17)*Parameters!$I$6*N(Q12)+(Parameters!$F$7=Parameters!$E$17)*Parameters!$I$7*N(R12)+(Parameters!$F$8=Parameters!$E$17)*Parameters!$I$8*N(S12)+(Parameters!$F$9=Parameters!$E$17)*Parameters!$I$9*N(T12)+(Parameters!$F$10=Parameters!$E$17)*Parameters!$I$10*N(U12)+(Parameters!$F$11=Parameters!$E$17)*Parameters!$I$11*N(V12)+(Parameters!$F$12=Parameters!$E$17)*Parameters!$I$12*N(W12))/((Parameters!$F$5=Parameters!$E$17)*Parameters!$I$5*ISNUMBER(P12)+(Parameters!$F$6=Parameters!$E$17)*Parameters!$I$6*ISNUMBER(Q12)+(Parameters!$F$7=Parameters!$E$17)*Parameters!$I$7*ISNUMBER(R12)+(Parameters!$F$8=Parameters!$E$17)*Parameters!$I$8*ISNUMBER(S12)+(Parameters!$F$9=Parameters!$E$17)*Parameters!$I$9*ISNUMBER(T12)+(Parameters!$F$10=Parameters!$E$17)*Parameters!$I$10*ISNUMBER(U12)+(Parameters!$F$11=Parameters!$E$17)*Parameters!$I$11*ISNUMBER(V12)+(Parameters!$F$12=Parameters!$E$17)*Parameters!$I$12*ISNUMBER(W12)),""))</f>
        <v>1</v>
      </c>
      <c r="AC12" s="17" t="n">
        <f aca="false">Parameters!$I$5*ISNUMBER(P12)+Parameters!$I$6*ISNUMBER(Q12)+Parameters!$I$7*ISNUMBER(R12)+Parameters!$I$8*ISNUMBER(S12)+Parameters!$I$9*ISNUMBER(T12)+Parameters!$I$10*ISNUMBER(U12)+Parameters!$I$11*ISNUMBER(V12)+Parameters!$I$12*ISNUMBER(W12)</f>
        <v>95</v>
      </c>
      <c r="AD12" s="17" t="n">
        <f aca="false">Parameters!$I$5*1+Parameters!$I$6*1+Parameters!$I$7*1+Parameters!$I$8*1+Parameters!$I$9*1+Parameters!$I$10*1+Parameters!$I$11*X12+Parameters!$I$12*Y12</f>
        <v>95</v>
      </c>
      <c r="AE12" s="18" t="n">
        <f aca="false">IF(AD12=0,"",AC12/AD12)</f>
        <v>1</v>
      </c>
      <c r="AF12" s="17" t="str">
        <f aca="false">IF(ISNUMBER(Z12),"M","")&amp;IF(ISNUMBER(AA12),"I","")&amp;IF(ISNUMBER(AB12),"O","")</f>
        <v>MIO</v>
      </c>
      <c r="AG12" s="19" t="n">
        <f aca="false">IF(AND(ISNUMBER(AE12),ISNUMBER(Z12)+ISNUMBER(AA12)+ISNUMBER(AB12)&gt;=Parameters!$B$37),IF(AE12&gt;=Parameters!$B$35,100*(Parameters!$F$15*N(Z12)+Parameters!$F$16*N(AA12)+Parameters!$F$17*N(AB12))/(Parameters!$F$15*ISNUMBER(Z12)+Parameters!$F$16*ISNUMBER(AA12)+Parameters!$F$17*ISNUMBER(AB12)),""),"")</f>
        <v>76</v>
      </c>
      <c r="AH12" s="17" t="n">
        <f aca="false">IF(ISNUMBER(AG12),RANK(AG12,$AG$2:$AG$113),"")</f>
        <v>88</v>
      </c>
    </row>
    <row r="13" customFormat="false" ht="15" hidden="false" customHeight="false" outlineLevel="0" collapsed="false">
      <c r="A13" s="5" t="s">
        <v>184</v>
      </c>
      <c r="B13" s="5" t="s">
        <v>185</v>
      </c>
      <c r="C13" s="5" t="s">
        <v>156</v>
      </c>
      <c r="D13" s="5" t="s">
        <v>31</v>
      </c>
      <c r="E13" s="5" t="s">
        <v>44</v>
      </c>
      <c r="F13" s="5" t="s">
        <v>151</v>
      </c>
      <c r="G13" s="15" t="s">
        <v>185</v>
      </c>
      <c r="H13" s="8" t="n">
        <v>1</v>
      </c>
      <c r="I13" s="5" t="s">
        <v>57</v>
      </c>
      <c r="J13" s="5" t="s">
        <v>62</v>
      </c>
      <c r="K13" s="15"/>
      <c r="L13" s="5" t="s">
        <v>76</v>
      </c>
      <c r="M13" s="5" t="s">
        <v>157</v>
      </c>
      <c r="N13" s="5" t="s">
        <v>142</v>
      </c>
      <c r="O13" s="5"/>
      <c r="P13" s="16" t="n">
        <f aca="false">IFERROR(IF(ISNUMBER(INDEX(Parameters!$B$5:$B$23,MATCH(D13,Parameters!$A$5:$A$23,0))),INDEX(Parameters!$B$5:$B$23,MATCH(D13,Parameters!$A$5:$A$23,0)),""),"")</f>
        <v>1</v>
      </c>
      <c r="Q13" s="16" t="n">
        <f aca="false">IFERROR(IF(ISNUMBER(INDEX(Parameters!$B$5:$B$23,MATCH(E13,Parameters!$A$5:$A$23,0))),INDEX(Parameters!$B$5:$B$23,MATCH(E13,Parameters!$A$5:$A$23,0)),""),"")</f>
        <v>1</v>
      </c>
      <c r="R13" s="16" t="n">
        <f aca="false">IF(F13="","",IFERROR(MIN(Parameters!$B$33,MAX(0,Parameters!$B$32-VALUE(LEFT(F13,4))))/Parameters!$B$33,""))</f>
        <v>0.866666666666667</v>
      </c>
      <c r="S13" s="16" t="n">
        <f aca="false">IF(ISNUMBER(H13),H13,IF(G13="",IF(ISNUMBER(Parameters!$B$34),Parameters!$B$34,""),""))</f>
        <v>1</v>
      </c>
      <c r="T13" s="16" t="n">
        <f aca="false">IFERROR(IF(ISNUMBER(INDEX(Parameters!$B$5:$B$23,MATCH(I13,Parameters!$A$5:$A$23,0))),INDEX(Parameters!$B$5:$B$23,MATCH(I13,Parameters!$A$5:$A$23,0)),""),"")</f>
        <v>0</v>
      </c>
      <c r="U13" s="16" t="n">
        <f aca="false">IFERROR(IF(ISNUMBER(INDEX(Parameters!$B$5:$B$23,MATCH(L13,Parameters!$A$5:$A$23,0))),INDEX(Parameters!$B$5:$B$23,MATCH(L13,Parameters!$A$5:$A$23,0)),""),"")</f>
        <v>1</v>
      </c>
      <c r="V13" s="16" t="n">
        <f aca="false">IFERROR(IF(ISNUMBER(INDEX(Parameters!$B$5:$B$23,MATCH(J13,Parameters!$A$5:$A$23,0))),INDEX(Parameters!$B$5:$B$23,MATCH(J13,Parameters!$A$5:$A$23,0)),""),"")</f>
        <v>0</v>
      </c>
      <c r="W13" s="16" t="str">
        <f aca="false">IF(K13&lt;&gt;"",1,IF(COUNTIF(Parameters!$A$27:$A$28,J13)&gt;0,0,""))</f>
        <v/>
      </c>
      <c r="X13" s="17" t="n">
        <f aca="false">IF(J13="Not applicable",0,1)</f>
        <v>1</v>
      </c>
      <c r="Y13" s="17" t="n">
        <f aca="false">IF(OR(K13&lt;&gt;"",COUNTIF(Parameters!$A$27:$A$28,J13)&gt;0),1,0)</f>
        <v>0</v>
      </c>
      <c r="Z13"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13+(Parameters!$F$12=Parameters!$E$15)*Parameters!$I$12*Y13)=0,"",IF(AND(((Parameters!$F$5=Parameters!$E$15)*Parameters!$I$5*ISNUMBER(P13)+(Parameters!$F$6=Parameters!$E$15)*Parameters!$I$6*ISNUMBER(Q13)+(Parameters!$F$7=Parameters!$E$15)*Parameters!$I$7*ISNUMBER(R13)+(Parameters!$F$8=Parameters!$E$15)*Parameters!$I$8*ISNUMBER(S13)+(Parameters!$F$9=Parameters!$E$15)*Parameters!$I$9*ISNUMBER(T13)+(Parameters!$F$10=Parameters!$E$15)*Parameters!$I$10*ISNUMBER(U13)+(Parameters!$F$11=Parameters!$E$15)*Parameters!$I$11*ISNUMBER(V13)+(Parameters!$F$12=Parameters!$E$15)*Parameters!$I$12*ISNUMBER(W13))&gt;0,((Parameters!$F$5=Parameters!$E$15)*Parameters!$I$5*ISNUMBER(P13)+(Parameters!$F$6=Parameters!$E$15)*Parameters!$I$6*ISNUMBER(Q13)+(Parameters!$F$7=Parameters!$E$15)*Parameters!$I$7*ISNUMBER(R13)+(Parameters!$F$8=Parameters!$E$15)*Parameters!$I$8*ISNUMBER(S13)+(Parameters!$F$9=Parameters!$E$15)*Parameters!$I$9*ISNUMBER(T13)+(Parameters!$F$10=Parameters!$E$15)*Parameters!$I$10*ISNUMBER(U13)+(Parameters!$F$11=Parameters!$E$15)*Parameters!$I$11*ISNUMBER(V13)+(Parameters!$F$12=Parameters!$E$15)*Parameters!$I$12*ISNUMBER(W13))/((Parameters!$F$5=Parameters!$E$15)*Parameters!$I$5*1+(Parameters!$F$6=Parameters!$E$15)*Parameters!$I$6*1+(Parameters!$F$7=Parameters!$E$15)*Parameters!$I$7*1+(Parameters!$F$8=Parameters!$E$15)*Parameters!$I$8*1+(Parameters!$F$9=Parameters!$E$15)*Parameters!$I$9*1+(Parameters!$F$10=Parameters!$E$15)*Parameters!$I$10*1+(Parameters!$F$11=Parameters!$E$15)*Parameters!$I$11*X13+(Parameters!$F$12=Parameters!$E$15)*Parameters!$I$12*Y13)&gt;=Parameters!$B$36),((Parameters!$F$5=Parameters!$E$15)*Parameters!$I$5*N(P13)+(Parameters!$F$6=Parameters!$E$15)*Parameters!$I$6*N(Q13)+(Parameters!$F$7=Parameters!$E$15)*Parameters!$I$7*N(R13)+(Parameters!$F$8=Parameters!$E$15)*Parameters!$I$8*N(S13)+(Parameters!$F$9=Parameters!$E$15)*Parameters!$I$9*N(T13)+(Parameters!$F$10=Parameters!$E$15)*Parameters!$I$10*N(U13)+(Parameters!$F$11=Parameters!$E$15)*Parameters!$I$11*N(V13)+(Parameters!$F$12=Parameters!$E$15)*Parameters!$I$12*N(W13))/((Parameters!$F$5=Parameters!$E$15)*Parameters!$I$5*ISNUMBER(P13)+(Parameters!$F$6=Parameters!$E$15)*Parameters!$I$6*ISNUMBER(Q13)+(Parameters!$F$7=Parameters!$E$15)*Parameters!$I$7*ISNUMBER(R13)+(Parameters!$F$8=Parameters!$E$15)*Parameters!$I$8*ISNUMBER(S13)+(Parameters!$F$9=Parameters!$E$15)*Parameters!$I$9*ISNUMBER(T13)+(Parameters!$F$10=Parameters!$E$15)*Parameters!$I$10*ISNUMBER(U13)+(Parameters!$F$11=Parameters!$E$15)*Parameters!$I$11*ISNUMBER(V13)+(Parameters!$F$12=Parameters!$E$15)*Parameters!$I$12*ISNUMBER(W13)),""))</f>
        <v>0.986666666666667</v>
      </c>
      <c r="AA13"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13+(Parameters!$F$12=Parameters!$E$16)*Parameters!$I$12*Y13)=0,"",IF(AND(((Parameters!$F$5=Parameters!$E$16)*Parameters!$I$5*ISNUMBER(P13)+(Parameters!$F$6=Parameters!$E$16)*Parameters!$I$6*ISNUMBER(Q13)+(Parameters!$F$7=Parameters!$E$16)*Parameters!$I$7*ISNUMBER(R13)+(Parameters!$F$8=Parameters!$E$16)*Parameters!$I$8*ISNUMBER(S13)+(Parameters!$F$9=Parameters!$E$16)*Parameters!$I$9*ISNUMBER(T13)+(Parameters!$F$10=Parameters!$E$16)*Parameters!$I$10*ISNUMBER(U13)+(Parameters!$F$11=Parameters!$E$16)*Parameters!$I$11*ISNUMBER(V13)+(Parameters!$F$12=Parameters!$E$16)*Parameters!$I$12*ISNUMBER(W13))&gt;0,((Parameters!$F$5=Parameters!$E$16)*Parameters!$I$5*ISNUMBER(P13)+(Parameters!$F$6=Parameters!$E$16)*Parameters!$I$6*ISNUMBER(Q13)+(Parameters!$F$7=Parameters!$E$16)*Parameters!$I$7*ISNUMBER(R13)+(Parameters!$F$8=Parameters!$E$16)*Parameters!$I$8*ISNUMBER(S13)+(Parameters!$F$9=Parameters!$E$16)*Parameters!$I$9*ISNUMBER(T13)+(Parameters!$F$10=Parameters!$E$16)*Parameters!$I$10*ISNUMBER(U13)+(Parameters!$F$11=Parameters!$E$16)*Parameters!$I$11*ISNUMBER(V13)+(Parameters!$F$12=Parameters!$E$16)*Parameters!$I$12*ISNUMBER(W13))/((Parameters!$F$5=Parameters!$E$16)*Parameters!$I$5*1+(Parameters!$F$6=Parameters!$E$16)*Parameters!$I$6*1+(Parameters!$F$7=Parameters!$E$16)*Parameters!$I$7*1+(Parameters!$F$8=Parameters!$E$16)*Parameters!$I$8*1+(Parameters!$F$9=Parameters!$E$16)*Parameters!$I$9*1+(Parameters!$F$10=Parameters!$E$16)*Parameters!$I$10*1+(Parameters!$F$11=Parameters!$E$16)*Parameters!$I$11*X13+(Parameters!$F$12=Parameters!$E$16)*Parameters!$I$12*Y13)&gt;=Parameters!$B$36),((Parameters!$F$5=Parameters!$E$16)*Parameters!$I$5*N(P13)+(Parameters!$F$6=Parameters!$E$16)*Parameters!$I$6*N(Q13)+(Parameters!$F$7=Parameters!$E$16)*Parameters!$I$7*N(R13)+(Parameters!$F$8=Parameters!$E$16)*Parameters!$I$8*N(S13)+(Parameters!$F$9=Parameters!$E$16)*Parameters!$I$9*N(T13)+(Parameters!$F$10=Parameters!$E$16)*Parameters!$I$10*N(U13)+(Parameters!$F$11=Parameters!$E$16)*Parameters!$I$11*N(V13)+(Parameters!$F$12=Parameters!$E$16)*Parameters!$I$12*N(W13))/((Parameters!$F$5=Parameters!$E$16)*Parameters!$I$5*ISNUMBER(P13)+(Parameters!$F$6=Parameters!$E$16)*Parameters!$I$6*ISNUMBER(Q13)+(Parameters!$F$7=Parameters!$E$16)*Parameters!$I$7*ISNUMBER(R13)+(Parameters!$F$8=Parameters!$E$16)*Parameters!$I$8*ISNUMBER(S13)+(Parameters!$F$9=Parameters!$E$16)*Parameters!$I$9*ISNUMBER(T13)+(Parameters!$F$10=Parameters!$E$16)*Parameters!$I$10*ISNUMBER(U13)+(Parameters!$F$11=Parameters!$E$16)*Parameters!$I$11*ISNUMBER(V13)+(Parameters!$F$12=Parameters!$E$16)*Parameters!$I$12*ISNUMBER(W13)),""))</f>
        <v>0.8</v>
      </c>
      <c r="AB13"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13+(Parameters!$F$12=Parameters!$E$17)*Parameters!$I$12*Y13)=0,"",IF(AND(((Parameters!$F$5=Parameters!$E$17)*Parameters!$I$5*ISNUMBER(P13)+(Parameters!$F$6=Parameters!$E$17)*Parameters!$I$6*ISNUMBER(Q13)+(Parameters!$F$7=Parameters!$E$17)*Parameters!$I$7*ISNUMBER(R13)+(Parameters!$F$8=Parameters!$E$17)*Parameters!$I$8*ISNUMBER(S13)+(Parameters!$F$9=Parameters!$E$17)*Parameters!$I$9*ISNUMBER(T13)+(Parameters!$F$10=Parameters!$E$17)*Parameters!$I$10*ISNUMBER(U13)+(Parameters!$F$11=Parameters!$E$17)*Parameters!$I$11*ISNUMBER(V13)+(Parameters!$F$12=Parameters!$E$17)*Parameters!$I$12*ISNUMBER(W13))&gt;0,((Parameters!$F$5=Parameters!$E$17)*Parameters!$I$5*ISNUMBER(P13)+(Parameters!$F$6=Parameters!$E$17)*Parameters!$I$6*ISNUMBER(Q13)+(Parameters!$F$7=Parameters!$E$17)*Parameters!$I$7*ISNUMBER(R13)+(Parameters!$F$8=Parameters!$E$17)*Parameters!$I$8*ISNUMBER(S13)+(Parameters!$F$9=Parameters!$E$17)*Parameters!$I$9*ISNUMBER(T13)+(Parameters!$F$10=Parameters!$E$17)*Parameters!$I$10*ISNUMBER(U13)+(Parameters!$F$11=Parameters!$E$17)*Parameters!$I$11*ISNUMBER(V13)+(Parameters!$F$12=Parameters!$E$17)*Parameters!$I$12*ISNUMBER(W13))/((Parameters!$F$5=Parameters!$E$17)*Parameters!$I$5*1+(Parameters!$F$6=Parameters!$E$17)*Parameters!$I$6*1+(Parameters!$F$7=Parameters!$E$17)*Parameters!$I$7*1+(Parameters!$F$8=Parameters!$E$17)*Parameters!$I$8*1+(Parameters!$F$9=Parameters!$E$17)*Parameters!$I$9*1+(Parameters!$F$10=Parameters!$E$17)*Parameters!$I$10*1+(Parameters!$F$11=Parameters!$E$17)*Parameters!$I$11*X13+(Parameters!$F$12=Parameters!$E$17)*Parameters!$I$12*Y13)&gt;=Parameters!$B$36),((Parameters!$F$5=Parameters!$E$17)*Parameters!$I$5*N(P13)+(Parameters!$F$6=Parameters!$E$17)*Parameters!$I$6*N(Q13)+(Parameters!$F$7=Parameters!$E$17)*Parameters!$I$7*N(R13)+(Parameters!$F$8=Parameters!$E$17)*Parameters!$I$8*N(S13)+(Parameters!$F$9=Parameters!$E$17)*Parameters!$I$9*N(T13)+(Parameters!$F$10=Parameters!$E$17)*Parameters!$I$10*N(U13)+(Parameters!$F$11=Parameters!$E$17)*Parameters!$I$11*N(V13)+(Parameters!$F$12=Parameters!$E$17)*Parameters!$I$12*N(W13))/((Parameters!$F$5=Parameters!$E$17)*Parameters!$I$5*ISNUMBER(P13)+(Parameters!$F$6=Parameters!$E$17)*Parameters!$I$6*ISNUMBER(Q13)+(Parameters!$F$7=Parameters!$E$17)*Parameters!$I$7*ISNUMBER(R13)+(Parameters!$F$8=Parameters!$E$17)*Parameters!$I$8*ISNUMBER(S13)+(Parameters!$F$9=Parameters!$E$17)*Parameters!$I$9*ISNUMBER(T13)+(Parameters!$F$10=Parameters!$E$17)*Parameters!$I$10*ISNUMBER(U13)+(Parameters!$F$11=Parameters!$E$17)*Parameters!$I$11*ISNUMBER(V13)+(Parameters!$F$12=Parameters!$E$17)*Parameters!$I$12*ISNUMBER(W13)),""))</f>
        <v>0</v>
      </c>
      <c r="AC13" s="17" t="n">
        <f aca="false">Parameters!$I$5*ISNUMBER(P13)+Parameters!$I$6*ISNUMBER(Q13)+Parameters!$I$7*ISNUMBER(R13)+Parameters!$I$8*ISNUMBER(S13)+Parameters!$I$9*ISNUMBER(T13)+Parameters!$I$10*ISNUMBER(U13)+Parameters!$I$11*ISNUMBER(V13)+Parameters!$I$12*ISNUMBER(W13)</f>
        <v>85</v>
      </c>
      <c r="AD13" s="17" t="n">
        <f aca="false">Parameters!$I$5*1+Parameters!$I$6*1+Parameters!$I$7*1+Parameters!$I$8*1+Parameters!$I$9*1+Parameters!$I$10*1+Parameters!$I$11*X13+Parameters!$I$12*Y13</f>
        <v>85</v>
      </c>
      <c r="AE13" s="18" t="n">
        <f aca="false">IF(AD13=0,"",AC13/AD13)</f>
        <v>1</v>
      </c>
      <c r="AF13" s="17" t="str">
        <f aca="false">IF(ISNUMBER(Z13),"M","")&amp;IF(ISNUMBER(AA13),"I","")&amp;IF(ISNUMBER(AB13),"O","")</f>
        <v>MIO</v>
      </c>
      <c r="AG13" s="19" t="n">
        <f aca="false">IF(AND(ISNUMBER(AE13),ISNUMBER(Z13)+ISNUMBER(AA13)+ISNUMBER(AB13)&gt;=Parameters!$B$37),IF(AE13&gt;=Parameters!$B$35,100*(Parameters!$F$15*N(Z13)+Parameters!$F$16*N(AA13)+Parameters!$F$17*N(AB13))/(Parameters!$F$15*ISNUMBER(Z13)+Parameters!$F$16*ISNUMBER(AA13)+Parameters!$F$17*ISNUMBER(AB13)),""),"")</f>
        <v>73.3333333333333</v>
      </c>
      <c r="AH13" s="17" t="n">
        <f aca="false">IF(ISNUMBER(AG13),RANK(AG13,$AG$2:$AG$113),"")</f>
        <v>96</v>
      </c>
    </row>
    <row r="14" customFormat="false" ht="15" hidden="false" customHeight="false" outlineLevel="0" collapsed="false">
      <c r="A14" s="5" t="s">
        <v>186</v>
      </c>
      <c r="B14" s="5" t="s">
        <v>187</v>
      </c>
      <c r="C14" s="5" t="s">
        <v>188</v>
      </c>
      <c r="D14" s="5" t="s">
        <v>31</v>
      </c>
      <c r="E14" s="5" t="s">
        <v>44</v>
      </c>
      <c r="F14" s="5" t="s">
        <v>182</v>
      </c>
      <c r="G14" s="15" t="s">
        <v>189</v>
      </c>
      <c r="H14" s="8" t="n">
        <v>1</v>
      </c>
      <c r="I14" s="5" t="s">
        <v>57</v>
      </c>
      <c r="J14" s="5" t="s">
        <v>74</v>
      </c>
      <c r="K14" s="15"/>
      <c r="L14" s="5" t="s">
        <v>81</v>
      </c>
      <c r="M14" s="5" t="s">
        <v>136</v>
      </c>
      <c r="N14" s="5" t="s">
        <v>142</v>
      </c>
      <c r="O14" s="5"/>
      <c r="P14" s="16" t="n">
        <f aca="false">IFERROR(IF(ISNUMBER(INDEX(Parameters!$B$5:$B$23,MATCH(D14,Parameters!$A$5:$A$23,0))),INDEX(Parameters!$B$5:$B$23,MATCH(D14,Parameters!$A$5:$A$23,0)),""),"")</f>
        <v>1</v>
      </c>
      <c r="Q14" s="16" t="n">
        <f aca="false">IFERROR(IF(ISNUMBER(INDEX(Parameters!$B$5:$B$23,MATCH(E14,Parameters!$A$5:$A$23,0))),INDEX(Parameters!$B$5:$B$23,MATCH(E14,Parameters!$A$5:$A$23,0)),""),"")</f>
        <v>1</v>
      </c>
      <c r="R14" s="16" t="n">
        <f aca="false">IF(F14="","",IFERROR(MIN(Parameters!$B$33,MAX(0,Parameters!$B$32-VALUE(LEFT(F14,4))))/Parameters!$B$33,""))</f>
        <v>1</v>
      </c>
      <c r="S14" s="16" t="n">
        <f aca="false">IF(ISNUMBER(H14),H14,IF(G14="",IF(ISNUMBER(Parameters!$B$34),Parameters!$B$34,""),""))</f>
        <v>1</v>
      </c>
      <c r="T14" s="16" t="n">
        <f aca="false">IFERROR(IF(ISNUMBER(INDEX(Parameters!$B$5:$B$23,MATCH(I14,Parameters!$A$5:$A$23,0))),INDEX(Parameters!$B$5:$B$23,MATCH(I14,Parameters!$A$5:$A$23,0)),""),"")</f>
        <v>0</v>
      </c>
      <c r="U14" s="16" t="n">
        <f aca="false">IFERROR(IF(ISNUMBER(INDEX(Parameters!$B$5:$B$23,MATCH(L14,Parameters!$A$5:$A$23,0))),INDEX(Parameters!$B$5:$B$23,MATCH(L14,Parameters!$A$5:$A$23,0)),""),"")</f>
        <v>1</v>
      </c>
      <c r="V14" s="16" t="str">
        <f aca="false">IFERROR(IF(ISNUMBER(INDEX(Parameters!$B$5:$B$23,MATCH(J14,Parameters!$A$5:$A$23,0))),INDEX(Parameters!$B$5:$B$23,MATCH(J14,Parameters!$A$5:$A$23,0)),""),"")</f>
        <v/>
      </c>
      <c r="W14" s="16" t="str">
        <f aca="false">IF(K14&lt;&gt;"",1,IF(COUNTIF(Parameters!$A$27:$A$28,J14)&gt;0,0,""))</f>
        <v/>
      </c>
      <c r="X14" s="17" t="n">
        <f aca="false">IF(J14="Not applicable",0,1)</f>
        <v>0</v>
      </c>
      <c r="Y14" s="17" t="n">
        <f aca="false">IF(OR(K14&lt;&gt;"",COUNTIF(Parameters!$A$27:$A$28,J14)&gt;0),1,0)</f>
        <v>0</v>
      </c>
      <c r="Z14"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14+(Parameters!$F$12=Parameters!$E$15)*Parameters!$I$12*Y14)=0,"",IF(AND(((Parameters!$F$5=Parameters!$E$15)*Parameters!$I$5*ISNUMBER(P14)+(Parameters!$F$6=Parameters!$E$15)*Parameters!$I$6*ISNUMBER(Q14)+(Parameters!$F$7=Parameters!$E$15)*Parameters!$I$7*ISNUMBER(R14)+(Parameters!$F$8=Parameters!$E$15)*Parameters!$I$8*ISNUMBER(S14)+(Parameters!$F$9=Parameters!$E$15)*Parameters!$I$9*ISNUMBER(T14)+(Parameters!$F$10=Parameters!$E$15)*Parameters!$I$10*ISNUMBER(U14)+(Parameters!$F$11=Parameters!$E$15)*Parameters!$I$11*ISNUMBER(V14)+(Parameters!$F$12=Parameters!$E$15)*Parameters!$I$12*ISNUMBER(W14))&gt;0,((Parameters!$F$5=Parameters!$E$15)*Parameters!$I$5*ISNUMBER(P14)+(Parameters!$F$6=Parameters!$E$15)*Parameters!$I$6*ISNUMBER(Q14)+(Parameters!$F$7=Parameters!$E$15)*Parameters!$I$7*ISNUMBER(R14)+(Parameters!$F$8=Parameters!$E$15)*Parameters!$I$8*ISNUMBER(S14)+(Parameters!$F$9=Parameters!$E$15)*Parameters!$I$9*ISNUMBER(T14)+(Parameters!$F$10=Parameters!$E$15)*Parameters!$I$10*ISNUMBER(U14)+(Parameters!$F$11=Parameters!$E$15)*Parameters!$I$11*ISNUMBER(V14)+(Parameters!$F$12=Parameters!$E$15)*Parameters!$I$12*ISNUMBER(W14))/((Parameters!$F$5=Parameters!$E$15)*Parameters!$I$5*1+(Parameters!$F$6=Parameters!$E$15)*Parameters!$I$6*1+(Parameters!$F$7=Parameters!$E$15)*Parameters!$I$7*1+(Parameters!$F$8=Parameters!$E$15)*Parameters!$I$8*1+(Parameters!$F$9=Parameters!$E$15)*Parameters!$I$9*1+(Parameters!$F$10=Parameters!$E$15)*Parameters!$I$10*1+(Parameters!$F$11=Parameters!$E$15)*Parameters!$I$11*X14+(Parameters!$F$12=Parameters!$E$15)*Parameters!$I$12*Y14)&gt;=Parameters!$B$36),((Parameters!$F$5=Parameters!$E$15)*Parameters!$I$5*N(P14)+(Parameters!$F$6=Parameters!$E$15)*Parameters!$I$6*N(Q14)+(Parameters!$F$7=Parameters!$E$15)*Parameters!$I$7*N(R14)+(Parameters!$F$8=Parameters!$E$15)*Parameters!$I$8*N(S14)+(Parameters!$F$9=Parameters!$E$15)*Parameters!$I$9*N(T14)+(Parameters!$F$10=Parameters!$E$15)*Parameters!$I$10*N(U14)+(Parameters!$F$11=Parameters!$E$15)*Parameters!$I$11*N(V14)+(Parameters!$F$12=Parameters!$E$15)*Parameters!$I$12*N(W14))/((Parameters!$F$5=Parameters!$E$15)*Parameters!$I$5*ISNUMBER(P14)+(Parameters!$F$6=Parameters!$E$15)*Parameters!$I$6*ISNUMBER(Q14)+(Parameters!$F$7=Parameters!$E$15)*Parameters!$I$7*ISNUMBER(R14)+(Parameters!$F$8=Parameters!$E$15)*Parameters!$I$8*ISNUMBER(S14)+(Parameters!$F$9=Parameters!$E$15)*Parameters!$I$9*ISNUMBER(T14)+(Parameters!$F$10=Parameters!$E$15)*Parameters!$I$10*ISNUMBER(U14)+(Parameters!$F$11=Parameters!$E$15)*Parameters!$I$11*ISNUMBER(V14)+(Parameters!$F$12=Parameters!$E$15)*Parameters!$I$12*ISNUMBER(W14)),""))</f>
        <v>1</v>
      </c>
      <c r="AA14"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14+(Parameters!$F$12=Parameters!$E$16)*Parameters!$I$12*Y14)=0,"",IF(AND(((Parameters!$F$5=Parameters!$E$16)*Parameters!$I$5*ISNUMBER(P14)+(Parameters!$F$6=Parameters!$E$16)*Parameters!$I$6*ISNUMBER(Q14)+(Parameters!$F$7=Parameters!$E$16)*Parameters!$I$7*ISNUMBER(R14)+(Parameters!$F$8=Parameters!$E$16)*Parameters!$I$8*ISNUMBER(S14)+(Parameters!$F$9=Parameters!$E$16)*Parameters!$I$9*ISNUMBER(T14)+(Parameters!$F$10=Parameters!$E$16)*Parameters!$I$10*ISNUMBER(U14)+(Parameters!$F$11=Parameters!$E$16)*Parameters!$I$11*ISNUMBER(V14)+(Parameters!$F$12=Parameters!$E$16)*Parameters!$I$12*ISNUMBER(W14))&gt;0,((Parameters!$F$5=Parameters!$E$16)*Parameters!$I$5*ISNUMBER(P14)+(Parameters!$F$6=Parameters!$E$16)*Parameters!$I$6*ISNUMBER(Q14)+(Parameters!$F$7=Parameters!$E$16)*Parameters!$I$7*ISNUMBER(R14)+(Parameters!$F$8=Parameters!$E$16)*Parameters!$I$8*ISNUMBER(S14)+(Parameters!$F$9=Parameters!$E$16)*Parameters!$I$9*ISNUMBER(T14)+(Parameters!$F$10=Parameters!$E$16)*Parameters!$I$10*ISNUMBER(U14)+(Parameters!$F$11=Parameters!$E$16)*Parameters!$I$11*ISNUMBER(V14)+(Parameters!$F$12=Parameters!$E$16)*Parameters!$I$12*ISNUMBER(W14))/((Parameters!$F$5=Parameters!$E$16)*Parameters!$I$5*1+(Parameters!$F$6=Parameters!$E$16)*Parameters!$I$6*1+(Parameters!$F$7=Parameters!$E$16)*Parameters!$I$7*1+(Parameters!$F$8=Parameters!$E$16)*Parameters!$I$8*1+(Parameters!$F$9=Parameters!$E$16)*Parameters!$I$9*1+(Parameters!$F$10=Parameters!$E$16)*Parameters!$I$10*1+(Parameters!$F$11=Parameters!$E$16)*Parameters!$I$11*X14+(Parameters!$F$12=Parameters!$E$16)*Parameters!$I$12*Y14)&gt;=Parameters!$B$36),((Parameters!$F$5=Parameters!$E$16)*Parameters!$I$5*N(P14)+(Parameters!$F$6=Parameters!$E$16)*Parameters!$I$6*N(Q14)+(Parameters!$F$7=Parameters!$E$16)*Parameters!$I$7*N(R14)+(Parameters!$F$8=Parameters!$E$16)*Parameters!$I$8*N(S14)+(Parameters!$F$9=Parameters!$E$16)*Parameters!$I$9*N(T14)+(Parameters!$F$10=Parameters!$E$16)*Parameters!$I$10*N(U14)+(Parameters!$F$11=Parameters!$E$16)*Parameters!$I$11*N(V14)+(Parameters!$F$12=Parameters!$E$16)*Parameters!$I$12*N(W14))/((Parameters!$F$5=Parameters!$E$16)*Parameters!$I$5*ISNUMBER(P14)+(Parameters!$F$6=Parameters!$E$16)*Parameters!$I$6*ISNUMBER(Q14)+(Parameters!$F$7=Parameters!$E$16)*Parameters!$I$7*ISNUMBER(R14)+(Parameters!$F$8=Parameters!$E$16)*Parameters!$I$8*ISNUMBER(S14)+(Parameters!$F$9=Parameters!$E$16)*Parameters!$I$9*ISNUMBER(T14)+(Parameters!$F$10=Parameters!$E$16)*Parameters!$I$10*ISNUMBER(U14)+(Parameters!$F$11=Parameters!$E$16)*Parameters!$I$11*ISNUMBER(V14)+(Parameters!$F$12=Parameters!$E$16)*Parameters!$I$12*ISNUMBER(W14)),""))</f>
        <v>0.8</v>
      </c>
      <c r="AB14"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14+(Parameters!$F$12=Parameters!$E$17)*Parameters!$I$12*Y14)=0,"",IF(AND(((Parameters!$F$5=Parameters!$E$17)*Parameters!$I$5*ISNUMBER(P14)+(Parameters!$F$6=Parameters!$E$17)*Parameters!$I$6*ISNUMBER(Q14)+(Parameters!$F$7=Parameters!$E$17)*Parameters!$I$7*ISNUMBER(R14)+(Parameters!$F$8=Parameters!$E$17)*Parameters!$I$8*ISNUMBER(S14)+(Parameters!$F$9=Parameters!$E$17)*Parameters!$I$9*ISNUMBER(T14)+(Parameters!$F$10=Parameters!$E$17)*Parameters!$I$10*ISNUMBER(U14)+(Parameters!$F$11=Parameters!$E$17)*Parameters!$I$11*ISNUMBER(V14)+(Parameters!$F$12=Parameters!$E$17)*Parameters!$I$12*ISNUMBER(W14))&gt;0,((Parameters!$F$5=Parameters!$E$17)*Parameters!$I$5*ISNUMBER(P14)+(Parameters!$F$6=Parameters!$E$17)*Parameters!$I$6*ISNUMBER(Q14)+(Parameters!$F$7=Parameters!$E$17)*Parameters!$I$7*ISNUMBER(R14)+(Parameters!$F$8=Parameters!$E$17)*Parameters!$I$8*ISNUMBER(S14)+(Parameters!$F$9=Parameters!$E$17)*Parameters!$I$9*ISNUMBER(T14)+(Parameters!$F$10=Parameters!$E$17)*Parameters!$I$10*ISNUMBER(U14)+(Parameters!$F$11=Parameters!$E$17)*Parameters!$I$11*ISNUMBER(V14)+(Parameters!$F$12=Parameters!$E$17)*Parameters!$I$12*ISNUMBER(W14))/((Parameters!$F$5=Parameters!$E$17)*Parameters!$I$5*1+(Parameters!$F$6=Parameters!$E$17)*Parameters!$I$6*1+(Parameters!$F$7=Parameters!$E$17)*Parameters!$I$7*1+(Parameters!$F$8=Parameters!$E$17)*Parameters!$I$8*1+(Parameters!$F$9=Parameters!$E$17)*Parameters!$I$9*1+(Parameters!$F$10=Parameters!$E$17)*Parameters!$I$10*1+(Parameters!$F$11=Parameters!$E$17)*Parameters!$I$11*X14+(Parameters!$F$12=Parameters!$E$17)*Parameters!$I$12*Y14)&gt;=Parameters!$B$36),((Parameters!$F$5=Parameters!$E$17)*Parameters!$I$5*N(P14)+(Parameters!$F$6=Parameters!$E$17)*Parameters!$I$6*N(Q14)+(Parameters!$F$7=Parameters!$E$17)*Parameters!$I$7*N(R14)+(Parameters!$F$8=Parameters!$E$17)*Parameters!$I$8*N(S14)+(Parameters!$F$9=Parameters!$E$17)*Parameters!$I$9*N(T14)+(Parameters!$F$10=Parameters!$E$17)*Parameters!$I$10*N(U14)+(Parameters!$F$11=Parameters!$E$17)*Parameters!$I$11*N(V14)+(Parameters!$F$12=Parameters!$E$17)*Parameters!$I$12*N(W14))/((Parameters!$F$5=Parameters!$E$17)*Parameters!$I$5*ISNUMBER(P14)+(Parameters!$F$6=Parameters!$E$17)*Parameters!$I$6*ISNUMBER(Q14)+(Parameters!$F$7=Parameters!$E$17)*Parameters!$I$7*ISNUMBER(R14)+(Parameters!$F$8=Parameters!$E$17)*Parameters!$I$8*ISNUMBER(S14)+(Parameters!$F$9=Parameters!$E$17)*Parameters!$I$9*ISNUMBER(T14)+(Parameters!$F$10=Parameters!$E$17)*Parameters!$I$10*ISNUMBER(U14)+(Parameters!$F$11=Parameters!$E$17)*Parameters!$I$11*ISNUMBER(V14)+(Parameters!$F$12=Parameters!$E$17)*Parameters!$I$12*ISNUMBER(W14)),""))</f>
        <v/>
      </c>
      <c r="AC14" s="17" t="n">
        <f aca="false">Parameters!$I$5*ISNUMBER(P14)+Parameters!$I$6*ISNUMBER(Q14)+Parameters!$I$7*ISNUMBER(R14)+Parameters!$I$8*ISNUMBER(S14)+Parameters!$I$9*ISNUMBER(T14)+Parameters!$I$10*ISNUMBER(U14)+Parameters!$I$11*ISNUMBER(V14)+Parameters!$I$12*ISNUMBER(W14)</f>
        <v>75</v>
      </c>
      <c r="AD14" s="17" t="n">
        <f aca="false">Parameters!$I$5*1+Parameters!$I$6*1+Parameters!$I$7*1+Parameters!$I$8*1+Parameters!$I$9*1+Parameters!$I$10*1+Parameters!$I$11*X14+Parameters!$I$12*Y14</f>
        <v>75</v>
      </c>
      <c r="AE14" s="18" t="n">
        <f aca="false">IF(AD14=0,"",AC14/AD14)</f>
        <v>1</v>
      </c>
      <c r="AF14" s="17" t="str">
        <f aca="false">IF(ISNUMBER(Z14),"M","")&amp;IF(ISNUMBER(AA14),"I","")&amp;IF(ISNUMBER(AB14),"O","")</f>
        <v>MI</v>
      </c>
      <c r="AG14" s="19" t="n">
        <f aca="false">IF(AND(ISNUMBER(AE14),ISNUMBER(Z14)+ISNUMBER(AA14)+ISNUMBER(AB14)&gt;=Parameters!$B$37),IF(AE14&gt;=Parameters!$B$35,100*(Parameters!$F$15*N(Z14)+Parameters!$F$16*N(AA14)+Parameters!$F$17*N(AB14))/(Parameters!$F$15*ISNUMBER(Z14)+Parameters!$F$16*ISNUMBER(AA14)+Parameters!$F$17*ISNUMBER(AB14)),""),"")</f>
        <v>92.5</v>
      </c>
      <c r="AH14" s="17" t="n">
        <f aca="false">IF(ISNUMBER(AG14),RANK(AG14,$AG$2:$AG$113),"")</f>
        <v>14</v>
      </c>
    </row>
    <row r="15" customFormat="false" ht="15" hidden="false" customHeight="false" outlineLevel="0" collapsed="false">
      <c r="A15" s="5" t="s">
        <v>190</v>
      </c>
      <c r="B15" s="5" t="s">
        <v>191</v>
      </c>
      <c r="C15" s="5" t="s">
        <v>145</v>
      </c>
      <c r="D15" s="5" t="s">
        <v>31</v>
      </c>
      <c r="E15" s="5" t="s">
        <v>44</v>
      </c>
      <c r="F15" s="5" t="s">
        <v>151</v>
      </c>
      <c r="G15" s="15"/>
      <c r="H15" s="8"/>
      <c r="I15" s="5" t="s">
        <v>57</v>
      </c>
      <c r="J15" s="5" t="s">
        <v>74</v>
      </c>
      <c r="K15" s="15"/>
      <c r="L15" s="5" t="s">
        <v>81</v>
      </c>
      <c r="M15" s="5" t="s">
        <v>136</v>
      </c>
      <c r="N15" s="5"/>
      <c r="O15" s="5"/>
      <c r="P15" s="16" t="n">
        <f aca="false">IFERROR(IF(ISNUMBER(INDEX(Parameters!$B$5:$B$23,MATCH(D15,Parameters!$A$5:$A$23,0))),INDEX(Parameters!$B$5:$B$23,MATCH(D15,Parameters!$A$5:$A$23,0)),""),"")</f>
        <v>1</v>
      </c>
      <c r="Q15" s="16" t="n">
        <f aca="false">IFERROR(IF(ISNUMBER(INDEX(Parameters!$B$5:$B$23,MATCH(E15,Parameters!$A$5:$A$23,0))),INDEX(Parameters!$B$5:$B$23,MATCH(E15,Parameters!$A$5:$A$23,0)),""),"")</f>
        <v>1</v>
      </c>
      <c r="R15" s="16" t="n">
        <f aca="false">IF(F15="","",IFERROR(MIN(Parameters!$B$33,MAX(0,Parameters!$B$32-VALUE(LEFT(F15,4))))/Parameters!$B$33,""))</f>
        <v>0.866666666666667</v>
      </c>
      <c r="S15" s="16" t="str">
        <f aca="false">IF(ISNUMBER(H15),H15,IF(G15="",IF(ISNUMBER(Parameters!$B$34),Parameters!$B$34,""),""))</f>
        <v/>
      </c>
      <c r="T15" s="16" t="n">
        <f aca="false">IFERROR(IF(ISNUMBER(INDEX(Parameters!$B$5:$B$23,MATCH(I15,Parameters!$A$5:$A$23,0))),INDEX(Parameters!$B$5:$B$23,MATCH(I15,Parameters!$A$5:$A$23,0)),""),"")</f>
        <v>0</v>
      </c>
      <c r="U15" s="16" t="n">
        <f aca="false">IFERROR(IF(ISNUMBER(INDEX(Parameters!$B$5:$B$23,MATCH(L15,Parameters!$A$5:$A$23,0))),INDEX(Parameters!$B$5:$B$23,MATCH(L15,Parameters!$A$5:$A$23,0)),""),"")</f>
        <v>1</v>
      </c>
      <c r="V15" s="16" t="str">
        <f aca="false">IFERROR(IF(ISNUMBER(INDEX(Parameters!$B$5:$B$23,MATCH(J15,Parameters!$A$5:$A$23,0))),INDEX(Parameters!$B$5:$B$23,MATCH(J15,Parameters!$A$5:$A$23,0)),""),"")</f>
        <v/>
      </c>
      <c r="W15" s="16" t="str">
        <f aca="false">IF(K15&lt;&gt;"",1,IF(COUNTIF(Parameters!$A$27:$A$28,J15)&gt;0,0,""))</f>
        <v/>
      </c>
      <c r="X15" s="17" t="n">
        <f aca="false">IF(J15="Not applicable",0,1)</f>
        <v>0</v>
      </c>
      <c r="Y15" s="17" t="n">
        <f aca="false">IF(OR(K15&lt;&gt;"",COUNTIF(Parameters!$A$27:$A$28,J15)&gt;0),1,0)</f>
        <v>0</v>
      </c>
      <c r="Z15"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15+(Parameters!$F$12=Parameters!$E$15)*Parameters!$I$12*Y15)=0,"",IF(AND(((Parameters!$F$5=Parameters!$E$15)*Parameters!$I$5*ISNUMBER(P15)+(Parameters!$F$6=Parameters!$E$15)*Parameters!$I$6*ISNUMBER(Q15)+(Parameters!$F$7=Parameters!$E$15)*Parameters!$I$7*ISNUMBER(R15)+(Parameters!$F$8=Parameters!$E$15)*Parameters!$I$8*ISNUMBER(S15)+(Parameters!$F$9=Parameters!$E$15)*Parameters!$I$9*ISNUMBER(T15)+(Parameters!$F$10=Parameters!$E$15)*Parameters!$I$10*ISNUMBER(U15)+(Parameters!$F$11=Parameters!$E$15)*Parameters!$I$11*ISNUMBER(V15)+(Parameters!$F$12=Parameters!$E$15)*Parameters!$I$12*ISNUMBER(W15))&gt;0,((Parameters!$F$5=Parameters!$E$15)*Parameters!$I$5*ISNUMBER(P15)+(Parameters!$F$6=Parameters!$E$15)*Parameters!$I$6*ISNUMBER(Q15)+(Parameters!$F$7=Parameters!$E$15)*Parameters!$I$7*ISNUMBER(R15)+(Parameters!$F$8=Parameters!$E$15)*Parameters!$I$8*ISNUMBER(S15)+(Parameters!$F$9=Parameters!$E$15)*Parameters!$I$9*ISNUMBER(T15)+(Parameters!$F$10=Parameters!$E$15)*Parameters!$I$10*ISNUMBER(U15)+(Parameters!$F$11=Parameters!$E$15)*Parameters!$I$11*ISNUMBER(V15)+(Parameters!$F$12=Parameters!$E$15)*Parameters!$I$12*ISNUMBER(W15))/((Parameters!$F$5=Parameters!$E$15)*Parameters!$I$5*1+(Parameters!$F$6=Parameters!$E$15)*Parameters!$I$6*1+(Parameters!$F$7=Parameters!$E$15)*Parameters!$I$7*1+(Parameters!$F$8=Parameters!$E$15)*Parameters!$I$8*1+(Parameters!$F$9=Parameters!$E$15)*Parameters!$I$9*1+(Parameters!$F$10=Parameters!$E$15)*Parameters!$I$10*1+(Parameters!$F$11=Parameters!$E$15)*Parameters!$I$11*X15+(Parameters!$F$12=Parameters!$E$15)*Parameters!$I$12*Y15)&gt;=Parameters!$B$36),((Parameters!$F$5=Parameters!$E$15)*Parameters!$I$5*N(P15)+(Parameters!$F$6=Parameters!$E$15)*Parameters!$I$6*N(Q15)+(Parameters!$F$7=Parameters!$E$15)*Parameters!$I$7*N(R15)+(Parameters!$F$8=Parameters!$E$15)*Parameters!$I$8*N(S15)+(Parameters!$F$9=Parameters!$E$15)*Parameters!$I$9*N(T15)+(Parameters!$F$10=Parameters!$E$15)*Parameters!$I$10*N(U15)+(Parameters!$F$11=Parameters!$E$15)*Parameters!$I$11*N(V15)+(Parameters!$F$12=Parameters!$E$15)*Parameters!$I$12*N(W15))/((Parameters!$F$5=Parameters!$E$15)*Parameters!$I$5*ISNUMBER(P15)+(Parameters!$F$6=Parameters!$E$15)*Parameters!$I$6*ISNUMBER(Q15)+(Parameters!$F$7=Parameters!$E$15)*Parameters!$I$7*ISNUMBER(R15)+(Parameters!$F$8=Parameters!$E$15)*Parameters!$I$8*ISNUMBER(S15)+(Parameters!$F$9=Parameters!$E$15)*Parameters!$I$9*ISNUMBER(T15)+(Parameters!$F$10=Parameters!$E$15)*Parameters!$I$10*ISNUMBER(U15)+(Parameters!$F$11=Parameters!$E$15)*Parameters!$I$11*ISNUMBER(V15)+(Parameters!$F$12=Parameters!$E$15)*Parameters!$I$12*ISNUMBER(W15)),""))</f>
        <v>0.986666666666667</v>
      </c>
      <c r="AA15"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15+(Parameters!$F$12=Parameters!$E$16)*Parameters!$I$12*Y15)=0,"",IF(AND(((Parameters!$F$5=Parameters!$E$16)*Parameters!$I$5*ISNUMBER(P15)+(Parameters!$F$6=Parameters!$E$16)*Parameters!$I$6*ISNUMBER(Q15)+(Parameters!$F$7=Parameters!$E$16)*Parameters!$I$7*ISNUMBER(R15)+(Parameters!$F$8=Parameters!$E$16)*Parameters!$I$8*ISNUMBER(S15)+(Parameters!$F$9=Parameters!$E$16)*Parameters!$I$9*ISNUMBER(T15)+(Parameters!$F$10=Parameters!$E$16)*Parameters!$I$10*ISNUMBER(U15)+(Parameters!$F$11=Parameters!$E$16)*Parameters!$I$11*ISNUMBER(V15)+(Parameters!$F$12=Parameters!$E$16)*Parameters!$I$12*ISNUMBER(W15))&gt;0,((Parameters!$F$5=Parameters!$E$16)*Parameters!$I$5*ISNUMBER(P15)+(Parameters!$F$6=Parameters!$E$16)*Parameters!$I$6*ISNUMBER(Q15)+(Parameters!$F$7=Parameters!$E$16)*Parameters!$I$7*ISNUMBER(R15)+(Parameters!$F$8=Parameters!$E$16)*Parameters!$I$8*ISNUMBER(S15)+(Parameters!$F$9=Parameters!$E$16)*Parameters!$I$9*ISNUMBER(T15)+(Parameters!$F$10=Parameters!$E$16)*Parameters!$I$10*ISNUMBER(U15)+(Parameters!$F$11=Parameters!$E$16)*Parameters!$I$11*ISNUMBER(V15)+(Parameters!$F$12=Parameters!$E$16)*Parameters!$I$12*ISNUMBER(W15))/((Parameters!$F$5=Parameters!$E$16)*Parameters!$I$5*1+(Parameters!$F$6=Parameters!$E$16)*Parameters!$I$6*1+(Parameters!$F$7=Parameters!$E$16)*Parameters!$I$7*1+(Parameters!$F$8=Parameters!$E$16)*Parameters!$I$8*1+(Parameters!$F$9=Parameters!$E$16)*Parameters!$I$9*1+(Parameters!$F$10=Parameters!$E$16)*Parameters!$I$10*1+(Parameters!$F$11=Parameters!$E$16)*Parameters!$I$11*X15+(Parameters!$F$12=Parameters!$E$16)*Parameters!$I$12*Y15)&gt;=Parameters!$B$36),((Parameters!$F$5=Parameters!$E$16)*Parameters!$I$5*N(P15)+(Parameters!$F$6=Parameters!$E$16)*Parameters!$I$6*N(Q15)+(Parameters!$F$7=Parameters!$E$16)*Parameters!$I$7*N(R15)+(Parameters!$F$8=Parameters!$E$16)*Parameters!$I$8*N(S15)+(Parameters!$F$9=Parameters!$E$16)*Parameters!$I$9*N(T15)+(Parameters!$F$10=Parameters!$E$16)*Parameters!$I$10*N(U15)+(Parameters!$F$11=Parameters!$E$16)*Parameters!$I$11*N(V15)+(Parameters!$F$12=Parameters!$E$16)*Parameters!$I$12*N(W15))/((Parameters!$F$5=Parameters!$E$16)*Parameters!$I$5*ISNUMBER(P15)+(Parameters!$F$6=Parameters!$E$16)*Parameters!$I$6*ISNUMBER(Q15)+(Parameters!$F$7=Parameters!$E$16)*Parameters!$I$7*ISNUMBER(R15)+(Parameters!$F$8=Parameters!$E$16)*Parameters!$I$8*ISNUMBER(S15)+(Parameters!$F$9=Parameters!$E$16)*Parameters!$I$9*ISNUMBER(T15)+(Parameters!$F$10=Parameters!$E$16)*Parameters!$I$10*ISNUMBER(U15)+(Parameters!$F$11=Parameters!$E$16)*Parameters!$I$11*ISNUMBER(V15)+(Parameters!$F$12=Parameters!$E$16)*Parameters!$I$12*ISNUMBER(W15)),""))</f>
        <v>0.666666666666667</v>
      </c>
      <c r="AB15"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15+(Parameters!$F$12=Parameters!$E$17)*Parameters!$I$12*Y15)=0,"",IF(AND(((Parameters!$F$5=Parameters!$E$17)*Parameters!$I$5*ISNUMBER(P15)+(Parameters!$F$6=Parameters!$E$17)*Parameters!$I$6*ISNUMBER(Q15)+(Parameters!$F$7=Parameters!$E$17)*Parameters!$I$7*ISNUMBER(R15)+(Parameters!$F$8=Parameters!$E$17)*Parameters!$I$8*ISNUMBER(S15)+(Parameters!$F$9=Parameters!$E$17)*Parameters!$I$9*ISNUMBER(T15)+(Parameters!$F$10=Parameters!$E$17)*Parameters!$I$10*ISNUMBER(U15)+(Parameters!$F$11=Parameters!$E$17)*Parameters!$I$11*ISNUMBER(V15)+(Parameters!$F$12=Parameters!$E$17)*Parameters!$I$12*ISNUMBER(W15))&gt;0,((Parameters!$F$5=Parameters!$E$17)*Parameters!$I$5*ISNUMBER(P15)+(Parameters!$F$6=Parameters!$E$17)*Parameters!$I$6*ISNUMBER(Q15)+(Parameters!$F$7=Parameters!$E$17)*Parameters!$I$7*ISNUMBER(R15)+(Parameters!$F$8=Parameters!$E$17)*Parameters!$I$8*ISNUMBER(S15)+(Parameters!$F$9=Parameters!$E$17)*Parameters!$I$9*ISNUMBER(T15)+(Parameters!$F$10=Parameters!$E$17)*Parameters!$I$10*ISNUMBER(U15)+(Parameters!$F$11=Parameters!$E$17)*Parameters!$I$11*ISNUMBER(V15)+(Parameters!$F$12=Parameters!$E$17)*Parameters!$I$12*ISNUMBER(W15))/((Parameters!$F$5=Parameters!$E$17)*Parameters!$I$5*1+(Parameters!$F$6=Parameters!$E$17)*Parameters!$I$6*1+(Parameters!$F$7=Parameters!$E$17)*Parameters!$I$7*1+(Parameters!$F$8=Parameters!$E$17)*Parameters!$I$8*1+(Parameters!$F$9=Parameters!$E$17)*Parameters!$I$9*1+(Parameters!$F$10=Parameters!$E$17)*Parameters!$I$10*1+(Parameters!$F$11=Parameters!$E$17)*Parameters!$I$11*X15+(Parameters!$F$12=Parameters!$E$17)*Parameters!$I$12*Y15)&gt;=Parameters!$B$36),((Parameters!$F$5=Parameters!$E$17)*Parameters!$I$5*N(P15)+(Parameters!$F$6=Parameters!$E$17)*Parameters!$I$6*N(Q15)+(Parameters!$F$7=Parameters!$E$17)*Parameters!$I$7*N(R15)+(Parameters!$F$8=Parameters!$E$17)*Parameters!$I$8*N(S15)+(Parameters!$F$9=Parameters!$E$17)*Parameters!$I$9*N(T15)+(Parameters!$F$10=Parameters!$E$17)*Parameters!$I$10*N(U15)+(Parameters!$F$11=Parameters!$E$17)*Parameters!$I$11*N(V15)+(Parameters!$F$12=Parameters!$E$17)*Parameters!$I$12*N(W15))/((Parameters!$F$5=Parameters!$E$17)*Parameters!$I$5*ISNUMBER(P15)+(Parameters!$F$6=Parameters!$E$17)*Parameters!$I$6*ISNUMBER(Q15)+(Parameters!$F$7=Parameters!$E$17)*Parameters!$I$7*ISNUMBER(R15)+(Parameters!$F$8=Parameters!$E$17)*Parameters!$I$8*ISNUMBER(S15)+(Parameters!$F$9=Parameters!$E$17)*Parameters!$I$9*ISNUMBER(T15)+(Parameters!$F$10=Parameters!$E$17)*Parameters!$I$10*ISNUMBER(U15)+(Parameters!$F$11=Parameters!$E$17)*Parameters!$I$11*ISNUMBER(V15)+(Parameters!$F$12=Parameters!$E$17)*Parameters!$I$12*ISNUMBER(W15)),""))</f>
        <v/>
      </c>
      <c r="AC15" s="17" t="n">
        <f aca="false">Parameters!$I$5*ISNUMBER(P15)+Parameters!$I$6*ISNUMBER(Q15)+Parameters!$I$7*ISNUMBER(R15)+Parameters!$I$8*ISNUMBER(S15)+Parameters!$I$9*ISNUMBER(T15)+Parameters!$I$10*ISNUMBER(U15)+Parameters!$I$11*ISNUMBER(V15)+Parameters!$I$12*ISNUMBER(W15)</f>
        <v>65</v>
      </c>
      <c r="AD15" s="17" t="n">
        <f aca="false">Parameters!$I$5*1+Parameters!$I$6*1+Parameters!$I$7*1+Parameters!$I$8*1+Parameters!$I$9*1+Parameters!$I$10*1+Parameters!$I$11*X15+Parameters!$I$12*Y15</f>
        <v>75</v>
      </c>
      <c r="AE15" s="18" t="n">
        <f aca="false">IF(AD15=0,"",AC15/AD15)</f>
        <v>0.866666666666667</v>
      </c>
      <c r="AF15" s="17" t="str">
        <f aca="false">IF(ISNUMBER(Z15),"M","")&amp;IF(ISNUMBER(AA15),"I","")&amp;IF(ISNUMBER(AB15),"O","")</f>
        <v>MI</v>
      </c>
      <c r="AG15" s="19" t="n">
        <f aca="false">IF(AND(ISNUMBER(AE15),ISNUMBER(Z15)+ISNUMBER(AA15)+ISNUMBER(AB15)&gt;=Parameters!$B$37),IF(AE15&gt;=Parameters!$B$35,100*(Parameters!$F$15*N(Z15)+Parameters!$F$16*N(AA15)+Parameters!$F$17*N(AB15))/(Parameters!$F$15*ISNUMBER(Z15)+Parameters!$F$16*ISNUMBER(AA15)+Parameters!$F$17*ISNUMBER(AB15)),""),"")</f>
        <v>86.6666666666667</v>
      </c>
      <c r="AH15" s="17" t="n">
        <f aca="false">IF(ISNUMBER(AG15),RANK(AG15,$AG$2:$AG$113),"")</f>
        <v>52</v>
      </c>
    </row>
    <row r="16" customFormat="false" ht="15" hidden="false" customHeight="false" outlineLevel="0" collapsed="false">
      <c r="A16" s="5" t="s">
        <v>192</v>
      </c>
      <c r="B16" s="5" t="s">
        <v>193</v>
      </c>
      <c r="C16" s="5" t="s">
        <v>194</v>
      </c>
      <c r="D16" s="5" t="s">
        <v>31</v>
      </c>
      <c r="E16" s="5" t="s">
        <v>44</v>
      </c>
      <c r="F16" s="5" t="s">
        <v>195</v>
      </c>
      <c r="G16" s="15" t="s">
        <v>196</v>
      </c>
      <c r="H16" s="8" t="n">
        <v>1</v>
      </c>
      <c r="I16" s="5" t="s">
        <v>57</v>
      </c>
      <c r="J16" s="5" t="s">
        <v>62</v>
      </c>
      <c r="K16" s="15"/>
      <c r="L16" s="5" t="s">
        <v>81</v>
      </c>
      <c r="M16" s="5" t="s">
        <v>141</v>
      </c>
      <c r="N16" s="5" t="s">
        <v>197</v>
      </c>
      <c r="O16" s="5" t="s">
        <v>173</v>
      </c>
      <c r="P16" s="16" t="n">
        <f aca="false">IFERROR(IF(ISNUMBER(INDEX(Parameters!$B$5:$B$23,MATCH(D16,Parameters!$A$5:$A$23,0))),INDEX(Parameters!$B$5:$B$23,MATCH(D16,Parameters!$A$5:$A$23,0)),""),"")</f>
        <v>1</v>
      </c>
      <c r="Q16" s="16" t="n">
        <f aca="false">IFERROR(IF(ISNUMBER(INDEX(Parameters!$B$5:$B$23,MATCH(E16,Parameters!$A$5:$A$23,0))),INDEX(Parameters!$B$5:$B$23,MATCH(E16,Parameters!$A$5:$A$23,0)),""),"")</f>
        <v>1</v>
      </c>
      <c r="R16" s="16" t="n">
        <f aca="false">IF(F16="","",IFERROR(MIN(Parameters!$B$33,MAX(0,Parameters!$B$32-VALUE(LEFT(F16,4))))/Parameters!$B$33,""))</f>
        <v>0.933333333333333</v>
      </c>
      <c r="S16" s="16" t="n">
        <f aca="false">IF(ISNUMBER(H16),H16,IF(G16="",IF(ISNUMBER(Parameters!$B$34),Parameters!$B$34,""),""))</f>
        <v>1</v>
      </c>
      <c r="T16" s="16" t="n">
        <f aca="false">IFERROR(IF(ISNUMBER(INDEX(Parameters!$B$5:$B$23,MATCH(I16,Parameters!$A$5:$A$23,0))),INDEX(Parameters!$B$5:$B$23,MATCH(I16,Parameters!$A$5:$A$23,0)),""),"")</f>
        <v>0</v>
      </c>
      <c r="U16" s="16" t="n">
        <f aca="false">IFERROR(IF(ISNUMBER(INDEX(Parameters!$B$5:$B$23,MATCH(L16,Parameters!$A$5:$A$23,0))),INDEX(Parameters!$B$5:$B$23,MATCH(L16,Parameters!$A$5:$A$23,0)),""),"")</f>
        <v>1</v>
      </c>
      <c r="V16" s="16" t="n">
        <f aca="false">IFERROR(IF(ISNUMBER(INDEX(Parameters!$B$5:$B$23,MATCH(J16,Parameters!$A$5:$A$23,0))),INDEX(Parameters!$B$5:$B$23,MATCH(J16,Parameters!$A$5:$A$23,0)),""),"")</f>
        <v>0</v>
      </c>
      <c r="W16" s="16" t="str">
        <f aca="false">IF(K16&lt;&gt;"",1,IF(COUNTIF(Parameters!$A$27:$A$28,J16)&gt;0,0,""))</f>
        <v/>
      </c>
      <c r="X16" s="17" t="n">
        <f aca="false">IF(J16="Not applicable",0,1)</f>
        <v>1</v>
      </c>
      <c r="Y16" s="17" t="n">
        <f aca="false">IF(OR(K16&lt;&gt;"",COUNTIF(Parameters!$A$27:$A$28,J16)&gt;0),1,0)</f>
        <v>0</v>
      </c>
      <c r="Z16"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16+(Parameters!$F$12=Parameters!$E$15)*Parameters!$I$12*Y16)=0,"",IF(AND(((Parameters!$F$5=Parameters!$E$15)*Parameters!$I$5*ISNUMBER(P16)+(Parameters!$F$6=Parameters!$E$15)*Parameters!$I$6*ISNUMBER(Q16)+(Parameters!$F$7=Parameters!$E$15)*Parameters!$I$7*ISNUMBER(R16)+(Parameters!$F$8=Parameters!$E$15)*Parameters!$I$8*ISNUMBER(S16)+(Parameters!$F$9=Parameters!$E$15)*Parameters!$I$9*ISNUMBER(T16)+(Parameters!$F$10=Parameters!$E$15)*Parameters!$I$10*ISNUMBER(U16)+(Parameters!$F$11=Parameters!$E$15)*Parameters!$I$11*ISNUMBER(V16)+(Parameters!$F$12=Parameters!$E$15)*Parameters!$I$12*ISNUMBER(W16))&gt;0,((Parameters!$F$5=Parameters!$E$15)*Parameters!$I$5*ISNUMBER(P16)+(Parameters!$F$6=Parameters!$E$15)*Parameters!$I$6*ISNUMBER(Q16)+(Parameters!$F$7=Parameters!$E$15)*Parameters!$I$7*ISNUMBER(R16)+(Parameters!$F$8=Parameters!$E$15)*Parameters!$I$8*ISNUMBER(S16)+(Parameters!$F$9=Parameters!$E$15)*Parameters!$I$9*ISNUMBER(T16)+(Parameters!$F$10=Parameters!$E$15)*Parameters!$I$10*ISNUMBER(U16)+(Parameters!$F$11=Parameters!$E$15)*Parameters!$I$11*ISNUMBER(V16)+(Parameters!$F$12=Parameters!$E$15)*Parameters!$I$12*ISNUMBER(W16))/((Parameters!$F$5=Parameters!$E$15)*Parameters!$I$5*1+(Parameters!$F$6=Parameters!$E$15)*Parameters!$I$6*1+(Parameters!$F$7=Parameters!$E$15)*Parameters!$I$7*1+(Parameters!$F$8=Parameters!$E$15)*Parameters!$I$8*1+(Parameters!$F$9=Parameters!$E$15)*Parameters!$I$9*1+(Parameters!$F$10=Parameters!$E$15)*Parameters!$I$10*1+(Parameters!$F$11=Parameters!$E$15)*Parameters!$I$11*X16+(Parameters!$F$12=Parameters!$E$15)*Parameters!$I$12*Y16)&gt;=Parameters!$B$36),((Parameters!$F$5=Parameters!$E$15)*Parameters!$I$5*N(P16)+(Parameters!$F$6=Parameters!$E$15)*Parameters!$I$6*N(Q16)+(Parameters!$F$7=Parameters!$E$15)*Parameters!$I$7*N(R16)+(Parameters!$F$8=Parameters!$E$15)*Parameters!$I$8*N(S16)+(Parameters!$F$9=Parameters!$E$15)*Parameters!$I$9*N(T16)+(Parameters!$F$10=Parameters!$E$15)*Parameters!$I$10*N(U16)+(Parameters!$F$11=Parameters!$E$15)*Parameters!$I$11*N(V16)+(Parameters!$F$12=Parameters!$E$15)*Parameters!$I$12*N(W16))/((Parameters!$F$5=Parameters!$E$15)*Parameters!$I$5*ISNUMBER(P16)+(Parameters!$F$6=Parameters!$E$15)*Parameters!$I$6*ISNUMBER(Q16)+(Parameters!$F$7=Parameters!$E$15)*Parameters!$I$7*ISNUMBER(R16)+(Parameters!$F$8=Parameters!$E$15)*Parameters!$I$8*ISNUMBER(S16)+(Parameters!$F$9=Parameters!$E$15)*Parameters!$I$9*ISNUMBER(T16)+(Parameters!$F$10=Parameters!$E$15)*Parameters!$I$10*ISNUMBER(U16)+(Parameters!$F$11=Parameters!$E$15)*Parameters!$I$11*ISNUMBER(V16)+(Parameters!$F$12=Parameters!$E$15)*Parameters!$I$12*ISNUMBER(W16)),""))</f>
        <v>0.993333333333333</v>
      </c>
      <c r="AA16"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16+(Parameters!$F$12=Parameters!$E$16)*Parameters!$I$12*Y16)=0,"",IF(AND(((Parameters!$F$5=Parameters!$E$16)*Parameters!$I$5*ISNUMBER(P16)+(Parameters!$F$6=Parameters!$E$16)*Parameters!$I$6*ISNUMBER(Q16)+(Parameters!$F$7=Parameters!$E$16)*Parameters!$I$7*ISNUMBER(R16)+(Parameters!$F$8=Parameters!$E$16)*Parameters!$I$8*ISNUMBER(S16)+(Parameters!$F$9=Parameters!$E$16)*Parameters!$I$9*ISNUMBER(T16)+(Parameters!$F$10=Parameters!$E$16)*Parameters!$I$10*ISNUMBER(U16)+(Parameters!$F$11=Parameters!$E$16)*Parameters!$I$11*ISNUMBER(V16)+(Parameters!$F$12=Parameters!$E$16)*Parameters!$I$12*ISNUMBER(W16))&gt;0,((Parameters!$F$5=Parameters!$E$16)*Parameters!$I$5*ISNUMBER(P16)+(Parameters!$F$6=Parameters!$E$16)*Parameters!$I$6*ISNUMBER(Q16)+(Parameters!$F$7=Parameters!$E$16)*Parameters!$I$7*ISNUMBER(R16)+(Parameters!$F$8=Parameters!$E$16)*Parameters!$I$8*ISNUMBER(S16)+(Parameters!$F$9=Parameters!$E$16)*Parameters!$I$9*ISNUMBER(T16)+(Parameters!$F$10=Parameters!$E$16)*Parameters!$I$10*ISNUMBER(U16)+(Parameters!$F$11=Parameters!$E$16)*Parameters!$I$11*ISNUMBER(V16)+(Parameters!$F$12=Parameters!$E$16)*Parameters!$I$12*ISNUMBER(W16))/((Parameters!$F$5=Parameters!$E$16)*Parameters!$I$5*1+(Parameters!$F$6=Parameters!$E$16)*Parameters!$I$6*1+(Parameters!$F$7=Parameters!$E$16)*Parameters!$I$7*1+(Parameters!$F$8=Parameters!$E$16)*Parameters!$I$8*1+(Parameters!$F$9=Parameters!$E$16)*Parameters!$I$9*1+(Parameters!$F$10=Parameters!$E$16)*Parameters!$I$10*1+(Parameters!$F$11=Parameters!$E$16)*Parameters!$I$11*X16+(Parameters!$F$12=Parameters!$E$16)*Parameters!$I$12*Y16)&gt;=Parameters!$B$36),((Parameters!$F$5=Parameters!$E$16)*Parameters!$I$5*N(P16)+(Parameters!$F$6=Parameters!$E$16)*Parameters!$I$6*N(Q16)+(Parameters!$F$7=Parameters!$E$16)*Parameters!$I$7*N(R16)+(Parameters!$F$8=Parameters!$E$16)*Parameters!$I$8*N(S16)+(Parameters!$F$9=Parameters!$E$16)*Parameters!$I$9*N(T16)+(Parameters!$F$10=Parameters!$E$16)*Parameters!$I$10*N(U16)+(Parameters!$F$11=Parameters!$E$16)*Parameters!$I$11*N(V16)+(Parameters!$F$12=Parameters!$E$16)*Parameters!$I$12*N(W16))/((Parameters!$F$5=Parameters!$E$16)*Parameters!$I$5*ISNUMBER(P16)+(Parameters!$F$6=Parameters!$E$16)*Parameters!$I$6*ISNUMBER(Q16)+(Parameters!$F$7=Parameters!$E$16)*Parameters!$I$7*ISNUMBER(R16)+(Parameters!$F$8=Parameters!$E$16)*Parameters!$I$8*ISNUMBER(S16)+(Parameters!$F$9=Parameters!$E$16)*Parameters!$I$9*ISNUMBER(T16)+(Parameters!$F$10=Parameters!$E$16)*Parameters!$I$10*ISNUMBER(U16)+(Parameters!$F$11=Parameters!$E$16)*Parameters!$I$11*ISNUMBER(V16)+(Parameters!$F$12=Parameters!$E$16)*Parameters!$I$12*ISNUMBER(W16)),""))</f>
        <v>0.8</v>
      </c>
      <c r="AB16"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16+(Parameters!$F$12=Parameters!$E$17)*Parameters!$I$12*Y16)=0,"",IF(AND(((Parameters!$F$5=Parameters!$E$17)*Parameters!$I$5*ISNUMBER(P16)+(Parameters!$F$6=Parameters!$E$17)*Parameters!$I$6*ISNUMBER(Q16)+(Parameters!$F$7=Parameters!$E$17)*Parameters!$I$7*ISNUMBER(R16)+(Parameters!$F$8=Parameters!$E$17)*Parameters!$I$8*ISNUMBER(S16)+(Parameters!$F$9=Parameters!$E$17)*Parameters!$I$9*ISNUMBER(T16)+(Parameters!$F$10=Parameters!$E$17)*Parameters!$I$10*ISNUMBER(U16)+(Parameters!$F$11=Parameters!$E$17)*Parameters!$I$11*ISNUMBER(V16)+(Parameters!$F$12=Parameters!$E$17)*Parameters!$I$12*ISNUMBER(W16))&gt;0,((Parameters!$F$5=Parameters!$E$17)*Parameters!$I$5*ISNUMBER(P16)+(Parameters!$F$6=Parameters!$E$17)*Parameters!$I$6*ISNUMBER(Q16)+(Parameters!$F$7=Parameters!$E$17)*Parameters!$I$7*ISNUMBER(R16)+(Parameters!$F$8=Parameters!$E$17)*Parameters!$I$8*ISNUMBER(S16)+(Parameters!$F$9=Parameters!$E$17)*Parameters!$I$9*ISNUMBER(T16)+(Parameters!$F$10=Parameters!$E$17)*Parameters!$I$10*ISNUMBER(U16)+(Parameters!$F$11=Parameters!$E$17)*Parameters!$I$11*ISNUMBER(V16)+(Parameters!$F$12=Parameters!$E$17)*Parameters!$I$12*ISNUMBER(W16))/((Parameters!$F$5=Parameters!$E$17)*Parameters!$I$5*1+(Parameters!$F$6=Parameters!$E$17)*Parameters!$I$6*1+(Parameters!$F$7=Parameters!$E$17)*Parameters!$I$7*1+(Parameters!$F$8=Parameters!$E$17)*Parameters!$I$8*1+(Parameters!$F$9=Parameters!$E$17)*Parameters!$I$9*1+(Parameters!$F$10=Parameters!$E$17)*Parameters!$I$10*1+(Parameters!$F$11=Parameters!$E$17)*Parameters!$I$11*X16+(Parameters!$F$12=Parameters!$E$17)*Parameters!$I$12*Y16)&gt;=Parameters!$B$36),((Parameters!$F$5=Parameters!$E$17)*Parameters!$I$5*N(P16)+(Parameters!$F$6=Parameters!$E$17)*Parameters!$I$6*N(Q16)+(Parameters!$F$7=Parameters!$E$17)*Parameters!$I$7*N(R16)+(Parameters!$F$8=Parameters!$E$17)*Parameters!$I$8*N(S16)+(Parameters!$F$9=Parameters!$E$17)*Parameters!$I$9*N(T16)+(Parameters!$F$10=Parameters!$E$17)*Parameters!$I$10*N(U16)+(Parameters!$F$11=Parameters!$E$17)*Parameters!$I$11*N(V16)+(Parameters!$F$12=Parameters!$E$17)*Parameters!$I$12*N(W16))/((Parameters!$F$5=Parameters!$E$17)*Parameters!$I$5*ISNUMBER(P16)+(Parameters!$F$6=Parameters!$E$17)*Parameters!$I$6*ISNUMBER(Q16)+(Parameters!$F$7=Parameters!$E$17)*Parameters!$I$7*ISNUMBER(R16)+(Parameters!$F$8=Parameters!$E$17)*Parameters!$I$8*ISNUMBER(S16)+(Parameters!$F$9=Parameters!$E$17)*Parameters!$I$9*ISNUMBER(T16)+(Parameters!$F$10=Parameters!$E$17)*Parameters!$I$10*ISNUMBER(U16)+(Parameters!$F$11=Parameters!$E$17)*Parameters!$I$11*ISNUMBER(V16)+(Parameters!$F$12=Parameters!$E$17)*Parameters!$I$12*ISNUMBER(W16)),""))</f>
        <v>0</v>
      </c>
      <c r="AC16" s="17" t="n">
        <f aca="false">Parameters!$I$5*ISNUMBER(P16)+Parameters!$I$6*ISNUMBER(Q16)+Parameters!$I$7*ISNUMBER(R16)+Parameters!$I$8*ISNUMBER(S16)+Parameters!$I$9*ISNUMBER(T16)+Parameters!$I$10*ISNUMBER(U16)+Parameters!$I$11*ISNUMBER(V16)+Parameters!$I$12*ISNUMBER(W16)</f>
        <v>85</v>
      </c>
      <c r="AD16" s="17" t="n">
        <f aca="false">Parameters!$I$5*1+Parameters!$I$6*1+Parameters!$I$7*1+Parameters!$I$8*1+Parameters!$I$9*1+Parameters!$I$10*1+Parameters!$I$11*X16+Parameters!$I$12*Y16</f>
        <v>85</v>
      </c>
      <c r="AE16" s="18" t="n">
        <f aca="false">IF(AD16=0,"",AC16/AD16)</f>
        <v>1</v>
      </c>
      <c r="AF16" s="17" t="str">
        <f aca="false">IF(ISNUMBER(Z16),"M","")&amp;IF(ISNUMBER(AA16),"I","")&amp;IF(ISNUMBER(AB16),"O","")</f>
        <v>MIO</v>
      </c>
      <c r="AG16" s="19" t="n">
        <f aca="false">IF(AND(ISNUMBER(AE16),ISNUMBER(Z16)+ISNUMBER(AA16)+ISNUMBER(AB16)&gt;=Parameters!$B$37),IF(AE16&gt;=Parameters!$B$35,100*(Parameters!$F$15*N(Z16)+Parameters!$F$16*N(AA16)+Parameters!$F$17*N(AB16))/(Parameters!$F$15*ISNUMBER(Z16)+Parameters!$F$16*ISNUMBER(AA16)+Parameters!$F$17*ISNUMBER(AB16)),""),"")</f>
        <v>73.6666666666667</v>
      </c>
      <c r="AH16" s="17" t="n">
        <f aca="false">IF(ISNUMBER(AG16),RANK(AG16,$AG$2:$AG$113),"")</f>
        <v>95</v>
      </c>
    </row>
    <row r="17" customFormat="false" ht="15" hidden="false" customHeight="false" outlineLevel="0" collapsed="false">
      <c r="A17" s="5" t="s">
        <v>198</v>
      </c>
      <c r="B17" s="5" t="s">
        <v>198</v>
      </c>
      <c r="C17" s="5" t="s">
        <v>199</v>
      </c>
      <c r="D17" s="5" t="s">
        <v>31</v>
      </c>
      <c r="E17" s="5" t="s">
        <v>44</v>
      </c>
      <c r="F17" s="5" t="s">
        <v>200</v>
      </c>
      <c r="G17" s="15" t="s">
        <v>201</v>
      </c>
      <c r="H17" s="8"/>
      <c r="I17" s="5" t="s">
        <v>57</v>
      </c>
      <c r="J17" s="5" t="s">
        <v>66</v>
      </c>
      <c r="K17" s="15"/>
      <c r="L17" s="5" t="s">
        <v>79</v>
      </c>
      <c r="M17" s="5" t="s">
        <v>136</v>
      </c>
      <c r="N17" s="5" t="s">
        <v>173</v>
      </c>
      <c r="O17" s="5"/>
      <c r="P17" s="16" t="n">
        <f aca="false">IFERROR(IF(ISNUMBER(INDEX(Parameters!$B$5:$B$23,MATCH(D17,Parameters!$A$5:$A$23,0))),INDEX(Parameters!$B$5:$B$23,MATCH(D17,Parameters!$A$5:$A$23,0)),""),"")</f>
        <v>1</v>
      </c>
      <c r="Q17" s="16" t="n">
        <f aca="false">IFERROR(IF(ISNUMBER(INDEX(Parameters!$B$5:$B$23,MATCH(E17,Parameters!$A$5:$A$23,0))),INDEX(Parameters!$B$5:$B$23,MATCH(E17,Parameters!$A$5:$A$23,0)),""),"")</f>
        <v>1</v>
      </c>
      <c r="R17" s="16" t="n">
        <f aca="false">IF(F17="","",IFERROR(MIN(Parameters!$B$33,MAX(0,Parameters!$B$32-VALUE(LEFT(F17,4))))/Parameters!$B$33,""))</f>
        <v>1</v>
      </c>
      <c r="S17" s="16" t="str">
        <f aca="false">IF(ISNUMBER(H17),H17,IF(G17="",IF(ISNUMBER(Parameters!$B$34),Parameters!$B$34,""),""))</f>
        <v/>
      </c>
      <c r="T17" s="16" t="n">
        <f aca="false">IFERROR(IF(ISNUMBER(INDEX(Parameters!$B$5:$B$23,MATCH(I17,Parameters!$A$5:$A$23,0))),INDEX(Parameters!$B$5:$B$23,MATCH(I17,Parameters!$A$5:$A$23,0)),""),"")</f>
        <v>0</v>
      </c>
      <c r="U17" s="16" t="n">
        <f aca="false">IFERROR(IF(ISNUMBER(INDEX(Parameters!$B$5:$B$23,MATCH(L17,Parameters!$A$5:$A$23,0))),INDEX(Parameters!$B$5:$B$23,MATCH(L17,Parameters!$A$5:$A$23,0)),""),"")</f>
        <v>1</v>
      </c>
      <c r="V17" s="16" t="n">
        <f aca="false">IFERROR(IF(ISNUMBER(INDEX(Parameters!$B$5:$B$23,MATCH(J17,Parameters!$A$5:$A$23,0))),INDEX(Parameters!$B$5:$B$23,MATCH(J17,Parameters!$A$5:$A$23,0)),""),"")</f>
        <v>1</v>
      </c>
      <c r="W17" s="16" t="str">
        <f aca="false">IF(K17&lt;&gt;"",1,IF(COUNTIF(Parameters!$A$27:$A$28,J17)&gt;0,0,""))</f>
        <v/>
      </c>
      <c r="X17" s="17" t="n">
        <f aca="false">IF(J17="Not applicable",0,1)</f>
        <v>1</v>
      </c>
      <c r="Y17" s="17" t="n">
        <f aca="false">IF(OR(K17&lt;&gt;"",COUNTIF(Parameters!$A$27:$A$28,J17)&gt;0),1,0)</f>
        <v>0</v>
      </c>
      <c r="Z17"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17+(Parameters!$F$12=Parameters!$E$15)*Parameters!$I$12*Y17)=0,"",IF(AND(((Parameters!$F$5=Parameters!$E$15)*Parameters!$I$5*ISNUMBER(P17)+(Parameters!$F$6=Parameters!$E$15)*Parameters!$I$6*ISNUMBER(Q17)+(Parameters!$F$7=Parameters!$E$15)*Parameters!$I$7*ISNUMBER(R17)+(Parameters!$F$8=Parameters!$E$15)*Parameters!$I$8*ISNUMBER(S17)+(Parameters!$F$9=Parameters!$E$15)*Parameters!$I$9*ISNUMBER(T17)+(Parameters!$F$10=Parameters!$E$15)*Parameters!$I$10*ISNUMBER(U17)+(Parameters!$F$11=Parameters!$E$15)*Parameters!$I$11*ISNUMBER(V17)+(Parameters!$F$12=Parameters!$E$15)*Parameters!$I$12*ISNUMBER(W17))&gt;0,((Parameters!$F$5=Parameters!$E$15)*Parameters!$I$5*ISNUMBER(P17)+(Parameters!$F$6=Parameters!$E$15)*Parameters!$I$6*ISNUMBER(Q17)+(Parameters!$F$7=Parameters!$E$15)*Parameters!$I$7*ISNUMBER(R17)+(Parameters!$F$8=Parameters!$E$15)*Parameters!$I$8*ISNUMBER(S17)+(Parameters!$F$9=Parameters!$E$15)*Parameters!$I$9*ISNUMBER(T17)+(Parameters!$F$10=Parameters!$E$15)*Parameters!$I$10*ISNUMBER(U17)+(Parameters!$F$11=Parameters!$E$15)*Parameters!$I$11*ISNUMBER(V17)+(Parameters!$F$12=Parameters!$E$15)*Parameters!$I$12*ISNUMBER(W17))/((Parameters!$F$5=Parameters!$E$15)*Parameters!$I$5*1+(Parameters!$F$6=Parameters!$E$15)*Parameters!$I$6*1+(Parameters!$F$7=Parameters!$E$15)*Parameters!$I$7*1+(Parameters!$F$8=Parameters!$E$15)*Parameters!$I$8*1+(Parameters!$F$9=Parameters!$E$15)*Parameters!$I$9*1+(Parameters!$F$10=Parameters!$E$15)*Parameters!$I$10*1+(Parameters!$F$11=Parameters!$E$15)*Parameters!$I$11*X17+(Parameters!$F$12=Parameters!$E$15)*Parameters!$I$12*Y17)&gt;=Parameters!$B$36),((Parameters!$F$5=Parameters!$E$15)*Parameters!$I$5*N(P17)+(Parameters!$F$6=Parameters!$E$15)*Parameters!$I$6*N(Q17)+(Parameters!$F$7=Parameters!$E$15)*Parameters!$I$7*N(R17)+(Parameters!$F$8=Parameters!$E$15)*Parameters!$I$8*N(S17)+(Parameters!$F$9=Parameters!$E$15)*Parameters!$I$9*N(T17)+(Parameters!$F$10=Parameters!$E$15)*Parameters!$I$10*N(U17)+(Parameters!$F$11=Parameters!$E$15)*Parameters!$I$11*N(V17)+(Parameters!$F$12=Parameters!$E$15)*Parameters!$I$12*N(W17))/((Parameters!$F$5=Parameters!$E$15)*Parameters!$I$5*ISNUMBER(P17)+(Parameters!$F$6=Parameters!$E$15)*Parameters!$I$6*ISNUMBER(Q17)+(Parameters!$F$7=Parameters!$E$15)*Parameters!$I$7*ISNUMBER(R17)+(Parameters!$F$8=Parameters!$E$15)*Parameters!$I$8*ISNUMBER(S17)+(Parameters!$F$9=Parameters!$E$15)*Parameters!$I$9*ISNUMBER(T17)+(Parameters!$F$10=Parameters!$E$15)*Parameters!$I$10*ISNUMBER(U17)+(Parameters!$F$11=Parameters!$E$15)*Parameters!$I$11*ISNUMBER(V17)+(Parameters!$F$12=Parameters!$E$15)*Parameters!$I$12*ISNUMBER(W17)),""))</f>
        <v>1</v>
      </c>
      <c r="AA17"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17+(Parameters!$F$12=Parameters!$E$16)*Parameters!$I$12*Y17)=0,"",IF(AND(((Parameters!$F$5=Parameters!$E$16)*Parameters!$I$5*ISNUMBER(P17)+(Parameters!$F$6=Parameters!$E$16)*Parameters!$I$6*ISNUMBER(Q17)+(Parameters!$F$7=Parameters!$E$16)*Parameters!$I$7*ISNUMBER(R17)+(Parameters!$F$8=Parameters!$E$16)*Parameters!$I$8*ISNUMBER(S17)+(Parameters!$F$9=Parameters!$E$16)*Parameters!$I$9*ISNUMBER(T17)+(Parameters!$F$10=Parameters!$E$16)*Parameters!$I$10*ISNUMBER(U17)+(Parameters!$F$11=Parameters!$E$16)*Parameters!$I$11*ISNUMBER(V17)+(Parameters!$F$12=Parameters!$E$16)*Parameters!$I$12*ISNUMBER(W17))&gt;0,((Parameters!$F$5=Parameters!$E$16)*Parameters!$I$5*ISNUMBER(P17)+(Parameters!$F$6=Parameters!$E$16)*Parameters!$I$6*ISNUMBER(Q17)+(Parameters!$F$7=Parameters!$E$16)*Parameters!$I$7*ISNUMBER(R17)+(Parameters!$F$8=Parameters!$E$16)*Parameters!$I$8*ISNUMBER(S17)+(Parameters!$F$9=Parameters!$E$16)*Parameters!$I$9*ISNUMBER(T17)+(Parameters!$F$10=Parameters!$E$16)*Parameters!$I$10*ISNUMBER(U17)+(Parameters!$F$11=Parameters!$E$16)*Parameters!$I$11*ISNUMBER(V17)+(Parameters!$F$12=Parameters!$E$16)*Parameters!$I$12*ISNUMBER(W17))/((Parameters!$F$5=Parameters!$E$16)*Parameters!$I$5*1+(Parameters!$F$6=Parameters!$E$16)*Parameters!$I$6*1+(Parameters!$F$7=Parameters!$E$16)*Parameters!$I$7*1+(Parameters!$F$8=Parameters!$E$16)*Parameters!$I$8*1+(Parameters!$F$9=Parameters!$E$16)*Parameters!$I$9*1+(Parameters!$F$10=Parameters!$E$16)*Parameters!$I$10*1+(Parameters!$F$11=Parameters!$E$16)*Parameters!$I$11*X17+(Parameters!$F$12=Parameters!$E$16)*Parameters!$I$12*Y17)&gt;=Parameters!$B$36),((Parameters!$F$5=Parameters!$E$16)*Parameters!$I$5*N(P17)+(Parameters!$F$6=Parameters!$E$16)*Parameters!$I$6*N(Q17)+(Parameters!$F$7=Parameters!$E$16)*Parameters!$I$7*N(R17)+(Parameters!$F$8=Parameters!$E$16)*Parameters!$I$8*N(S17)+(Parameters!$F$9=Parameters!$E$16)*Parameters!$I$9*N(T17)+(Parameters!$F$10=Parameters!$E$16)*Parameters!$I$10*N(U17)+(Parameters!$F$11=Parameters!$E$16)*Parameters!$I$11*N(V17)+(Parameters!$F$12=Parameters!$E$16)*Parameters!$I$12*N(W17))/((Parameters!$F$5=Parameters!$E$16)*Parameters!$I$5*ISNUMBER(P17)+(Parameters!$F$6=Parameters!$E$16)*Parameters!$I$6*ISNUMBER(Q17)+(Parameters!$F$7=Parameters!$E$16)*Parameters!$I$7*ISNUMBER(R17)+(Parameters!$F$8=Parameters!$E$16)*Parameters!$I$8*ISNUMBER(S17)+(Parameters!$F$9=Parameters!$E$16)*Parameters!$I$9*ISNUMBER(T17)+(Parameters!$F$10=Parameters!$E$16)*Parameters!$I$10*ISNUMBER(U17)+(Parameters!$F$11=Parameters!$E$16)*Parameters!$I$11*ISNUMBER(V17)+(Parameters!$F$12=Parameters!$E$16)*Parameters!$I$12*ISNUMBER(W17)),""))</f>
        <v>0.666666666666667</v>
      </c>
      <c r="AB17"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17+(Parameters!$F$12=Parameters!$E$17)*Parameters!$I$12*Y17)=0,"",IF(AND(((Parameters!$F$5=Parameters!$E$17)*Parameters!$I$5*ISNUMBER(P17)+(Parameters!$F$6=Parameters!$E$17)*Parameters!$I$6*ISNUMBER(Q17)+(Parameters!$F$7=Parameters!$E$17)*Parameters!$I$7*ISNUMBER(R17)+(Parameters!$F$8=Parameters!$E$17)*Parameters!$I$8*ISNUMBER(S17)+(Parameters!$F$9=Parameters!$E$17)*Parameters!$I$9*ISNUMBER(T17)+(Parameters!$F$10=Parameters!$E$17)*Parameters!$I$10*ISNUMBER(U17)+(Parameters!$F$11=Parameters!$E$17)*Parameters!$I$11*ISNUMBER(V17)+(Parameters!$F$12=Parameters!$E$17)*Parameters!$I$12*ISNUMBER(W17))&gt;0,((Parameters!$F$5=Parameters!$E$17)*Parameters!$I$5*ISNUMBER(P17)+(Parameters!$F$6=Parameters!$E$17)*Parameters!$I$6*ISNUMBER(Q17)+(Parameters!$F$7=Parameters!$E$17)*Parameters!$I$7*ISNUMBER(R17)+(Parameters!$F$8=Parameters!$E$17)*Parameters!$I$8*ISNUMBER(S17)+(Parameters!$F$9=Parameters!$E$17)*Parameters!$I$9*ISNUMBER(T17)+(Parameters!$F$10=Parameters!$E$17)*Parameters!$I$10*ISNUMBER(U17)+(Parameters!$F$11=Parameters!$E$17)*Parameters!$I$11*ISNUMBER(V17)+(Parameters!$F$12=Parameters!$E$17)*Parameters!$I$12*ISNUMBER(W17))/((Parameters!$F$5=Parameters!$E$17)*Parameters!$I$5*1+(Parameters!$F$6=Parameters!$E$17)*Parameters!$I$6*1+(Parameters!$F$7=Parameters!$E$17)*Parameters!$I$7*1+(Parameters!$F$8=Parameters!$E$17)*Parameters!$I$8*1+(Parameters!$F$9=Parameters!$E$17)*Parameters!$I$9*1+(Parameters!$F$10=Parameters!$E$17)*Parameters!$I$10*1+(Parameters!$F$11=Parameters!$E$17)*Parameters!$I$11*X17+(Parameters!$F$12=Parameters!$E$17)*Parameters!$I$12*Y17)&gt;=Parameters!$B$36),((Parameters!$F$5=Parameters!$E$17)*Parameters!$I$5*N(P17)+(Parameters!$F$6=Parameters!$E$17)*Parameters!$I$6*N(Q17)+(Parameters!$F$7=Parameters!$E$17)*Parameters!$I$7*N(R17)+(Parameters!$F$8=Parameters!$E$17)*Parameters!$I$8*N(S17)+(Parameters!$F$9=Parameters!$E$17)*Parameters!$I$9*N(T17)+(Parameters!$F$10=Parameters!$E$17)*Parameters!$I$10*N(U17)+(Parameters!$F$11=Parameters!$E$17)*Parameters!$I$11*N(V17)+(Parameters!$F$12=Parameters!$E$17)*Parameters!$I$12*N(W17))/((Parameters!$F$5=Parameters!$E$17)*Parameters!$I$5*ISNUMBER(P17)+(Parameters!$F$6=Parameters!$E$17)*Parameters!$I$6*ISNUMBER(Q17)+(Parameters!$F$7=Parameters!$E$17)*Parameters!$I$7*ISNUMBER(R17)+(Parameters!$F$8=Parameters!$E$17)*Parameters!$I$8*ISNUMBER(S17)+(Parameters!$F$9=Parameters!$E$17)*Parameters!$I$9*ISNUMBER(T17)+(Parameters!$F$10=Parameters!$E$17)*Parameters!$I$10*ISNUMBER(U17)+(Parameters!$F$11=Parameters!$E$17)*Parameters!$I$11*ISNUMBER(V17)+(Parameters!$F$12=Parameters!$E$17)*Parameters!$I$12*ISNUMBER(W17)),""))</f>
        <v>1</v>
      </c>
      <c r="AC17" s="17" t="n">
        <f aca="false">Parameters!$I$5*ISNUMBER(P17)+Parameters!$I$6*ISNUMBER(Q17)+Parameters!$I$7*ISNUMBER(R17)+Parameters!$I$8*ISNUMBER(S17)+Parameters!$I$9*ISNUMBER(T17)+Parameters!$I$10*ISNUMBER(U17)+Parameters!$I$11*ISNUMBER(V17)+Parameters!$I$12*ISNUMBER(W17)</f>
        <v>75</v>
      </c>
      <c r="AD17" s="17" t="n">
        <f aca="false">Parameters!$I$5*1+Parameters!$I$6*1+Parameters!$I$7*1+Parameters!$I$8*1+Parameters!$I$9*1+Parameters!$I$10*1+Parameters!$I$11*X17+Parameters!$I$12*Y17</f>
        <v>85</v>
      </c>
      <c r="AE17" s="18" t="n">
        <f aca="false">IF(AD17=0,"",AC17/AD17)</f>
        <v>0.882352941176471</v>
      </c>
      <c r="AF17" s="17" t="str">
        <f aca="false">IF(ISNUMBER(Z17),"M","")&amp;IF(ISNUMBER(AA17),"I","")&amp;IF(ISNUMBER(AB17),"O","")</f>
        <v>MIO</v>
      </c>
      <c r="AG17" s="19" t="n">
        <f aca="false">IF(AND(ISNUMBER(AE17),ISNUMBER(Z17)+ISNUMBER(AA17)+ISNUMBER(AB17)&gt;=Parameters!$B$37),IF(AE17&gt;=Parameters!$B$35,100*(Parameters!$F$15*N(Z17)+Parameters!$F$16*N(AA17)+Parameters!$F$17*N(AB17))/(Parameters!$F$15*ISNUMBER(Z17)+Parameters!$F$16*ISNUMBER(AA17)+Parameters!$F$17*ISNUMBER(AB17)),""),"")</f>
        <v>90</v>
      </c>
      <c r="AH17" s="17" t="n">
        <f aca="false">IF(ISNUMBER(AG17),RANK(AG17,$AG$2:$AG$113),"")</f>
        <v>25</v>
      </c>
    </row>
    <row r="18" customFormat="false" ht="15" hidden="false" customHeight="false" outlineLevel="0" collapsed="false">
      <c r="A18" s="5" t="s">
        <v>202</v>
      </c>
      <c r="B18" s="5" t="s">
        <v>203</v>
      </c>
      <c r="C18" s="5" t="s">
        <v>204</v>
      </c>
      <c r="D18" s="5" t="s">
        <v>31</v>
      </c>
      <c r="E18" s="5" t="s">
        <v>44</v>
      </c>
      <c r="F18" s="5" t="s">
        <v>139</v>
      </c>
      <c r="G18" s="15"/>
      <c r="H18" s="8"/>
      <c r="I18" s="5" t="s">
        <v>57</v>
      </c>
      <c r="J18" s="5" t="s">
        <v>74</v>
      </c>
      <c r="K18" s="15"/>
      <c r="L18" s="5" t="s">
        <v>76</v>
      </c>
      <c r="M18" s="5" t="s">
        <v>157</v>
      </c>
      <c r="N18" s="5"/>
      <c r="O18" s="5"/>
      <c r="P18" s="16" t="n">
        <f aca="false">IFERROR(IF(ISNUMBER(INDEX(Parameters!$B$5:$B$23,MATCH(D18,Parameters!$A$5:$A$23,0))),INDEX(Parameters!$B$5:$B$23,MATCH(D18,Parameters!$A$5:$A$23,0)),""),"")</f>
        <v>1</v>
      </c>
      <c r="Q18" s="16" t="n">
        <f aca="false">IFERROR(IF(ISNUMBER(INDEX(Parameters!$B$5:$B$23,MATCH(E18,Parameters!$A$5:$A$23,0))),INDEX(Parameters!$B$5:$B$23,MATCH(E18,Parameters!$A$5:$A$23,0)),""),"")</f>
        <v>1</v>
      </c>
      <c r="R18" s="16" t="n">
        <f aca="false">IF(F18="","",IFERROR(MIN(Parameters!$B$33,MAX(0,Parameters!$B$32-VALUE(LEFT(F18,4))))/Parameters!$B$33,""))</f>
        <v>0.8</v>
      </c>
      <c r="S18" s="16" t="str">
        <f aca="false">IF(ISNUMBER(H18),H18,IF(G18="",IF(ISNUMBER(Parameters!$B$34),Parameters!$B$34,""),""))</f>
        <v/>
      </c>
      <c r="T18" s="16" t="n">
        <f aca="false">IFERROR(IF(ISNUMBER(INDEX(Parameters!$B$5:$B$23,MATCH(I18,Parameters!$A$5:$A$23,0))),INDEX(Parameters!$B$5:$B$23,MATCH(I18,Parameters!$A$5:$A$23,0)),""),"")</f>
        <v>0</v>
      </c>
      <c r="U18" s="16" t="n">
        <f aca="false">IFERROR(IF(ISNUMBER(INDEX(Parameters!$B$5:$B$23,MATCH(L18,Parameters!$A$5:$A$23,0))),INDEX(Parameters!$B$5:$B$23,MATCH(L18,Parameters!$A$5:$A$23,0)),""),"")</f>
        <v>1</v>
      </c>
      <c r="V18" s="16" t="str">
        <f aca="false">IFERROR(IF(ISNUMBER(INDEX(Parameters!$B$5:$B$23,MATCH(J18,Parameters!$A$5:$A$23,0))),INDEX(Parameters!$B$5:$B$23,MATCH(J18,Parameters!$A$5:$A$23,0)),""),"")</f>
        <v/>
      </c>
      <c r="W18" s="16" t="str">
        <f aca="false">IF(K18&lt;&gt;"",1,IF(COUNTIF(Parameters!$A$27:$A$28,J18)&gt;0,0,""))</f>
        <v/>
      </c>
      <c r="X18" s="17" t="n">
        <f aca="false">IF(J18="Not applicable",0,1)</f>
        <v>0</v>
      </c>
      <c r="Y18" s="17" t="n">
        <f aca="false">IF(OR(K18&lt;&gt;"",COUNTIF(Parameters!$A$27:$A$28,J18)&gt;0),1,0)</f>
        <v>0</v>
      </c>
      <c r="Z18"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18+(Parameters!$F$12=Parameters!$E$15)*Parameters!$I$12*Y18)=0,"",IF(AND(((Parameters!$F$5=Parameters!$E$15)*Parameters!$I$5*ISNUMBER(P18)+(Parameters!$F$6=Parameters!$E$15)*Parameters!$I$6*ISNUMBER(Q18)+(Parameters!$F$7=Parameters!$E$15)*Parameters!$I$7*ISNUMBER(R18)+(Parameters!$F$8=Parameters!$E$15)*Parameters!$I$8*ISNUMBER(S18)+(Parameters!$F$9=Parameters!$E$15)*Parameters!$I$9*ISNUMBER(T18)+(Parameters!$F$10=Parameters!$E$15)*Parameters!$I$10*ISNUMBER(U18)+(Parameters!$F$11=Parameters!$E$15)*Parameters!$I$11*ISNUMBER(V18)+(Parameters!$F$12=Parameters!$E$15)*Parameters!$I$12*ISNUMBER(W18))&gt;0,((Parameters!$F$5=Parameters!$E$15)*Parameters!$I$5*ISNUMBER(P18)+(Parameters!$F$6=Parameters!$E$15)*Parameters!$I$6*ISNUMBER(Q18)+(Parameters!$F$7=Parameters!$E$15)*Parameters!$I$7*ISNUMBER(R18)+(Parameters!$F$8=Parameters!$E$15)*Parameters!$I$8*ISNUMBER(S18)+(Parameters!$F$9=Parameters!$E$15)*Parameters!$I$9*ISNUMBER(T18)+(Parameters!$F$10=Parameters!$E$15)*Parameters!$I$10*ISNUMBER(U18)+(Parameters!$F$11=Parameters!$E$15)*Parameters!$I$11*ISNUMBER(V18)+(Parameters!$F$12=Parameters!$E$15)*Parameters!$I$12*ISNUMBER(W18))/((Parameters!$F$5=Parameters!$E$15)*Parameters!$I$5*1+(Parameters!$F$6=Parameters!$E$15)*Parameters!$I$6*1+(Parameters!$F$7=Parameters!$E$15)*Parameters!$I$7*1+(Parameters!$F$8=Parameters!$E$15)*Parameters!$I$8*1+(Parameters!$F$9=Parameters!$E$15)*Parameters!$I$9*1+(Parameters!$F$10=Parameters!$E$15)*Parameters!$I$10*1+(Parameters!$F$11=Parameters!$E$15)*Parameters!$I$11*X18+(Parameters!$F$12=Parameters!$E$15)*Parameters!$I$12*Y18)&gt;=Parameters!$B$36),((Parameters!$F$5=Parameters!$E$15)*Parameters!$I$5*N(P18)+(Parameters!$F$6=Parameters!$E$15)*Parameters!$I$6*N(Q18)+(Parameters!$F$7=Parameters!$E$15)*Parameters!$I$7*N(R18)+(Parameters!$F$8=Parameters!$E$15)*Parameters!$I$8*N(S18)+(Parameters!$F$9=Parameters!$E$15)*Parameters!$I$9*N(T18)+(Parameters!$F$10=Parameters!$E$15)*Parameters!$I$10*N(U18)+(Parameters!$F$11=Parameters!$E$15)*Parameters!$I$11*N(V18)+(Parameters!$F$12=Parameters!$E$15)*Parameters!$I$12*N(W18))/((Parameters!$F$5=Parameters!$E$15)*Parameters!$I$5*ISNUMBER(P18)+(Parameters!$F$6=Parameters!$E$15)*Parameters!$I$6*ISNUMBER(Q18)+(Parameters!$F$7=Parameters!$E$15)*Parameters!$I$7*ISNUMBER(R18)+(Parameters!$F$8=Parameters!$E$15)*Parameters!$I$8*ISNUMBER(S18)+(Parameters!$F$9=Parameters!$E$15)*Parameters!$I$9*ISNUMBER(T18)+(Parameters!$F$10=Parameters!$E$15)*Parameters!$I$10*ISNUMBER(U18)+(Parameters!$F$11=Parameters!$E$15)*Parameters!$I$11*ISNUMBER(V18)+(Parameters!$F$12=Parameters!$E$15)*Parameters!$I$12*ISNUMBER(W18)),""))</f>
        <v>0.98</v>
      </c>
      <c r="AA18"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18+(Parameters!$F$12=Parameters!$E$16)*Parameters!$I$12*Y18)=0,"",IF(AND(((Parameters!$F$5=Parameters!$E$16)*Parameters!$I$5*ISNUMBER(P18)+(Parameters!$F$6=Parameters!$E$16)*Parameters!$I$6*ISNUMBER(Q18)+(Parameters!$F$7=Parameters!$E$16)*Parameters!$I$7*ISNUMBER(R18)+(Parameters!$F$8=Parameters!$E$16)*Parameters!$I$8*ISNUMBER(S18)+(Parameters!$F$9=Parameters!$E$16)*Parameters!$I$9*ISNUMBER(T18)+(Parameters!$F$10=Parameters!$E$16)*Parameters!$I$10*ISNUMBER(U18)+(Parameters!$F$11=Parameters!$E$16)*Parameters!$I$11*ISNUMBER(V18)+(Parameters!$F$12=Parameters!$E$16)*Parameters!$I$12*ISNUMBER(W18))&gt;0,((Parameters!$F$5=Parameters!$E$16)*Parameters!$I$5*ISNUMBER(P18)+(Parameters!$F$6=Parameters!$E$16)*Parameters!$I$6*ISNUMBER(Q18)+(Parameters!$F$7=Parameters!$E$16)*Parameters!$I$7*ISNUMBER(R18)+(Parameters!$F$8=Parameters!$E$16)*Parameters!$I$8*ISNUMBER(S18)+(Parameters!$F$9=Parameters!$E$16)*Parameters!$I$9*ISNUMBER(T18)+(Parameters!$F$10=Parameters!$E$16)*Parameters!$I$10*ISNUMBER(U18)+(Parameters!$F$11=Parameters!$E$16)*Parameters!$I$11*ISNUMBER(V18)+(Parameters!$F$12=Parameters!$E$16)*Parameters!$I$12*ISNUMBER(W18))/((Parameters!$F$5=Parameters!$E$16)*Parameters!$I$5*1+(Parameters!$F$6=Parameters!$E$16)*Parameters!$I$6*1+(Parameters!$F$7=Parameters!$E$16)*Parameters!$I$7*1+(Parameters!$F$8=Parameters!$E$16)*Parameters!$I$8*1+(Parameters!$F$9=Parameters!$E$16)*Parameters!$I$9*1+(Parameters!$F$10=Parameters!$E$16)*Parameters!$I$10*1+(Parameters!$F$11=Parameters!$E$16)*Parameters!$I$11*X18+(Parameters!$F$12=Parameters!$E$16)*Parameters!$I$12*Y18)&gt;=Parameters!$B$36),((Parameters!$F$5=Parameters!$E$16)*Parameters!$I$5*N(P18)+(Parameters!$F$6=Parameters!$E$16)*Parameters!$I$6*N(Q18)+(Parameters!$F$7=Parameters!$E$16)*Parameters!$I$7*N(R18)+(Parameters!$F$8=Parameters!$E$16)*Parameters!$I$8*N(S18)+(Parameters!$F$9=Parameters!$E$16)*Parameters!$I$9*N(T18)+(Parameters!$F$10=Parameters!$E$16)*Parameters!$I$10*N(U18)+(Parameters!$F$11=Parameters!$E$16)*Parameters!$I$11*N(V18)+(Parameters!$F$12=Parameters!$E$16)*Parameters!$I$12*N(W18))/((Parameters!$F$5=Parameters!$E$16)*Parameters!$I$5*ISNUMBER(P18)+(Parameters!$F$6=Parameters!$E$16)*Parameters!$I$6*ISNUMBER(Q18)+(Parameters!$F$7=Parameters!$E$16)*Parameters!$I$7*ISNUMBER(R18)+(Parameters!$F$8=Parameters!$E$16)*Parameters!$I$8*ISNUMBER(S18)+(Parameters!$F$9=Parameters!$E$16)*Parameters!$I$9*ISNUMBER(T18)+(Parameters!$F$10=Parameters!$E$16)*Parameters!$I$10*ISNUMBER(U18)+(Parameters!$F$11=Parameters!$E$16)*Parameters!$I$11*ISNUMBER(V18)+(Parameters!$F$12=Parameters!$E$16)*Parameters!$I$12*ISNUMBER(W18)),""))</f>
        <v>0.666666666666667</v>
      </c>
      <c r="AB18"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18+(Parameters!$F$12=Parameters!$E$17)*Parameters!$I$12*Y18)=0,"",IF(AND(((Parameters!$F$5=Parameters!$E$17)*Parameters!$I$5*ISNUMBER(P18)+(Parameters!$F$6=Parameters!$E$17)*Parameters!$I$6*ISNUMBER(Q18)+(Parameters!$F$7=Parameters!$E$17)*Parameters!$I$7*ISNUMBER(R18)+(Parameters!$F$8=Parameters!$E$17)*Parameters!$I$8*ISNUMBER(S18)+(Parameters!$F$9=Parameters!$E$17)*Parameters!$I$9*ISNUMBER(T18)+(Parameters!$F$10=Parameters!$E$17)*Parameters!$I$10*ISNUMBER(U18)+(Parameters!$F$11=Parameters!$E$17)*Parameters!$I$11*ISNUMBER(V18)+(Parameters!$F$12=Parameters!$E$17)*Parameters!$I$12*ISNUMBER(W18))&gt;0,((Parameters!$F$5=Parameters!$E$17)*Parameters!$I$5*ISNUMBER(P18)+(Parameters!$F$6=Parameters!$E$17)*Parameters!$I$6*ISNUMBER(Q18)+(Parameters!$F$7=Parameters!$E$17)*Parameters!$I$7*ISNUMBER(R18)+(Parameters!$F$8=Parameters!$E$17)*Parameters!$I$8*ISNUMBER(S18)+(Parameters!$F$9=Parameters!$E$17)*Parameters!$I$9*ISNUMBER(T18)+(Parameters!$F$10=Parameters!$E$17)*Parameters!$I$10*ISNUMBER(U18)+(Parameters!$F$11=Parameters!$E$17)*Parameters!$I$11*ISNUMBER(V18)+(Parameters!$F$12=Parameters!$E$17)*Parameters!$I$12*ISNUMBER(W18))/((Parameters!$F$5=Parameters!$E$17)*Parameters!$I$5*1+(Parameters!$F$6=Parameters!$E$17)*Parameters!$I$6*1+(Parameters!$F$7=Parameters!$E$17)*Parameters!$I$7*1+(Parameters!$F$8=Parameters!$E$17)*Parameters!$I$8*1+(Parameters!$F$9=Parameters!$E$17)*Parameters!$I$9*1+(Parameters!$F$10=Parameters!$E$17)*Parameters!$I$10*1+(Parameters!$F$11=Parameters!$E$17)*Parameters!$I$11*X18+(Parameters!$F$12=Parameters!$E$17)*Parameters!$I$12*Y18)&gt;=Parameters!$B$36),((Parameters!$F$5=Parameters!$E$17)*Parameters!$I$5*N(P18)+(Parameters!$F$6=Parameters!$E$17)*Parameters!$I$6*N(Q18)+(Parameters!$F$7=Parameters!$E$17)*Parameters!$I$7*N(R18)+(Parameters!$F$8=Parameters!$E$17)*Parameters!$I$8*N(S18)+(Parameters!$F$9=Parameters!$E$17)*Parameters!$I$9*N(T18)+(Parameters!$F$10=Parameters!$E$17)*Parameters!$I$10*N(U18)+(Parameters!$F$11=Parameters!$E$17)*Parameters!$I$11*N(V18)+(Parameters!$F$12=Parameters!$E$17)*Parameters!$I$12*N(W18))/((Parameters!$F$5=Parameters!$E$17)*Parameters!$I$5*ISNUMBER(P18)+(Parameters!$F$6=Parameters!$E$17)*Parameters!$I$6*ISNUMBER(Q18)+(Parameters!$F$7=Parameters!$E$17)*Parameters!$I$7*ISNUMBER(R18)+(Parameters!$F$8=Parameters!$E$17)*Parameters!$I$8*ISNUMBER(S18)+(Parameters!$F$9=Parameters!$E$17)*Parameters!$I$9*ISNUMBER(T18)+(Parameters!$F$10=Parameters!$E$17)*Parameters!$I$10*ISNUMBER(U18)+(Parameters!$F$11=Parameters!$E$17)*Parameters!$I$11*ISNUMBER(V18)+(Parameters!$F$12=Parameters!$E$17)*Parameters!$I$12*ISNUMBER(W18)),""))</f>
        <v/>
      </c>
      <c r="AC18" s="17" t="n">
        <f aca="false">Parameters!$I$5*ISNUMBER(P18)+Parameters!$I$6*ISNUMBER(Q18)+Parameters!$I$7*ISNUMBER(R18)+Parameters!$I$8*ISNUMBER(S18)+Parameters!$I$9*ISNUMBER(T18)+Parameters!$I$10*ISNUMBER(U18)+Parameters!$I$11*ISNUMBER(V18)+Parameters!$I$12*ISNUMBER(W18)</f>
        <v>65</v>
      </c>
      <c r="AD18" s="17" t="n">
        <f aca="false">Parameters!$I$5*1+Parameters!$I$6*1+Parameters!$I$7*1+Parameters!$I$8*1+Parameters!$I$9*1+Parameters!$I$10*1+Parameters!$I$11*X18+Parameters!$I$12*Y18</f>
        <v>75</v>
      </c>
      <c r="AE18" s="18" t="n">
        <f aca="false">IF(AD18=0,"",AC18/AD18)</f>
        <v>0.866666666666667</v>
      </c>
      <c r="AF18" s="17" t="str">
        <f aca="false">IF(ISNUMBER(Z18),"M","")&amp;IF(ISNUMBER(AA18),"I","")&amp;IF(ISNUMBER(AB18),"O","")</f>
        <v>MI</v>
      </c>
      <c r="AG18" s="19" t="n">
        <f aca="false">IF(AND(ISNUMBER(AE18),ISNUMBER(Z18)+ISNUMBER(AA18)+ISNUMBER(AB18)&gt;=Parameters!$B$37),IF(AE18&gt;=Parameters!$B$35,100*(Parameters!$F$15*N(Z18)+Parameters!$F$16*N(AA18)+Parameters!$F$17*N(AB18))/(Parameters!$F$15*ISNUMBER(Z18)+Parameters!$F$16*ISNUMBER(AA18)+Parameters!$F$17*ISNUMBER(AB18)),""),"")</f>
        <v>86.25</v>
      </c>
      <c r="AH18" s="17" t="n">
        <f aca="false">IF(ISNUMBER(AG18),RANK(AG18,$AG$2:$AG$113),"")</f>
        <v>55</v>
      </c>
    </row>
    <row r="19" customFormat="false" ht="15" hidden="false" customHeight="false" outlineLevel="0" collapsed="false">
      <c r="A19" s="5" t="s">
        <v>205</v>
      </c>
      <c r="B19" s="5" t="s">
        <v>206</v>
      </c>
      <c r="C19" s="5" t="s">
        <v>207</v>
      </c>
      <c r="D19" s="5" t="s">
        <v>31</v>
      </c>
      <c r="E19" s="5" t="s">
        <v>44</v>
      </c>
      <c r="F19" s="5" t="s">
        <v>208</v>
      </c>
      <c r="G19" s="15" t="s">
        <v>209</v>
      </c>
      <c r="H19" s="8" t="n">
        <v>1</v>
      </c>
      <c r="I19" s="5" t="s">
        <v>57</v>
      </c>
      <c r="J19" s="5" t="s">
        <v>68</v>
      </c>
      <c r="K19" s="15"/>
      <c r="L19" s="5" t="s">
        <v>85</v>
      </c>
      <c r="M19" s="5" t="s">
        <v>141</v>
      </c>
      <c r="N19" s="5" t="s">
        <v>142</v>
      </c>
      <c r="O19" s="5" t="s">
        <v>197</v>
      </c>
      <c r="P19" s="16" t="n">
        <f aca="false">IFERROR(IF(ISNUMBER(INDEX(Parameters!$B$5:$B$23,MATCH(D19,Parameters!$A$5:$A$23,0))),INDEX(Parameters!$B$5:$B$23,MATCH(D19,Parameters!$A$5:$A$23,0)),""),"")</f>
        <v>1</v>
      </c>
      <c r="Q19" s="16" t="n">
        <f aca="false">IFERROR(IF(ISNUMBER(INDEX(Parameters!$B$5:$B$23,MATCH(E19,Parameters!$A$5:$A$23,0))),INDEX(Parameters!$B$5:$B$23,MATCH(E19,Parameters!$A$5:$A$23,0)),""),"")</f>
        <v>1</v>
      </c>
      <c r="R19" s="16" t="n">
        <f aca="false">IF(F19="","",IFERROR(MIN(Parameters!$B$33,MAX(0,Parameters!$B$32-VALUE(LEFT(F19,4))))/Parameters!$B$33,""))</f>
        <v>0.2</v>
      </c>
      <c r="S19" s="16" t="n">
        <f aca="false">IF(ISNUMBER(H19),H19,IF(G19="",IF(ISNUMBER(Parameters!$B$34),Parameters!$B$34,""),""))</f>
        <v>1</v>
      </c>
      <c r="T19" s="16" t="n">
        <f aca="false">IFERROR(IF(ISNUMBER(INDEX(Parameters!$B$5:$B$23,MATCH(I19,Parameters!$A$5:$A$23,0))),INDEX(Parameters!$B$5:$B$23,MATCH(I19,Parameters!$A$5:$A$23,0)),""),"")</f>
        <v>0</v>
      </c>
      <c r="U19" s="16" t="n">
        <f aca="false">IFERROR(IF(ISNUMBER(INDEX(Parameters!$B$5:$B$23,MATCH(L19,Parameters!$A$5:$A$23,0))),INDEX(Parameters!$B$5:$B$23,MATCH(L19,Parameters!$A$5:$A$23,0)),""),"")</f>
        <v>0.5</v>
      </c>
      <c r="V19" s="16" t="n">
        <f aca="false">IFERROR(IF(ISNUMBER(INDEX(Parameters!$B$5:$B$23,MATCH(J19,Parameters!$A$5:$A$23,0))),INDEX(Parameters!$B$5:$B$23,MATCH(J19,Parameters!$A$5:$A$23,0)),""),"")</f>
        <v>1</v>
      </c>
      <c r="W19" s="16" t="n">
        <f aca="false">IF(K19&lt;&gt;"",1,IF(COUNTIF(Parameters!$A$27:$A$28,J19)&gt;0,0,""))</f>
        <v>0</v>
      </c>
      <c r="X19" s="17" t="n">
        <f aca="false">IF(J19="Not applicable",0,1)</f>
        <v>1</v>
      </c>
      <c r="Y19" s="17" t="n">
        <f aca="false">IF(OR(K19&lt;&gt;"",COUNTIF(Parameters!$A$27:$A$28,J19)&gt;0),1,0)</f>
        <v>1</v>
      </c>
      <c r="Z19"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19+(Parameters!$F$12=Parameters!$E$15)*Parameters!$I$12*Y19)=0,"",IF(AND(((Parameters!$F$5=Parameters!$E$15)*Parameters!$I$5*ISNUMBER(P19)+(Parameters!$F$6=Parameters!$E$15)*Parameters!$I$6*ISNUMBER(Q19)+(Parameters!$F$7=Parameters!$E$15)*Parameters!$I$7*ISNUMBER(R19)+(Parameters!$F$8=Parameters!$E$15)*Parameters!$I$8*ISNUMBER(S19)+(Parameters!$F$9=Parameters!$E$15)*Parameters!$I$9*ISNUMBER(T19)+(Parameters!$F$10=Parameters!$E$15)*Parameters!$I$10*ISNUMBER(U19)+(Parameters!$F$11=Parameters!$E$15)*Parameters!$I$11*ISNUMBER(V19)+(Parameters!$F$12=Parameters!$E$15)*Parameters!$I$12*ISNUMBER(W19))&gt;0,((Parameters!$F$5=Parameters!$E$15)*Parameters!$I$5*ISNUMBER(P19)+(Parameters!$F$6=Parameters!$E$15)*Parameters!$I$6*ISNUMBER(Q19)+(Parameters!$F$7=Parameters!$E$15)*Parameters!$I$7*ISNUMBER(R19)+(Parameters!$F$8=Parameters!$E$15)*Parameters!$I$8*ISNUMBER(S19)+(Parameters!$F$9=Parameters!$E$15)*Parameters!$I$9*ISNUMBER(T19)+(Parameters!$F$10=Parameters!$E$15)*Parameters!$I$10*ISNUMBER(U19)+(Parameters!$F$11=Parameters!$E$15)*Parameters!$I$11*ISNUMBER(V19)+(Parameters!$F$12=Parameters!$E$15)*Parameters!$I$12*ISNUMBER(W19))/((Parameters!$F$5=Parameters!$E$15)*Parameters!$I$5*1+(Parameters!$F$6=Parameters!$E$15)*Parameters!$I$6*1+(Parameters!$F$7=Parameters!$E$15)*Parameters!$I$7*1+(Parameters!$F$8=Parameters!$E$15)*Parameters!$I$8*1+(Parameters!$F$9=Parameters!$E$15)*Parameters!$I$9*1+(Parameters!$F$10=Parameters!$E$15)*Parameters!$I$10*1+(Parameters!$F$11=Parameters!$E$15)*Parameters!$I$11*X19+(Parameters!$F$12=Parameters!$E$15)*Parameters!$I$12*Y19)&gt;=Parameters!$B$36),((Parameters!$F$5=Parameters!$E$15)*Parameters!$I$5*N(P19)+(Parameters!$F$6=Parameters!$E$15)*Parameters!$I$6*N(Q19)+(Parameters!$F$7=Parameters!$E$15)*Parameters!$I$7*N(R19)+(Parameters!$F$8=Parameters!$E$15)*Parameters!$I$8*N(S19)+(Parameters!$F$9=Parameters!$E$15)*Parameters!$I$9*N(T19)+(Parameters!$F$10=Parameters!$E$15)*Parameters!$I$10*N(U19)+(Parameters!$F$11=Parameters!$E$15)*Parameters!$I$11*N(V19)+(Parameters!$F$12=Parameters!$E$15)*Parameters!$I$12*N(W19))/((Parameters!$F$5=Parameters!$E$15)*Parameters!$I$5*ISNUMBER(P19)+(Parameters!$F$6=Parameters!$E$15)*Parameters!$I$6*ISNUMBER(Q19)+(Parameters!$F$7=Parameters!$E$15)*Parameters!$I$7*ISNUMBER(R19)+(Parameters!$F$8=Parameters!$E$15)*Parameters!$I$8*ISNUMBER(S19)+(Parameters!$F$9=Parameters!$E$15)*Parameters!$I$9*ISNUMBER(T19)+(Parameters!$F$10=Parameters!$E$15)*Parameters!$I$10*ISNUMBER(U19)+(Parameters!$F$11=Parameters!$E$15)*Parameters!$I$11*ISNUMBER(V19)+(Parameters!$F$12=Parameters!$E$15)*Parameters!$I$12*ISNUMBER(W19)),""))</f>
        <v>0.92</v>
      </c>
      <c r="AA19"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19+(Parameters!$F$12=Parameters!$E$16)*Parameters!$I$12*Y19)=0,"",IF(AND(((Parameters!$F$5=Parameters!$E$16)*Parameters!$I$5*ISNUMBER(P19)+(Parameters!$F$6=Parameters!$E$16)*Parameters!$I$6*ISNUMBER(Q19)+(Parameters!$F$7=Parameters!$E$16)*Parameters!$I$7*ISNUMBER(R19)+(Parameters!$F$8=Parameters!$E$16)*Parameters!$I$8*ISNUMBER(S19)+(Parameters!$F$9=Parameters!$E$16)*Parameters!$I$9*ISNUMBER(T19)+(Parameters!$F$10=Parameters!$E$16)*Parameters!$I$10*ISNUMBER(U19)+(Parameters!$F$11=Parameters!$E$16)*Parameters!$I$11*ISNUMBER(V19)+(Parameters!$F$12=Parameters!$E$16)*Parameters!$I$12*ISNUMBER(W19))&gt;0,((Parameters!$F$5=Parameters!$E$16)*Parameters!$I$5*ISNUMBER(P19)+(Parameters!$F$6=Parameters!$E$16)*Parameters!$I$6*ISNUMBER(Q19)+(Parameters!$F$7=Parameters!$E$16)*Parameters!$I$7*ISNUMBER(R19)+(Parameters!$F$8=Parameters!$E$16)*Parameters!$I$8*ISNUMBER(S19)+(Parameters!$F$9=Parameters!$E$16)*Parameters!$I$9*ISNUMBER(T19)+(Parameters!$F$10=Parameters!$E$16)*Parameters!$I$10*ISNUMBER(U19)+(Parameters!$F$11=Parameters!$E$16)*Parameters!$I$11*ISNUMBER(V19)+(Parameters!$F$12=Parameters!$E$16)*Parameters!$I$12*ISNUMBER(W19))/((Parameters!$F$5=Parameters!$E$16)*Parameters!$I$5*1+(Parameters!$F$6=Parameters!$E$16)*Parameters!$I$6*1+(Parameters!$F$7=Parameters!$E$16)*Parameters!$I$7*1+(Parameters!$F$8=Parameters!$E$16)*Parameters!$I$8*1+(Parameters!$F$9=Parameters!$E$16)*Parameters!$I$9*1+(Parameters!$F$10=Parameters!$E$16)*Parameters!$I$10*1+(Parameters!$F$11=Parameters!$E$16)*Parameters!$I$11*X19+(Parameters!$F$12=Parameters!$E$16)*Parameters!$I$12*Y19)&gt;=Parameters!$B$36),((Parameters!$F$5=Parameters!$E$16)*Parameters!$I$5*N(P19)+(Parameters!$F$6=Parameters!$E$16)*Parameters!$I$6*N(Q19)+(Parameters!$F$7=Parameters!$E$16)*Parameters!$I$7*N(R19)+(Parameters!$F$8=Parameters!$E$16)*Parameters!$I$8*N(S19)+(Parameters!$F$9=Parameters!$E$16)*Parameters!$I$9*N(T19)+(Parameters!$F$10=Parameters!$E$16)*Parameters!$I$10*N(U19)+(Parameters!$F$11=Parameters!$E$16)*Parameters!$I$11*N(V19)+(Parameters!$F$12=Parameters!$E$16)*Parameters!$I$12*N(W19))/((Parameters!$F$5=Parameters!$E$16)*Parameters!$I$5*ISNUMBER(P19)+(Parameters!$F$6=Parameters!$E$16)*Parameters!$I$6*ISNUMBER(Q19)+(Parameters!$F$7=Parameters!$E$16)*Parameters!$I$7*ISNUMBER(R19)+(Parameters!$F$8=Parameters!$E$16)*Parameters!$I$8*ISNUMBER(S19)+(Parameters!$F$9=Parameters!$E$16)*Parameters!$I$9*ISNUMBER(T19)+(Parameters!$F$10=Parameters!$E$16)*Parameters!$I$10*ISNUMBER(U19)+(Parameters!$F$11=Parameters!$E$16)*Parameters!$I$11*ISNUMBER(V19)+(Parameters!$F$12=Parameters!$E$16)*Parameters!$I$12*ISNUMBER(W19)),""))</f>
        <v>0.6</v>
      </c>
      <c r="AB19"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19+(Parameters!$F$12=Parameters!$E$17)*Parameters!$I$12*Y19)=0,"",IF(AND(((Parameters!$F$5=Parameters!$E$17)*Parameters!$I$5*ISNUMBER(P19)+(Parameters!$F$6=Parameters!$E$17)*Parameters!$I$6*ISNUMBER(Q19)+(Parameters!$F$7=Parameters!$E$17)*Parameters!$I$7*ISNUMBER(R19)+(Parameters!$F$8=Parameters!$E$17)*Parameters!$I$8*ISNUMBER(S19)+(Parameters!$F$9=Parameters!$E$17)*Parameters!$I$9*ISNUMBER(T19)+(Parameters!$F$10=Parameters!$E$17)*Parameters!$I$10*ISNUMBER(U19)+(Parameters!$F$11=Parameters!$E$17)*Parameters!$I$11*ISNUMBER(V19)+(Parameters!$F$12=Parameters!$E$17)*Parameters!$I$12*ISNUMBER(W19))&gt;0,((Parameters!$F$5=Parameters!$E$17)*Parameters!$I$5*ISNUMBER(P19)+(Parameters!$F$6=Parameters!$E$17)*Parameters!$I$6*ISNUMBER(Q19)+(Parameters!$F$7=Parameters!$E$17)*Parameters!$I$7*ISNUMBER(R19)+(Parameters!$F$8=Parameters!$E$17)*Parameters!$I$8*ISNUMBER(S19)+(Parameters!$F$9=Parameters!$E$17)*Parameters!$I$9*ISNUMBER(T19)+(Parameters!$F$10=Parameters!$E$17)*Parameters!$I$10*ISNUMBER(U19)+(Parameters!$F$11=Parameters!$E$17)*Parameters!$I$11*ISNUMBER(V19)+(Parameters!$F$12=Parameters!$E$17)*Parameters!$I$12*ISNUMBER(W19))/((Parameters!$F$5=Parameters!$E$17)*Parameters!$I$5*1+(Parameters!$F$6=Parameters!$E$17)*Parameters!$I$6*1+(Parameters!$F$7=Parameters!$E$17)*Parameters!$I$7*1+(Parameters!$F$8=Parameters!$E$17)*Parameters!$I$8*1+(Parameters!$F$9=Parameters!$E$17)*Parameters!$I$9*1+(Parameters!$F$10=Parameters!$E$17)*Parameters!$I$10*1+(Parameters!$F$11=Parameters!$E$17)*Parameters!$I$11*X19+(Parameters!$F$12=Parameters!$E$17)*Parameters!$I$12*Y19)&gt;=Parameters!$B$36),((Parameters!$F$5=Parameters!$E$17)*Parameters!$I$5*N(P19)+(Parameters!$F$6=Parameters!$E$17)*Parameters!$I$6*N(Q19)+(Parameters!$F$7=Parameters!$E$17)*Parameters!$I$7*N(R19)+(Parameters!$F$8=Parameters!$E$17)*Parameters!$I$8*N(S19)+(Parameters!$F$9=Parameters!$E$17)*Parameters!$I$9*N(T19)+(Parameters!$F$10=Parameters!$E$17)*Parameters!$I$10*N(U19)+(Parameters!$F$11=Parameters!$E$17)*Parameters!$I$11*N(V19)+(Parameters!$F$12=Parameters!$E$17)*Parameters!$I$12*N(W19))/((Parameters!$F$5=Parameters!$E$17)*Parameters!$I$5*ISNUMBER(P19)+(Parameters!$F$6=Parameters!$E$17)*Parameters!$I$6*ISNUMBER(Q19)+(Parameters!$F$7=Parameters!$E$17)*Parameters!$I$7*ISNUMBER(R19)+(Parameters!$F$8=Parameters!$E$17)*Parameters!$I$8*ISNUMBER(S19)+(Parameters!$F$9=Parameters!$E$17)*Parameters!$I$9*ISNUMBER(T19)+(Parameters!$F$10=Parameters!$E$17)*Parameters!$I$10*ISNUMBER(U19)+(Parameters!$F$11=Parameters!$E$17)*Parameters!$I$11*ISNUMBER(V19)+(Parameters!$F$12=Parameters!$E$17)*Parameters!$I$12*ISNUMBER(W19)),""))</f>
        <v>0.5</v>
      </c>
      <c r="AC19" s="17" t="n">
        <f aca="false">Parameters!$I$5*ISNUMBER(P19)+Parameters!$I$6*ISNUMBER(Q19)+Parameters!$I$7*ISNUMBER(R19)+Parameters!$I$8*ISNUMBER(S19)+Parameters!$I$9*ISNUMBER(T19)+Parameters!$I$10*ISNUMBER(U19)+Parameters!$I$11*ISNUMBER(V19)+Parameters!$I$12*ISNUMBER(W19)</f>
        <v>95</v>
      </c>
      <c r="AD19" s="17" t="n">
        <f aca="false">Parameters!$I$5*1+Parameters!$I$6*1+Parameters!$I$7*1+Parameters!$I$8*1+Parameters!$I$9*1+Parameters!$I$10*1+Parameters!$I$11*X19+Parameters!$I$12*Y19</f>
        <v>95</v>
      </c>
      <c r="AE19" s="18" t="n">
        <f aca="false">IF(AD19=0,"",AC19/AD19)</f>
        <v>1</v>
      </c>
      <c r="AF19" s="17" t="str">
        <f aca="false">IF(ISNUMBER(Z19),"M","")&amp;IF(ISNUMBER(AA19),"I","")&amp;IF(ISNUMBER(AB19),"O","")</f>
        <v>MIO</v>
      </c>
      <c r="AG19" s="19" t="n">
        <f aca="false">IF(AND(ISNUMBER(AE19),ISNUMBER(Z19)+ISNUMBER(AA19)+ISNUMBER(AB19)&gt;=Parameters!$B$37),IF(AE19&gt;=Parameters!$B$35,100*(Parameters!$F$15*N(Z19)+Parameters!$F$16*N(AA19)+Parameters!$F$17*N(AB19))/(Parameters!$F$15*ISNUMBER(Z19)+Parameters!$F$16*ISNUMBER(AA19)+Parameters!$F$17*ISNUMBER(AB19)),""),"")</f>
        <v>74</v>
      </c>
      <c r="AH19" s="17" t="n">
        <f aca="false">IF(ISNUMBER(AG19),RANK(AG19,$AG$2:$AG$113),"")</f>
        <v>92</v>
      </c>
    </row>
    <row r="20" customFormat="false" ht="15" hidden="false" customHeight="false" outlineLevel="0" collapsed="false">
      <c r="A20" s="5" t="s">
        <v>210</v>
      </c>
      <c r="B20" s="5" t="s">
        <v>210</v>
      </c>
      <c r="C20" s="5" t="s">
        <v>138</v>
      </c>
      <c r="D20" s="5" t="s">
        <v>31</v>
      </c>
      <c r="E20" s="5" t="s">
        <v>44</v>
      </c>
      <c r="F20" s="5" t="s">
        <v>211</v>
      </c>
      <c r="G20" s="15"/>
      <c r="H20" s="8"/>
      <c r="I20" s="5" t="s">
        <v>57</v>
      </c>
      <c r="J20" s="5" t="s">
        <v>68</v>
      </c>
      <c r="K20" s="15"/>
      <c r="L20" s="5" t="s">
        <v>76</v>
      </c>
      <c r="M20" s="5" t="s">
        <v>141</v>
      </c>
      <c r="N20" s="5" t="s">
        <v>142</v>
      </c>
      <c r="O20" s="5" t="s">
        <v>197</v>
      </c>
      <c r="P20" s="16" t="n">
        <f aca="false">IFERROR(IF(ISNUMBER(INDEX(Parameters!$B$5:$B$23,MATCH(D20,Parameters!$A$5:$A$23,0))),INDEX(Parameters!$B$5:$B$23,MATCH(D20,Parameters!$A$5:$A$23,0)),""),"")</f>
        <v>1</v>
      </c>
      <c r="Q20" s="16" t="n">
        <f aca="false">IFERROR(IF(ISNUMBER(INDEX(Parameters!$B$5:$B$23,MATCH(E20,Parameters!$A$5:$A$23,0))),INDEX(Parameters!$B$5:$B$23,MATCH(E20,Parameters!$A$5:$A$23,0)),""),"")</f>
        <v>1</v>
      </c>
      <c r="R20" s="16" t="n">
        <f aca="false">IF(F20="","",IFERROR(MIN(Parameters!$B$33,MAX(0,Parameters!$B$32-VALUE(LEFT(F20,4))))/Parameters!$B$33,""))</f>
        <v>1</v>
      </c>
      <c r="S20" s="16" t="str">
        <f aca="false">IF(ISNUMBER(H20),H20,IF(G20="",IF(ISNUMBER(Parameters!$B$34),Parameters!$B$34,""),""))</f>
        <v/>
      </c>
      <c r="T20" s="16" t="n">
        <f aca="false">IFERROR(IF(ISNUMBER(INDEX(Parameters!$B$5:$B$23,MATCH(I20,Parameters!$A$5:$A$23,0))),INDEX(Parameters!$B$5:$B$23,MATCH(I20,Parameters!$A$5:$A$23,0)),""),"")</f>
        <v>0</v>
      </c>
      <c r="U20" s="16" t="n">
        <f aca="false">IFERROR(IF(ISNUMBER(INDEX(Parameters!$B$5:$B$23,MATCH(L20,Parameters!$A$5:$A$23,0))),INDEX(Parameters!$B$5:$B$23,MATCH(L20,Parameters!$A$5:$A$23,0)),""),"")</f>
        <v>1</v>
      </c>
      <c r="V20" s="16" t="n">
        <f aca="false">IFERROR(IF(ISNUMBER(INDEX(Parameters!$B$5:$B$23,MATCH(J20,Parameters!$A$5:$A$23,0))),INDEX(Parameters!$B$5:$B$23,MATCH(J20,Parameters!$A$5:$A$23,0)),""),"")</f>
        <v>1</v>
      </c>
      <c r="W20" s="16" t="n">
        <f aca="false">IF(K20&lt;&gt;"",1,IF(COUNTIF(Parameters!$A$27:$A$28,J20)&gt;0,0,""))</f>
        <v>0</v>
      </c>
      <c r="X20" s="17" t="n">
        <f aca="false">IF(J20="Not applicable",0,1)</f>
        <v>1</v>
      </c>
      <c r="Y20" s="17" t="n">
        <f aca="false">IF(OR(K20&lt;&gt;"",COUNTIF(Parameters!$A$27:$A$28,J20)&gt;0),1,0)</f>
        <v>1</v>
      </c>
      <c r="Z20"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20+(Parameters!$F$12=Parameters!$E$15)*Parameters!$I$12*Y20)=0,"",IF(AND(((Parameters!$F$5=Parameters!$E$15)*Parameters!$I$5*ISNUMBER(P20)+(Parameters!$F$6=Parameters!$E$15)*Parameters!$I$6*ISNUMBER(Q20)+(Parameters!$F$7=Parameters!$E$15)*Parameters!$I$7*ISNUMBER(R20)+(Parameters!$F$8=Parameters!$E$15)*Parameters!$I$8*ISNUMBER(S20)+(Parameters!$F$9=Parameters!$E$15)*Parameters!$I$9*ISNUMBER(T20)+(Parameters!$F$10=Parameters!$E$15)*Parameters!$I$10*ISNUMBER(U20)+(Parameters!$F$11=Parameters!$E$15)*Parameters!$I$11*ISNUMBER(V20)+(Parameters!$F$12=Parameters!$E$15)*Parameters!$I$12*ISNUMBER(W20))&gt;0,((Parameters!$F$5=Parameters!$E$15)*Parameters!$I$5*ISNUMBER(P20)+(Parameters!$F$6=Parameters!$E$15)*Parameters!$I$6*ISNUMBER(Q20)+(Parameters!$F$7=Parameters!$E$15)*Parameters!$I$7*ISNUMBER(R20)+(Parameters!$F$8=Parameters!$E$15)*Parameters!$I$8*ISNUMBER(S20)+(Parameters!$F$9=Parameters!$E$15)*Parameters!$I$9*ISNUMBER(T20)+(Parameters!$F$10=Parameters!$E$15)*Parameters!$I$10*ISNUMBER(U20)+(Parameters!$F$11=Parameters!$E$15)*Parameters!$I$11*ISNUMBER(V20)+(Parameters!$F$12=Parameters!$E$15)*Parameters!$I$12*ISNUMBER(W20))/((Parameters!$F$5=Parameters!$E$15)*Parameters!$I$5*1+(Parameters!$F$6=Parameters!$E$15)*Parameters!$I$6*1+(Parameters!$F$7=Parameters!$E$15)*Parameters!$I$7*1+(Parameters!$F$8=Parameters!$E$15)*Parameters!$I$8*1+(Parameters!$F$9=Parameters!$E$15)*Parameters!$I$9*1+(Parameters!$F$10=Parameters!$E$15)*Parameters!$I$10*1+(Parameters!$F$11=Parameters!$E$15)*Parameters!$I$11*X20+(Parameters!$F$12=Parameters!$E$15)*Parameters!$I$12*Y20)&gt;=Parameters!$B$36),((Parameters!$F$5=Parameters!$E$15)*Parameters!$I$5*N(P20)+(Parameters!$F$6=Parameters!$E$15)*Parameters!$I$6*N(Q20)+(Parameters!$F$7=Parameters!$E$15)*Parameters!$I$7*N(R20)+(Parameters!$F$8=Parameters!$E$15)*Parameters!$I$8*N(S20)+(Parameters!$F$9=Parameters!$E$15)*Parameters!$I$9*N(T20)+(Parameters!$F$10=Parameters!$E$15)*Parameters!$I$10*N(U20)+(Parameters!$F$11=Parameters!$E$15)*Parameters!$I$11*N(V20)+(Parameters!$F$12=Parameters!$E$15)*Parameters!$I$12*N(W20))/((Parameters!$F$5=Parameters!$E$15)*Parameters!$I$5*ISNUMBER(P20)+(Parameters!$F$6=Parameters!$E$15)*Parameters!$I$6*ISNUMBER(Q20)+(Parameters!$F$7=Parameters!$E$15)*Parameters!$I$7*ISNUMBER(R20)+(Parameters!$F$8=Parameters!$E$15)*Parameters!$I$8*ISNUMBER(S20)+(Parameters!$F$9=Parameters!$E$15)*Parameters!$I$9*ISNUMBER(T20)+(Parameters!$F$10=Parameters!$E$15)*Parameters!$I$10*ISNUMBER(U20)+(Parameters!$F$11=Parameters!$E$15)*Parameters!$I$11*ISNUMBER(V20)+(Parameters!$F$12=Parameters!$E$15)*Parameters!$I$12*ISNUMBER(W20)),""))</f>
        <v>1</v>
      </c>
      <c r="AA20"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20+(Parameters!$F$12=Parameters!$E$16)*Parameters!$I$12*Y20)=0,"",IF(AND(((Parameters!$F$5=Parameters!$E$16)*Parameters!$I$5*ISNUMBER(P20)+(Parameters!$F$6=Parameters!$E$16)*Parameters!$I$6*ISNUMBER(Q20)+(Parameters!$F$7=Parameters!$E$16)*Parameters!$I$7*ISNUMBER(R20)+(Parameters!$F$8=Parameters!$E$16)*Parameters!$I$8*ISNUMBER(S20)+(Parameters!$F$9=Parameters!$E$16)*Parameters!$I$9*ISNUMBER(T20)+(Parameters!$F$10=Parameters!$E$16)*Parameters!$I$10*ISNUMBER(U20)+(Parameters!$F$11=Parameters!$E$16)*Parameters!$I$11*ISNUMBER(V20)+(Parameters!$F$12=Parameters!$E$16)*Parameters!$I$12*ISNUMBER(W20))&gt;0,((Parameters!$F$5=Parameters!$E$16)*Parameters!$I$5*ISNUMBER(P20)+(Parameters!$F$6=Parameters!$E$16)*Parameters!$I$6*ISNUMBER(Q20)+(Parameters!$F$7=Parameters!$E$16)*Parameters!$I$7*ISNUMBER(R20)+(Parameters!$F$8=Parameters!$E$16)*Parameters!$I$8*ISNUMBER(S20)+(Parameters!$F$9=Parameters!$E$16)*Parameters!$I$9*ISNUMBER(T20)+(Parameters!$F$10=Parameters!$E$16)*Parameters!$I$10*ISNUMBER(U20)+(Parameters!$F$11=Parameters!$E$16)*Parameters!$I$11*ISNUMBER(V20)+(Parameters!$F$12=Parameters!$E$16)*Parameters!$I$12*ISNUMBER(W20))/((Parameters!$F$5=Parameters!$E$16)*Parameters!$I$5*1+(Parameters!$F$6=Parameters!$E$16)*Parameters!$I$6*1+(Parameters!$F$7=Parameters!$E$16)*Parameters!$I$7*1+(Parameters!$F$8=Parameters!$E$16)*Parameters!$I$8*1+(Parameters!$F$9=Parameters!$E$16)*Parameters!$I$9*1+(Parameters!$F$10=Parameters!$E$16)*Parameters!$I$10*1+(Parameters!$F$11=Parameters!$E$16)*Parameters!$I$11*X20+(Parameters!$F$12=Parameters!$E$16)*Parameters!$I$12*Y20)&gt;=Parameters!$B$36),((Parameters!$F$5=Parameters!$E$16)*Parameters!$I$5*N(P20)+(Parameters!$F$6=Parameters!$E$16)*Parameters!$I$6*N(Q20)+(Parameters!$F$7=Parameters!$E$16)*Parameters!$I$7*N(R20)+(Parameters!$F$8=Parameters!$E$16)*Parameters!$I$8*N(S20)+(Parameters!$F$9=Parameters!$E$16)*Parameters!$I$9*N(T20)+(Parameters!$F$10=Parameters!$E$16)*Parameters!$I$10*N(U20)+(Parameters!$F$11=Parameters!$E$16)*Parameters!$I$11*N(V20)+(Parameters!$F$12=Parameters!$E$16)*Parameters!$I$12*N(W20))/((Parameters!$F$5=Parameters!$E$16)*Parameters!$I$5*ISNUMBER(P20)+(Parameters!$F$6=Parameters!$E$16)*Parameters!$I$6*ISNUMBER(Q20)+(Parameters!$F$7=Parameters!$E$16)*Parameters!$I$7*ISNUMBER(R20)+(Parameters!$F$8=Parameters!$E$16)*Parameters!$I$8*ISNUMBER(S20)+(Parameters!$F$9=Parameters!$E$16)*Parameters!$I$9*ISNUMBER(T20)+(Parameters!$F$10=Parameters!$E$16)*Parameters!$I$10*ISNUMBER(U20)+(Parameters!$F$11=Parameters!$E$16)*Parameters!$I$11*ISNUMBER(V20)+(Parameters!$F$12=Parameters!$E$16)*Parameters!$I$12*ISNUMBER(W20)),""))</f>
        <v>0.666666666666667</v>
      </c>
      <c r="AB20"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20+(Parameters!$F$12=Parameters!$E$17)*Parameters!$I$12*Y20)=0,"",IF(AND(((Parameters!$F$5=Parameters!$E$17)*Parameters!$I$5*ISNUMBER(P20)+(Parameters!$F$6=Parameters!$E$17)*Parameters!$I$6*ISNUMBER(Q20)+(Parameters!$F$7=Parameters!$E$17)*Parameters!$I$7*ISNUMBER(R20)+(Parameters!$F$8=Parameters!$E$17)*Parameters!$I$8*ISNUMBER(S20)+(Parameters!$F$9=Parameters!$E$17)*Parameters!$I$9*ISNUMBER(T20)+(Parameters!$F$10=Parameters!$E$17)*Parameters!$I$10*ISNUMBER(U20)+(Parameters!$F$11=Parameters!$E$17)*Parameters!$I$11*ISNUMBER(V20)+(Parameters!$F$12=Parameters!$E$17)*Parameters!$I$12*ISNUMBER(W20))&gt;0,((Parameters!$F$5=Parameters!$E$17)*Parameters!$I$5*ISNUMBER(P20)+(Parameters!$F$6=Parameters!$E$17)*Parameters!$I$6*ISNUMBER(Q20)+(Parameters!$F$7=Parameters!$E$17)*Parameters!$I$7*ISNUMBER(R20)+(Parameters!$F$8=Parameters!$E$17)*Parameters!$I$8*ISNUMBER(S20)+(Parameters!$F$9=Parameters!$E$17)*Parameters!$I$9*ISNUMBER(T20)+(Parameters!$F$10=Parameters!$E$17)*Parameters!$I$10*ISNUMBER(U20)+(Parameters!$F$11=Parameters!$E$17)*Parameters!$I$11*ISNUMBER(V20)+(Parameters!$F$12=Parameters!$E$17)*Parameters!$I$12*ISNUMBER(W20))/((Parameters!$F$5=Parameters!$E$17)*Parameters!$I$5*1+(Parameters!$F$6=Parameters!$E$17)*Parameters!$I$6*1+(Parameters!$F$7=Parameters!$E$17)*Parameters!$I$7*1+(Parameters!$F$8=Parameters!$E$17)*Parameters!$I$8*1+(Parameters!$F$9=Parameters!$E$17)*Parameters!$I$9*1+(Parameters!$F$10=Parameters!$E$17)*Parameters!$I$10*1+(Parameters!$F$11=Parameters!$E$17)*Parameters!$I$11*X20+(Parameters!$F$12=Parameters!$E$17)*Parameters!$I$12*Y20)&gt;=Parameters!$B$36),((Parameters!$F$5=Parameters!$E$17)*Parameters!$I$5*N(P20)+(Parameters!$F$6=Parameters!$E$17)*Parameters!$I$6*N(Q20)+(Parameters!$F$7=Parameters!$E$17)*Parameters!$I$7*N(R20)+(Parameters!$F$8=Parameters!$E$17)*Parameters!$I$8*N(S20)+(Parameters!$F$9=Parameters!$E$17)*Parameters!$I$9*N(T20)+(Parameters!$F$10=Parameters!$E$17)*Parameters!$I$10*N(U20)+(Parameters!$F$11=Parameters!$E$17)*Parameters!$I$11*N(V20)+(Parameters!$F$12=Parameters!$E$17)*Parameters!$I$12*N(W20))/((Parameters!$F$5=Parameters!$E$17)*Parameters!$I$5*ISNUMBER(P20)+(Parameters!$F$6=Parameters!$E$17)*Parameters!$I$6*ISNUMBER(Q20)+(Parameters!$F$7=Parameters!$E$17)*Parameters!$I$7*ISNUMBER(R20)+(Parameters!$F$8=Parameters!$E$17)*Parameters!$I$8*ISNUMBER(S20)+(Parameters!$F$9=Parameters!$E$17)*Parameters!$I$9*ISNUMBER(T20)+(Parameters!$F$10=Parameters!$E$17)*Parameters!$I$10*ISNUMBER(U20)+(Parameters!$F$11=Parameters!$E$17)*Parameters!$I$11*ISNUMBER(V20)+(Parameters!$F$12=Parameters!$E$17)*Parameters!$I$12*ISNUMBER(W20)),""))</f>
        <v>0.5</v>
      </c>
      <c r="AC20" s="17" t="n">
        <f aca="false">Parameters!$I$5*ISNUMBER(P20)+Parameters!$I$6*ISNUMBER(Q20)+Parameters!$I$7*ISNUMBER(R20)+Parameters!$I$8*ISNUMBER(S20)+Parameters!$I$9*ISNUMBER(T20)+Parameters!$I$10*ISNUMBER(U20)+Parameters!$I$11*ISNUMBER(V20)+Parameters!$I$12*ISNUMBER(W20)</f>
        <v>85</v>
      </c>
      <c r="AD20" s="17" t="n">
        <f aca="false">Parameters!$I$5*1+Parameters!$I$6*1+Parameters!$I$7*1+Parameters!$I$8*1+Parameters!$I$9*1+Parameters!$I$10*1+Parameters!$I$11*X20+Parameters!$I$12*Y20</f>
        <v>95</v>
      </c>
      <c r="AE20" s="18" t="n">
        <f aca="false">IF(AD20=0,"",AC20/AD20)</f>
        <v>0.894736842105263</v>
      </c>
      <c r="AF20" s="17" t="str">
        <f aca="false">IF(ISNUMBER(Z20),"M","")&amp;IF(ISNUMBER(AA20),"I","")&amp;IF(ISNUMBER(AB20),"O","")</f>
        <v>MIO</v>
      </c>
      <c r="AG20" s="19" t="n">
        <f aca="false">IF(AND(ISNUMBER(AE20),ISNUMBER(Z20)+ISNUMBER(AA20)+ISNUMBER(AB20)&gt;=Parameters!$B$37),IF(AE20&gt;=Parameters!$B$35,100*(Parameters!$F$15*N(Z20)+Parameters!$F$16*N(AA20)+Parameters!$F$17*N(AB20))/(Parameters!$F$15*ISNUMBER(Z20)+Parameters!$F$16*ISNUMBER(AA20)+Parameters!$F$17*ISNUMBER(AB20)),""),"")</f>
        <v>80</v>
      </c>
      <c r="AH20" s="17" t="n">
        <f aca="false">IF(ISNUMBER(AG20),RANK(AG20,$AG$2:$AG$113),"")</f>
        <v>73</v>
      </c>
    </row>
    <row r="21" customFormat="false" ht="15" hidden="false" customHeight="false" outlineLevel="0" collapsed="false">
      <c r="A21" s="5" t="s">
        <v>212</v>
      </c>
      <c r="B21" s="5" t="s">
        <v>213</v>
      </c>
      <c r="C21" s="5" t="s">
        <v>214</v>
      </c>
      <c r="D21" s="5" t="s">
        <v>31</v>
      </c>
      <c r="E21" s="5" t="s">
        <v>44</v>
      </c>
      <c r="F21" s="5" t="s">
        <v>215</v>
      </c>
      <c r="G21" s="15" t="s">
        <v>216</v>
      </c>
      <c r="H21" s="8" t="n">
        <v>1</v>
      </c>
      <c r="I21" s="5" t="s">
        <v>57</v>
      </c>
      <c r="J21" s="5" t="s">
        <v>74</v>
      </c>
      <c r="K21" s="15"/>
      <c r="L21" s="5" t="s">
        <v>76</v>
      </c>
      <c r="M21" s="5" t="s">
        <v>136</v>
      </c>
      <c r="N21" s="5" t="s">
        <v>142</v>
      </c>
      <c r="O21" s="5"/>
      <c r="P21" s="16" t="n">
        <f aca="false">IFERROR(IF(ISNUMBER(INDEX(Parameters!$B$5:$B$23,MATCH(D21,Parameters!$A$5:$A$23,0))),INDEX(Parameters!$B$5:$B$23,MATCH(D21,Parameters!$A$5:$A$23,0)),""),"")</f>
        <v>1</v>
      </c>
      <c r="Q21" s="16" t="n">
        <f aca="false">IFERROR(IF(ISNUMBER(INDEX(Parameters!$B$5:$B$23,MATCH(E21,Parameters!$A$5:$A$23,0))),INDEX(Parameters!$B$5:$B$23,MATCH(E21,Parameters!$A$5:$A$23,0)),""),"")</f>
        <v>1</v>
      </c>
      <c r="R21" s="16" t="n">
        <f aca="false">IF(F21="","",IFERROR(MIN(Parameters!$B$33,MAX(0,Parameters!$B$32-VALUE(LEFT(F21,4))))/Parameters!$B$33,""))</f>
        <v>0.0666666666666667</v>
      </c>
      <c r="S21" s="16" t="n">
        <f aca="false">IF(ISNUMBER(H21),H21,IF(G21="",IF(ISNUMBER(Parameters!$B$34),Parameters!$B$34,""),""))</f>
        <v>1</v>
      </c>
      <c r="T21" s="16" t="n">
        <f aca="false">IFERROR(IF(ISNUMBER(INDEX(Parameters!$B$5:$B$23,MATCH(I21,Parameters!$A$5:$A$23,0))),INDEX(Parameters!$B$5:$B$23,MATCH(I21,Parameters!$A$5:$A$23,0)),""),"")</f>
        <v>0</v>
      </c>
      <c r="U21" s="16" t="n">
        <f aca="false">IFERROR(IF(ISNUMBER(INDEX(Parameters!$B$5:$B$23,MATCH(L21,Parameters!$A$5:$A$23,0))),INDEX(Parameters!$B$5:$B$23,MATCH(L21,Parameters!$A$5:$A$23,0)),""),"")</f>
        <v>1</v>
      </c>
      <c r="V21" s="16" t="str">
        <f aca="false">IFERROR(IF(ISNUMBER(INDEX(Parameters!$B$5:$B$23,MATCH(J21,Parameters!$A$5:$A$23,0))),INDEX(Parameters!$B$5:$B$23,MATCH(J21,Parameters!$A$5:$A$23,0)),""),"")</f>
        <v/>
      </c>
      <c r="W21" s="16" t="str">
        <f aca="false">IF(K21&lt;&gt;"",1,IF(COUNTIF(Parameters!$A$27:$A$28,J21)&gt;0,0,""))</f>
        <v/>
      </c>
      <c r="X21" s="17" t="n">
        <f aca="false">IF(J21="Not applicable",0,1)</f>
        <v>0</v>
      </c>
      <c r="Y21" s="17" t="n">
        <f aca="false">IF(OR(K21&lt;&gt;"",COUNTIF(Parameters!$A$27:$A$28,J21)&gt;0),1,0)</f>
        <v>0</v>
      </c>
      <c r="Z21"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21+(Parameters!$F$12=Parameters!$E$15)*Parameters!$I$12*Y21)=0,"",IF(AND(((Parameters!$F$5=Parameters!$E$15)*Parameters!$I$5*ISNUMBER(P21)+(Parameters!$F$6=Parameters!$E$15)*Parameters!$I$6*ISNUMBER(Q21)+(Parameters!$F$7=Parameters!$E$15)*Parameters!$I$7*ISNUMBER(R21)+(Parameters!$F$8=Parameters!$E$15)*Parameters!$I$8*ISNUMBER(S21)+(Parameters!$F$9=Parameters!$E$15)*Parameters!$I$9*ISNUMBER(T21)+(Parameters!$F$10=Parameters!$E$15)*Parameters!$I$10*ISNUMBER(U21)+(Parameters!$F$11=Parameters!$E$15)*Parameters!$I$11*ISNUMBER(V21)+(Parameters!$F$12=Parameters!$E$15)*Parameters!$I$12*ISNUMBER(W21))&gt;0,((Parameters!$F$5=Parameters!$E$15)*Parameters!$I$5*ISNUMBER(P21)+(Parameters!$F$6=Parameters!$E$15)*Parameters!$I$6*ISNUMBER(Q21)+(Parameters!$F$7=Parameters!$E$15)*Parameters!$I$7*ISNUMBER(R21)+(Parameters!$F$8=Parameters!$E$15)*Parameters!$I$8*ISNUMBER(S21)+(Parameters!$F$9=Parameters!$E$15)*Parameters!$I$9*ISNUMBER(T21)+(Parameters!$F$10=Parameters!$E$15)*Parameters!$I$10*ISNUMBER(U21)+(Parameters!$F$11=Parameters!$E$15)*Parameters!$I$11*ISNUMBER(V21)+(Parameters!$F$12=Parameters!$E$15)*Parameters!$I$12*ISNUMBER(W21))/((Parameters!$F$5=Parameters!$E$15)*Parameters!$I$5*1+(Parameters!$F$6=Parameters!$E$15)*Parameters!$I$6*1+(Parameters!$F$7=Parameters!$E$15)*Parameters!$I$7*1+(Parameters!$F$8=Parameters!$E$15)*Parameters!$I$8*1+(Parameters!$F$9=Parameters!$E$15)*Parameters!$I$9*1+(Parameters!$F$10=Parameters!$E$15)*Parameters!$I$10*1+(Parameters!$F$11=Parameters!$E$15)*Parameters!$I$11*X21+(Parameters!$F$12=Parameters!$E$15)*Parameters!$I$12*Y21)&gt;=Parameters!$B$36),((Parameters!$F$5=Parameters!$E$15)*Parameters!$I$5*N(P21)+(Parameters!$F$6=Parameters!$E$15)*Parameters!$I$6*N(Q21)+(Parameters!$F$7=Parameters!$E$15)*Parameters!$I$7*N(R21)+(Parameters!$F$8=Parameters!$E$15)*Parameters!$I$8*N(S21)+(Parameters!$F$9=Parameters!$E$15)*Parameters!$I$9*N(T21)+(Parameters!$F$10=Parameters!$E$15)*Parameters!$I$10*N(U21)+(Parameters!$F$11=Parameters!$E$15)*Parameters!$I$11*N(V21)+(Parameters!$F$12=Parameters!$E$15)*Parameters!$I$12*N(W21))/((Parameters!$F$5=Parameters!$E$15)*Parameters!$I$5*ISNUMBER(P21)+(Parameters!$F$6=Parameters!$E$15)*Parameters!$I$6*ISNUMBER(Q21)+(Parameters!$F$7=Parameters!$E$15)*Parameters!$I$7*ISNUMBER(R21)+(Parameters!$F$8=Parameters!$E$15)*Parameters!$I$8*ISNUMBER(S21)+(Parameters!$F$9=Parameters!$E$15)*Parameters!$I$9*ISNUMBER(T21)+(Parameters!$F$10=Parameters!$E$15)*Parameters!$I$10*ISNUMBER(U21)+(Parameters!$F$11=Parameters!$E$15)*Parameters!$I$11*ISNUMBER(V21)+(Parameters!$F$12=Parameters!$E$15)*Parameters!$I$12*ISNUMBER(W21)),""))</f>
        <v>0.906666666666667</v>
      </c>
      <c r="AA21"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21+(Parameters!$F$12=Parameters!$E$16)*Parameters!$I$12*Y21)=0,"",IF(AND(((Parameters!$F$5=Parameters!$E$16)*Parameters!$I$5*ISNUMBER(P21)+(Parameters!$F$6=Parameters!$E$16)*Parameters!$I$6*ISNUMBER(Q21)+(Parameters!$F$7=Parameters!$E$16)*Parameters!$I$7*ISNUMBER(R21)+(Parameters!$F$8=Parameters!$E$16)*Parameters!$I$8*ISNUMBER(S21)+(Parameters!$F$9=Parameters!$E$16)*Parameters!$I$9*ISNUMBER(T21)+(Parameters!$F$10=Parameters!$E$16)*Parameters!$I$10*ISNUMBER(U21)+(Parameters!$F$11=Parameters!$E$16)*Parameters!$I$11*ISNUMBER(V21)+(Parameters!$F$12=Parameters!$E$16)*Parameters!$I$12*ISNUMBER(W21))&gt;0,((Parameters!$F$5=Parameters!$E$16)*Parameters!$I$5*ISNUMBER(P21)+(Parameters!$F$6=Parameters!$E$16)*Parameters!$I$6*ISNUMBER(Q21)+(Parameters!$F$7=Parameters!$E$16)*Parameters!$I$7*ISNUMBER(R21)+(Parameters!$F$8=Parameters!$E$16)*Parameters!$I$8*ISNUMBER(S21)+(Parameters!$F$9=Parameters!$E$16)*Parameters!$I$9*ISNUMBER(T21)+(Parameters!$F$10=Parameters!$E$16)*Parameters!$I$10*ISNUMBER(U21)+(Parameters!$F$11=Parameters!$E$16)*Parameters!$I$11*ISNUMBER(V21)+(Parameters!$F$12=Parameters!$E$16)*Parameters!$I$12*ISNUMBER(W21))/((Parameters!$F$5=Parameters!$E$16)*Parameters!$I$5*1+(Parameters!$F$6=Parameters!$E$16)*Parameters!$I$6*1+(Parameters!$F$7=Parameters!$E$16)*Parameters!$I$7*1+(Parameters!$F$8=Parameters!$E$16)*Parameters!$I$8*1+(Parameters!$F$9=Parameters!$E$16)*Parameters!$I$9*1+(Parameters!$F$10=Parameters!$E$16)*Parameters!$I$10*1+(Parameters!$F$11=Parameters!$E$16)*Parameters!$I$11*X21+(Parameters!$F$12=Parameters!$E$16)*Parameters!$I$12*Y21)&gt;=Parameters!$B$36),((Parameters!$F$5=Parameters!$E$16)*Parameters!$I$5*N(P21)+(Parameters!$F$6=Parameters!$E$16)*Parameters!$I$6*N(Q21)+(Parameters!$F$7=Parameters!$E$16)*Parameters!$I$7*N(R21)+(Parameters!$F$8=Parameters!$E$16)*Parameters!$I$8*N(S21)+(Parameters!$F$9=Parameters!$E$16)*Parameters!$I$9*N(T21)+(Parameters!$F$10=Parameters!$E$16)*Parameters!$I$10*N(U21)+(Parameters!$F$11=Parameters!$E$16)*Parameters!$I$11*N(V21)+(Parameters!$F$12=Parameters!$E$16)*Parameters!$I$12*N(W21))/((Parameters!$F$5=Parameters!$E$16)*Parameters!$I$5*ISNUMBER(P21)+(Parameters!$F$6=Parameters!$E$16)*Parameters!$I$6*ISNUMBER(Q21)+(Parameters!$F$7=Parameters!$E$16)*Parameters!$I$7*ISNUMBER(R21)+(Parameters!$F$8=Parameters!$E$16)*Parameters!$I$8*ISNUMBER(S21)+(Parameters!$F$9=Parameters!$E$16)*Parameters!$I$9*ISNUMBER(T21)+(Parameters!$F$10=Parameters!$E$16)*Parameters!$I$10*ISNUMBER(U21)+(Parameters!$F$11=Parameters!$E$16)*Parameters!$I$11*ISNUMBER(V21)+(Parameters!$F$12=Parameters!$E$16)*Parameters!$I$12*ISNUMBER(W21)),""))</f>
        <v>0.8</v>
      </c>
      <c r="AB21"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21+(Parameters!$F$12=Parameters!$E$17)*Parameters!$I$12*Y21)=0,"",IF(AND(((Parameters!$F$5=Parameters!$E$17)*Parameters!$I$5*ISNUMBER(P21)+(Parameters!$F$6=Parameters!$E$17)*Parameters!$I$6*ISNUMBER(Q21)+(Parameters!$F$7=Parameters!$E$17)*Parameters!$I$7*ISNUMBER(R21)+(Parameters!$F$8=Parameters!$E$17)*Parameters!$I$8*ISNUMBER(S21)+(Parameters!$F$9=Parameters!$E$17)*Parameters!$I$9*ISNUMBER(T21)+(Parameters!$F$10=Parameters!$E$17)*Parameters!$I$10*ISNUMBER(U21)+(Parameters!$F$11=Parameters!$E$17)*Parameters!$I$11*ISNUMBER(V21)+(Parameters!$F$12=Parameters!$E$17)*Parameters!$I$12*ISNUMBER(W21))&gt;0,((Parameters!$F$5=Parameters!$E$17)*Parameters!$I$5*ISNUMBER(P21)+(Parameters!$F$6=Parameters!$E$17)*Parameters!$I$6*ISNUMBER(Q21)+(Parameters!$F$7=Parameters!$E$17)*Parameters!$I$7*ISNUMBER(R21)+(Parameters!$F$8=Parameters!$E$17)*Parameters!$I$8*ISNUMBER(S21)+(Parameters!$F$9=Parameters!$E$17)*Parameters!$I$9*ISNUMBER(T21)+(Parameters!$F$10=Parameters!$E$17)*Parameters!$I$10*ISNUMBER(U21)+(Parameters!$F$11=Parameters!$E$17)*Parameters!$I$11*ISNUMBER(V21)+(Parameters!$F$12=Parameters!$E$17)*Parameters!$I$12*ISNUMBER(W21))/((Parameters!$F$5=Parameters!$E$17)*Parameters!$I$5*1+(Parameters!$F$6=Parameters!$E$17)*Parameters!$I$6*1+(Parameters!$F$7=Parameters!$E$17)*Parameters!$I$7*1+(Parameters!$F$8=Parameters!$E$17)*Parameters!$I$8*1+(Parameters!$F$9=Parameters!$E$17)*Parameters!$I$9*1+(Parameters!$F$10=Parameters!$E$17)*Parameters!$I$10*1+(Parameters!$F$11=Parameters!$E$17)*Parameters!$I$11*X21+(Parameters!$F$12=Parameters!$E$17)*Parameters!$I$12*Y21)&gt;=Parameters!$B$36),((Parameters!$F$5=Parameters!$E$17)*Parameters!$I$5*N(P21)+(Parameters!$F$6=Parameters!$E$17)*Parameters!$I$6*N(Q21)+(Parameters!$F$7=Parameters!$E$17)*Parameters!$I$7*N(R21)+(Parameters!$F$8=Parameters!$E$17)*Parameters!$I$8*N(S21)+(Parameters!$F$9=Parameters!$E$17)*Parameters!$I$9*N(T21)+(Parameters!$F$10=Parameters!$E$17)*Parameters!$I$10*N(U21)+(Parameters!$F$11=Parameters!$E$17)*Parameters!$I$11*N(V21)+(Parameters!$F$12=Parameters!$E$17)*Parameters!$I$12*N(W21))/((Parameters!$F$5=Parameters!$E$17)*Parameters!$I$5*ISNUMBER(P21)+(Parameters!$F$6=Parameters!$E$17)*Parameters!$I$6*ISNUMBER(Q21)+(Parameters!$F$7=Parameters!$E$17)*Parameters!$I$7*ISNUMBER(R21)+(Parameters!$F$8=Parameters!$E$17)*Parameters!$I$8*ISNUMBER(S21)+(Parameters!$F$9=Parameters!$E$17)*Parameters!$I$9*ISNUMBER(T21)+(Parameters!$F$10=Parameters!$E$17)*Parameters!$I$10*ISNUMBER(U21)+(Parameters!$F$11=Parameters!$E$17)*Parameters!$I$11*ISNUMBER(V21)+(Parameters!$F$12=Parameters!$E$17)*Parameters!$I$12*ISNUMBER(W21)),""))</f>
        <v/>
      </c>
      <c r="AC21" s="17" t="n">
        <f aca="false">Parameters!$I$5*ISNUMBER(P21)+Parameters!$I$6*ISNUMBER(Q21)+Parameters!$I$7*ISNUMBER(R21)+Parameters!$I$8*ISNUMBER(S21)+Parameters!$I$9*ISNUMBER(T21)+Parameters!$I$10*ISNUMBER(U21)+Parameters!$I$11*ISNUMBER(V21)+Parameters!$I$12*ISNUMBER(W21)</f>
        <v>75</v>
      </c>
      <c r="AD21" s="17" t="n">
        <f aca="false">Parameters!$I$5*1+Parameters!$I$6*1+Parameters!$I$7*1+Parameters!$I$8*1+Parameters!$I$9*1+Parameters!$I$10*1+Parameters!$I$11*X21+Parameters!$I$12*Y21</f>
        <v>75</v>
      </c>
      <c r="AE21" s="18" t="n">
        <f aca="false">IF(AD21=0,"",AC21/AD21)</f>
        <v>1</v>
      </c>
      <c r="AF21" s="17" t="str">
        <f aca="false">IF(ISNUMBER(Z21),"M","")&amp;IF(ISNUMBER(AA21),"I","")&amp;IF(ISNUMBER(AB21),"O","")</f>
        <v>MI</v>
      </c>
      <c r="AG21" s="19" t="n">
        <f aca="false">IF(AND(ISNUMBER(AE21),ISNUMBER(Z21)+ISNUMBER(AA21)+ISNUMBER(AB21)&gt;=Parameters!$B$37),IF(AE21&gt;=Parameters!$B$35,100*(Parameters!$F$15*N(Z21)+Parameters!$F$16*N(AA21)+Parameters!$F$17*N(AB21))/(Parameters!$F$15*ISNUMBER(Z21)+Parameters!$F$16*ISNUMBER(AA21)+Parameters!$F$17*ISNUMBER(AB21)),""),"")</f>
        <v>86.6666666666667</v>
      </c>
      <c r="AH21" s="17" t="n">
        <f aca="false">IF(ISNUMBER(AG21),RANK(AG21,$AG$2:$AG$113),"")</f>
        <v>52</v>
      </c>
    </row>
    <row r="22" customFormat="false" ht="15" hidden="false" customHeight="false" outlineLevel="0" collapsed="false">
      <c r="A22" s="5" t="s">
        <v>217</v>
      </c>
      <c r="B22" s="5" t="s">
        <v>213</v>
      </c>
      <c r="C22" s="5" t="s">
        <v>160</v>
      </c>
      <c r="D22" s="5" t="s">
        <v>31</v>
      </c>
      <c r="E22" s="5" t="s">
        <v>44</v>
      </c>
      <c r="F22" s="5" t="s">
        <v>218</v>
      </c>
      <c r="G22" s="15" t="s">
        <v>219</v>
      </c>
      <c r="H22" s="8" t="n">
        <v>0</v>
      </c>
      <c r="I22" s="5" t="s">
        <v>57</v>
      </c>
      <c r="J22" s="5" t="s">
        <v>68</v>
      </c>
      <c r="K22" s="15"/>
      <c r="L22" s="5" t="s">
        <v>76</v>
      </c>
      <c r="M22" s="5" t="s">
        <v>136</v>
      </c>
      <c r="N22" s="5"/>
      <c r="O22" s="5"/>
      <c r="P22" s="16" t="n">
        <f aca="false">IFERROR(IF(ISNUMBER(INDEX(Parameters!$B$5:$B$23,MATCH(D22,Parameters!$A$5:$A$23,0))),INDEX(Parameters!$B$5:$B$23,MATCH(D22,Parameters!$A$5:$A$23,0)),""),"")</f>
        <v>1</v>
      </c>
      <c r="Q22" s="16" t="n">
        <f aca="false">IFERROR(IF(ISNUMBER(INDEX(Parameters!$B$5:$B$23,MATCH(E22,Parameters!$A$5:$A$23,0))),INDEX(Parameters!$B$5:$B$23,MATCH(E22,Parameters!$A$5:$A$23,0)),""),"")</f>
        <v>1</v>
      </c>
      <c r="R22" s="16" t="n">
        <f aca="false">IF(F22="","",IFERROR(MIN(Parameters!$B$33,MAX(0,Parameters!$B$32-VALUE(LEFT(F22,4))))/Parameters!$B$33,""))</f>
        <v>0.333333333333333</v>
      </c>
      <c r="S22" s="16" t="n">
        <f aca="false">IF(ISNUMBER(H22),H22,IF(G22="",IF(ISNUMBER(Parameters!$B$34),Parameters!$B$34,""),""))</f>
        <v>0</v>
      </c>
      <c r="T22" s="16" t="n">
        <f aca="false">IFERROR(IF(ISNUMBER(INDEX(Parameters!$B$5:$B$23,MATCH(I22,Parameters!$A$5:$A$23,0))),INDEX(Parameters!$B$5:$B$23,MATCH(I22,Parameters!$A$5:$A$23,0)),""),"")</f>
        <v>0</v>
      </c>
      <c r="U22" s="16" t="n">
        <f aca="false">IFERROR(IF(ISNUMBER(INDEX(Parameters!$B$5:$B$23,MATCH(L22,Parameters!$A$5:$A$23,0))),INDEX(Parameters!$B$5:$B$23,MATCH(L22,Parameters!$A$5:$A$23,0)),""),"")</f>
        <v>1</v>
      </c>
      <c r="V22" s="16" t="n">
        <f aca="false">IFERROR(IF(ISNUMBER(INDEX(Parameters!$B$5:$B$23,MATCH(J22,Parameters!$A$5:$A$23,0))),INDEX(Parameters!$B$5:$B$23,MATCH(J22,Parameters!$A$5:$A$23,0)),""),"")</f>
        <v>1</v>
      </c>
      <c r="W22" s="16" t="n">
        <f aca="false">IF(K22&lt;&gt;"",1,IF(COUNTIF(Parameters!$A$27:$A$28,J22)&gt;0,0,""))</f>
        <v>0</v>
      </c>
      <c r="X22" s="17" t="n">
        <f aca="false">IF(J22="Not applicable",0,1)</f>
        <v>1</v>
      </c>
      <c r="Y22" s="17" t="n">
        <f aca="false">IF(OR(K22&lt;&gt;"",COUNTIF(Parameters!$A$27:$A$28,J22)&gt;0),1,0)</f>
        <v>1</v>
      </c>
      <c r="Z22"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22+(Parameters!$F$12=Parameters!$E$15)*Parameters!$I$12*Y22)=0,"",IF(AND(((Parameters!$F$5=Parameters!$E$15)*Parameters!$I$5*ISNUMBER(P22)+(Parameters!$F$6=Parameters!$E$15)*Parameters!$I$6*ISNUMBER(Q22)+(Parameters!$F$7=Parameters!$E$15)*Parameters!$I$7*ISNUMBER(R22)+(Parameters!$F$8=Parameters!$E$15)*Parameters!$I$8*ISNUMBER(S22)+(Parameters!$F$9=Parameters!$E$15)*Parameters!$I$9*ISNUMBER(T22)+(Parameters!$F$10=Parameters!$E$15)*Parameters!$I$10*ISNUMBER(U22)+(Parameters!$F$11=Parameters!$E$15)*Parameters!$I$11*ISNUMBER(V22)+(Parameters!$F$12=Parameters!$E$15)*Parameters!$I$12*ISNUMBER(W22))&gt;0,((Parameters!$F$5=Parameters!$E$15)*Parameters!$I$5*ISNUMBER(P22)+(Parameters!$F$6=Parameters!$E$15)*Parameters!$I$6*ISNUMBER(Q22)+(Parameters!$F$7=Parameters!$E$15)*Parameters!$I$7*ISNUMBER(R22)+(Parameters!$F$8=Parameters!$E$15)*Parameters!$I$8*ISNUMBER(S22)+(Parameters!$F$9=Parameters!$E$15)*Parameters!$I$9*ISNUMBER(T22)+(Parameters!$F$10=Parameters!$E$15)*Parameters!$I$10*ISNUMBER(U22)+(Parameters!$F$11=Parameters!$E$15)*Parameters!$I$11*ISNUMBER(V22)+(Parameters!$F$12=Parameters!$E$15)*Parameters!$I$12*ISNUMBER(W22))/((Parameters!$F$5=Parameters!$E$15)*Parameters!$I$5*1+(Parameters!$F$6=Parameters!$E$15)*Parameters!$I$6*1+(Parameters!$F$7=Parameters!$E$15)*Parameters!$I$7*1+(Parameters!$F$8=Parameters!$E$15)*Parameters!$I$8*1+(Parameters!$F$9=Parameters!$E$15)*Parameters!$I$9*1+(Parameters!$F$10=Parameters!$E$15)*Parameters!$I$10*1+(Parameters!$F$11=Parameters!$E$15)*Parameters!$I$11*X22+(Parameters!$F$12=Parameters!$E$15)*Parameters!$I$12*Y22)&gt;=Parameters!$B$36),((Parameters!$F$5=Parameters!$E$15)*Parameters!$I$5*N(P22)+(Parameters!$F$6=Parameters!$E$15)*Parameters!$I$6*N(Q22)+(Parameters!$F$7=Parameters!$E$15)*Parameters!$I$7*N(R22)+(Parameters!$F$8=Parameters!$E$15)*Parameters!$I$8*N(S22)+(Parameters!$F$9=Parameters!$E$15)*Parameters!$I$9*N(T22)+(Parameters!$F$10=Parameters!$E$15)*Parameters!$I$10*N(U22)+(Parameters!$F$11=Parameters!$E$15)*Parameters!$I$11*N(V22)+(Parameters!$F$12=Parameters!$E$15)*Parameters!$I$12*N(W22))/((Parameters!$F$5=Parameters!$E$15)*Parameters!$I$5*ISNUMBER(P22)+(Parameters!$F$6=Parameters!$E$15)*Parameters!$I$6*ISNUMBER(Q22)+(Parameters!$F$7=Parameters!$E$15)*Parameters!$I$7*ISNUMBER(R22)+(Parameters!$F$8=Parameters!$E$15)*Parameters!$I$8*ISNUMBER(S22)+(Parameters!$F$9=Parameters!$E$15)*Parameters!$I$9*ISNUMBER(T22)+(Parameters!$F$10=Parameters!$E$15)*Parameters!$I$10*ISNUMBER(U22)+(Parameters!$F$11=Parameters!$E$15)*Parameters!$I$11*ISNUMBER(V22)+(Parameters!$F$12=Parameters!$E$15)*Parameters!$I$12*ISNUMBER(W22)),""))</f>
        <v>0.933333333333333</v>
      </c>
      <c r="AA22"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22+(Parameters!$F$12=Parameters!$E$16)*Parameters!$I$12*Y22)=0,"",IF(AND(((Parameters!$F$5=Parameters!$E$16)*Parameters!$I$5*ISNUMBER(P22)+(Parameters!$F$6=Parameters!$E$16)*Parameters!$I$6*ISNUMBER(Q22)+(Parameters!$F$7=Parameters!$E$16)*Parameters!$I$7*ISNUMBER(R22)+(Parameters!$F$8=Parameters!$E$16)*Parameters!$I$8*ISNUMBER(S22)+(Parameters!$F$9=Parameters!$E$16)*Parameters!$I$9*ISNUMBER(T22)+(Parameters!$F$10=Parameters!$E$16)*Parameters!$I$10*ISNUMBER(U22)+(Parameters!$F$11=Parameters!$E$16)*Parameters!$I$11*ISNUMBER(V22)+(Parameters!$F$12=Parameters!$E$16)*Parameters!$I$12*ISNUMBER(W22))&gt;0,((Parameters!$F$5=Parameters!$E$16)*Parameters!$I$5*ISNUMBER(P22)+(Parameters!$F$6=Parameters!$E$16)*Parameters!$I$6*ISNUMBER(Q22)+(Parameters!$F$7=Parameters!$E$16)*Parameters!$I$7*ISNUMBER(R22)+(Parameters!$F$8=Parameters!$E$16)*Parameters!$I$8*ISNUMBER(S22)+(Parameters!$F$9=Parameters!$E$16)*Parameters!$I$9*ISNUMBER(T22)+(Parameters!$F$10=Parameters!$E$16)*Parameters!$I$10*ISNUMBER(U22)+(Parameters!$F$11=Parameters!$E$16)*Parameters!$I$11*ISNUMBER(V22)+(Parameters!$F$12=Parameters!$E$16)*Parameters!$I$12*ISNUMBER(W22))/((Parameters!$F$5=Parameters!$E$16)*Parameters!$I$5*1+(Parameters!$F$6=Parameters!$E$16)*Parameters!$I$6*1+(Parameters!$F$7=Parameters!$E$16)*Parameters!$I$7*1+(Parameters!$F$8=Parameters!$E$16)*Parameters!$I$8*1+(Parameters!$F$9=Parameters!$E$16)*Parameters!$I$9*1+(Parameters!$F$10=Parameters!$E$16)*Parameters!$I$10*1+(Parameters!$F$11=Parameters!$E$16)*Parameters!$I$11*X22+(Parameters!$F$12=Parameters!$E$16)*Parameters!$I$12*Y22)&gt;=Parameters!$B$36),((Parameters!$F$5=Parameters!$E$16)*Parameters!$I$5*N(P22)+(Parameters!$F$6=Parameters!$E$16)*Parameters!$I$6*N(Q22)+(Parameters!$F$7=Parameters!$E$16)*Parameters!$I$7*N(R22)+(Parameters!$F$8=Parameters!$E$16)*Parameters!$I$8*N(S22)+(Parameters!$F$9=Parameters!$E$16)*Parameters!$I$9*N(T22)+(Parameters!$F$10=Parameters!$E$16)*Parameters!$I$10*N(U22)+(Parameters!$F$11=Parameters!$E$16)*Parameters!$I$11*N(V22)+(Parameters!$F$12=Parameters!$E$16)*Parameters!$I$12*N(W22))/((Parameters!$F$5=Parameters!$E$16)*Parameters!$I$5*ISNUMBER(P22)+(Parameters!$F$6=Parameters!$E$16)*Parameters!$I$6*ISNUMBER(Q22)+(Parameters!$F$7=Parameters!$E$16)*Parameters!$I$7*ISNUMBER(R22)+(Parameters!$F$8=Parameters!$E$16)*Parameters!$I$8*ISNUMBER(S22)+(Parameters!$F$9=Parameters!$E$16)*Parameters!$I$9*ISNUMBER(T22)+(Parameters!$F$10=Parameters!$E$16)*Parameters!$I$10*ISNUMBER(U22)+(Parameters!$F$11=Parameters!$E$16)*Parameters!$I$11*ISNUMBER(V22)+(Parameters!$F$12=Parameters!$E$16)*Parameters!$I$12*ISNUMBER(W22)),""))</f>
        <v>0.4</v>
      </c>
      <c r="AB22"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22+(Parameters!$F$12=Parameters!$E$17)*Parameters!$I$12*Y22)=0,"",IF(AND(((Parameters!$F$5=Parameters!$E$17)*Parameters!$I$5*ISNUMBER(P22)+(Parameters!$F$6=Parameters!$E$17)*Parameters!$I$6*ISNUMBER(Q22)+(Parameters!$F$7=Parameters!$E$17)*Parameters!$I$7*ISNUMBER(R22)+(Parameters!$F$8=Parameters!$E$17)*Parameters!$I$8*ISNUMBER(S22)+(Parameters!$F$9=Parameters!$E$17)*Parameters!$I$9*ISNUMBER(T22)+(Parameters!$F$10=Parameters!$E$17)*Parameters!$I$10*ISNUMBER(U22)+(Parameters!$F$11=Parameters!$E$17)*Parameters!$I$11*ISNUMBER(V22)+(Parameters!$F$12=Parameters!$E$17)*Parameters!$I$12*ISNUMBER(W22))&gt;0,((Parameters!$F$5=Parameters!$E$17)*Parameters!$I$5*ISNUMBER(P22)+(Parameters!$F$6=Parameters!$E$17)*Parameters!$I$6*ISNUMBER(Q22)+(Parameters!$F$7=Parameters!$E$17)*Parameters!$I$7*ISNUMBER(R22)+(Parameters!$F$8=Parameters!$E$17)*Parameters!$I$8*ISNUMBER(S22)+(Parameters!$F$9=Parameters!$E$17)*Parameters!$I$9*ISNUMBER(T22)+(Parameters!$F$10=Parameters!$E$17)*Parameters!$I$10*ISNUMBER(U22)+(Parameters!$F$11=Parameters!$E$17)*Parameters!$I$11*ISNUMBER(V22)+(Parameters!$F$12=Parameters!$E$17)*Parameters!$I$12*ISNUMBER(W22))/((Parameters!$F$5=Parameters!$E$17)*Parameters!$I$5*1+(Parameters!$F$6=Parameters!$E$17)*Parameters!$I$6*1+(Parameters!$F$7=Parameters!$E$17)*Parameters!$I$7*1+(Parameters!$F$8=Parameters!$E$17)*Parameters!$I$8*1+(Parameters!$F$9=Parameters!$E$17)*Parameters!$I$9*1+(Parameters!$F$10=Parameters!$E$17)*Parameters!$I$10*1+(Parameters!$F$11=Parameters!$E$17)*Parameters!$I$11*X22+(Parameters!$F$12=Parameters!$E$17)*Parameters!$I$12*Y22)&gt;=Parameters!$B$36),((Parameters!$F$5=Parameters!$E$17)*Parameters!$I$5*N(P22)+(Parameters!$F$6=Parameters!$E$17)*Parameters!$I$6*N(Q22)+(Parameters!$F$7=Parameters!$E$17)*Parameters!$I$7*N(R22)+(Parameters!$F$8=Parameters!$E$17)*Parameters!$I$8*N(S22)+(Parameters!$F$9=Parameters!$E$17)*Parameters!$I$9*N(T22)+(Parameters!$F$10=Parameters!$E$17)*Parameters!$I$10*N(U22)+(Parameters!$F$11=Parameters!$E$17)*Parameters!$I$11*N(V22)+(Parameters!$F$12=Parameters!$E$17)*Parameters!$I$12*N(W22))/((Parameters!$F$5=Parameters!$E$17)*Parameters!$I$5*ISNUMBER(P22)+(Parameters!$F$6=Parameters!$E$17)*Parameters!$I$6*ISNUMBER(Q22)+(Parameters!$F$7=Parameters!$E$17)*Parameters!$I$7*ISNUMBER(R22)+(Parameters!$F$8=Parameters!$E$17)*Parameters!$I$8*ISNUMBER(S22)+(Parameters!$F$9=Parameters!$E$17)*Parameters!$I$9*ISNUMBER(T22)+(Parameters!$F$10=Parameters!$E$17)*Parameters!$I$10*ISNUMBER(U22)+(Parameters!$F$11=Parameters!$E$17)*Parameters!$I$11*ISNUMBER(V22)+(Parameters!$F$12=Parameters!$E$17)*Parameters!$I$12*ISNUMBER(W22)),""))</f>
        <v>0.5</v>
      </c>
      <c r="AC22" s="17" t="n">
        <f aca="false">Parameters!$I$5*ISNUMBER(P22)+Parameters!$I$6*ISNUMBER(Q22)+Parameters!$I$7*ISNUMBER(R22)+Parameters!$I$8*ISNUMBER(S22)+Parameters!$I$9*ISNUMBER(T22)+Parameters!$I$10*ISNUMBER(U22)+Parameters!$I$11*ISNUMBER(V22)+Parameters!$I$12*ISNUMBER(W22)</f>
        <v>95</v>
      </c>
      <c r="AD22" s="17" t="n">
        <f aca="false">Parameters!$I$5*1+Parameters!$I$6*1+Parameters!$I$7*1+Parameters!$I$8*1+Parameters!$I$9*1+Parameters!$I$10*1+Parameters!$I$11*X22+Parameters!$I$12*Y22</f>
        <v>95</v>
      </c>
      <c r="AE22" s="18" t="n">
        <f aca="false">IF(AD22=0,"",AC22/AD22)</f>
        <v>1</v>
      </c>
      <c r="AF22" s="17" t="str">
        <f aca="false">IF(ISNUMBER(Z22),"M","")&amp;IF(ISNUMBER(AA22),"I","")&amp;IF(ISNUMBER(AB22),"O","")</f>
        <v>MIO</v>
      </c>
      <c r="AG22" s="19" t="n">
        <f aca="false">IF(AND(ISNUMBER(AE22),ISNUMBER(Z22)+ISNUMBER(AA22)+ISNUMBER(AB22)&gt;=Parameters!$B$37),IF(AE22&gt;=Parameters!$B$35,100*(Parameters!$F$15*N(Z22)+Parameters!$F$16*N(AA22)+Parameters!$F$17*N(AB22))/(Parameters!$F$15*ISNUMBER(Z22)+Parameters!$F$16*ISNUMBER(AA22)+Parameters!$F$17*ISNUMBER(AB22)),""),"")</f>
        <v>68.6666666666667</v>
      </c>
      <c r="AH22" s="17" t="n">
        <f aca="false">IF(ISNUMBER(AG22),RANK(AG22,$AG$2:$AG$113),"")</f>
        <v>99</v>
      </c>
    </row>
    <row r="23" customFormat="false" ht="15" hidden="false" customHeight="false" outlineLevel="0" collapsed="false">
      <c r="A23" s="5" t="s">
        <v>220</v>
      </c>
      <c r="B23" s="5" t="s">
        <v>221</v>
      </c>
      <c r="C23" s="5" t="s">
        <v>222</v>
      </c>
      <c r="D23" s="5" t="s">
        <v>31</v>
      </c>
      <c r="E23" s="5" t="s">
        <v>44</v>
      </c>
      <c r="F23" s="5" t="s">
        <v>223</v>
      </c>
      <c r="G23" s="15" t="s">
        <v>183</v>
      </c>
      <c r="H23" s="8" t="n">
        <v>0</v>
      </c>
      <c r="I23" s="5" t="s">
        <v>57</v>
      </c>
      <c r="J23" s="5" t="s">
        <v>68</v>
      </c>
      <c r="K23" s="15"/>
      <c r="L23" s="5" t="s">
        <v>85</v>
      </c>
      <c r="M23" s="5" t="s">
        <v>141</v>
      </c>
      <c r="N23" s="5" t="s">
        <v>173</v>
      </c>
      <c r="O23" s="5" t="s">
        <v>197</v>
      </c>
      <c r="P23" s="16" t="n">
        <f aca="false">IFERROR(IF(ISNUMBER(INDEX(Parameters!$B$5:$B$23,MATCH(D23,Parameters!$A$5:$A$23,0))),INDEX(Parameters!$B$5:$B$23,MATCH(D23,Parameters!$A$5:$A$23,0)),""),"")</f>
        <v>1</v>
      </c>
      <c r="Q23" s="16" t="n">
        <f aca="false">IFERROR(IF(ISNUMBER(INDEX(Parameters!$B$5:$B$23,MATCH(E23,Parameters!$A$5:$A$23,0))),INDEX(Parameters!$B$5:$B$23,MATCH(E23,Parameters!$A$5:$A$23,0)),""),"")</f>
        <v>1</v>
      </c>
      <c r="R23" s="16" t="n">
        <f aca="false">IF(F23="","",IFERROR(MIN(Parameters!$B$33,MAX(0,Parameters!$B$32-VALUE(LEFT(F23,4))))/Parameters!$B$33,""))</f>
        <v>1</v>
      </c>
      <c r="S23" s="16" t="n">
        <f aca="false">IF(ISNUMBER(H23),H23,IF(G23="",IF(ISNUMBER(Parameters!$B$34),Parameters!$B$34,""),""))</f>
        <v>0</v>
      </c>
      <c r="T23" s="16" t="n">
        <f aca="false">IFERROR(IF(ISNUMBER(INDEX(Parameters!$B$5:$B$23,MATCH(I23,Parameters!$A$5:$A$23,0))),INDEX(Parameters!$B$5:$B$23,MATCH(I23,Parameters!$A$5:$A$23,0)),""),"")</f>
        <v>0</v>
      </c>
      <c r="U23" s="16" t="n">
        <f aca="false">IFERROR(IF(ISNUMBER(INDEX(Parameters!$B$5:$B$23,MATCH(L23,Parameters!$A$5:$A$23,0))),INDEX(Parameters!$B$5:$B$23,MATCH(L23,Parameters!$A$5:$A$23,0)),""),"")</f>
        <v>0.5</v>
      </c>
      <c r="V23" s="16" t="n">
        <f aca="false">IFERROR(IF(ISNUMBER(INDEX(Parameters!$B$5:$B$23,MATCH(J23,Parameters!$A$5:$A$23,0))),INDEX(Parameters!$B$5:$B$23,MATCH(J23,Parameters!$A$5:$A$23,0)),""),"")</f>
        <v>1</v>
      </c>
      <c r="W23" s="16" t="n">
        <f aca="false">IF(K23&lt;&gt;"",1,IF(COUNTIF(Parameters!$A$27:$A$28,J23)&gt;0,0,""))</f>
        <v>0</v>
      </c>
      <c r="X23" s="17" t="n">
        <f aca="false">IF(J23="Not applicable",0,1)</f>
        <v>1</v>
      </c>
      <c r="Y23" s="17" t="n">
        <f aca="false">IF(OR(K23&lt;&gt;"",COUNTIF(Parameters!$A$27:$A$28,J23)&gt;0),1,0)</f>
        <v>1</v>
      </c>
      <c r="Z23"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23+(Parameters!$F$12=Parameters!$E$15)*Parameters!$I$12*Y23)=0,"",IF(AND(((Parameters!$F$5=Parameters!$E$15)*Parameters!$I$5*ISNUMBER(P23)+(Parameters!$F$6=Parameters!$E$15)*Parameters!$I$6*ISNUMBER(Q23)+(Parameters!$F$7=Parameters!$E$15)*Parameters!$I$7*ISNUMBER(R23)+(Parameters!$F$8=Parameters!$E$15)*Parameters!$I$8*ISNUMBER(S23)+(Parameters!$F$9=Parameters!$E$15)*Parameters!$I$9*ISNUMBER(T23)+(Parameters!$F$10=Parameters!$E$15)*Parameters!$I$10*ISNUMBER(U23)+(Parameters!$F$11=Parameters!$E$15)*Parameters!$I$11*ISNUMBER(V23)+(Parameters!$F$12=Parameters!$E$15)*Parameters!$I$12*ISNUMBER(W23))&gt;0,((Parameters!$F$5=Parameters!$E$15)*Parameters!$I$5*ISNUMBER(P23)+(Parameters!$F$6=Parameters!$E$15)*Parameters!$I$6*ISNUMBER(Q23)+(Parameters!$F$7=Parameters!$E$15)*Parameters!$I$7*ISNUMBER(R23)+(Parameters!$F$8=Parameters!$E$15)*Parameters!$I$8*ISNUMBER(S23)+(Parameters!$F$9=Parameters!$E$15)*Parameters!$I$9*ISNUMBER(T23)+(Parameters!$F$10=Parameters!$E$15)*Parameters!$I$10*ISNUMBER(U23)+(Parameters!$F$11=Parameters!$E$15)*Parameters!$I$11*ISNUMBER(V23)+(Parameters!$F$12=Parameters!$E$15)*Parameters!$I$12*ISNUMBER(W23))/((Parameters!$F$5=Parameters!$E$15)*Parameters!$I$5*1+(Parameters!$F$6=Parameters!$E$15)*Parameters!$I$6*1+(Parameters!$F$7=Parameters!$E$15)*Parameters!$I$7*1+(Parameters!$F$8=Parameters!$E$15)*Parameters!$I$8*1+(Parameters!$F$9=Parameters!$E$15)*Parameters!$I$9*1+(Parameters!$F$10=Parameters!$E$15)*Parameters!$I$10*1+(Parameters!$F$11=Parameters!$E$15)*Parameters!$I$11*X23+(Parameters!$F$12=Parameters!$E$15)*Parameters!$I$12*Y23)&gt;=Parameters!$B$36),((Parameters!$F$5=Parameters!$E$15)*Parameters!$I$5*N(P23)+(Parameters!$F$6=Parameters!$E$15)*Parameters!$I$6*N(Q23)+(Parameters!$F$7=Parameters!$E$15)*Parameters!$I$7*N(R23)+(Parameters!$F$8=Parameters!$E$15)*Parameters!$I$8*N(S23)+(Parameters!$F$9=Parameters!$E$15)*Parameters!$I$9*N(T23)+(Parameters!$F$10=Parameters!$E$15)*Parameters!$I$10*N(U23)+(Parameters!$F$11=Parameters!$E$15)*Parameters!$I$11*N(V23)+(Parameters!$F$12=Parameters!$E$15)*Parameters!$I$12*N(W23))/((Parameters!$F$5=Parameters!$E$15)*Parameters!$I$5*ISNUMBER(P23)+(Parameters!$F$6=Parameters!$E$15)*Parameters!$I$6*ISNUMBER(Q23)+(Parameters!$F$7=Parameters!$E$15)*Parameters!$I$7*ISNUMBER(R23)+(Parameters!$F$8=Parameters!$E$15)*Parameters!$I$8*ISNUMBER(S23)+(Parameters!$F$9=Parameters!$E$15)*Parameters!$I$9*ISNUMBER(T23)+(Parameters!$F$10=Parameters!$E$15)*Parameters!$I$10*ISNUMBER(U23)+(Parameters!$F$11=Parameters!$E$15)*Parameters!$I$11*ISNUMBER(V23)+(Parameters!$F$12=Parameters!$E$15)*Parameters!$I$12*ISNUMBER(W23)),""))</f>
        <v>1</v>
      </c>
      <c r="AA23"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23+(Parameters!$F$12=Parameters!$E$16)*Parameters!$I$12*Y23)=0,"",IF(AND(((Parameters!$F$5=Parameters!$E$16)*Parameters!$I$5*ISNUMBER(P23)+(Parameters!$F$6=Parameters!$E$16)*Parameters!$I$6*ISNUMBER(Q23)+(Parameters!$F$7=Parameters!$E$16)*Parameters!$I$7*ISNUMBER(R23)+(Parameters!$F$8=Parameters!$E$16)*Parameters!$I$8*ISNUMBER(S23)+(Parameters!$F$9=Parameters!$E$16)*Parameters!$I$9*ISNUMBER(T23)+(Parameters!$F$10=Parameters!$E$16)*Parameters!$I$10*ISNUMBER(U23)+(Parameters!$F$11=Parameters!$E$16)*Parameters!$I$11*ISNUMBER(V23)+(Parameters!$F$12=Parameters!$E$16)*Parameters!$I$12*ISNUMBER(W23))&gt;0,((Parameters!$F$5=Parameters!$E$16)*Parameters!$I$5*ISNUMBER(P23)+(Parameters!$F$6=Parameters!$E$16)*Parameters!$I$6*ISNUMBER(Q23)+(Parameters!$F$7=Parameters!$E$16)*Parameters!$I$7*ISNUMBER(R23)+(Parameters!$F$8=Parameters!$E$16)*Parameters!$I$8*ISNUMBER(S23)+(Parameters!$F$9=Parameters!$E$16)*Parameters!$I$9*ISNUMBER(T23)+(Parameters!$F$10=Parameters!$E$16)*Parameters!$I$10*ISNUMBER(U23)+(Parameters!$F$11=Parameters!$E$16)*Parameters!$I$11*ISNUMBER(V23)+(Parameters!$F$12=Parameters!$E$16)*Parameters!$I$12*ISNUMBER(W23))/((Parameters!$F$5=Parameters!$E$16)*Parameters!$I$5*1+(Parameters!$F$6=Parameters!$E$16)*Parameters!$I$6*1+(Parameters!$F$7=Parameters!$E$16)*Parameters!$I$7*1+(Parameters!$F$8=Parameters!$E$16)*Parameters!$I$8*1+(Parameters!$F$9=Parameters!$E$16)*Parameters!$I$9*1+(Parameters!$F$10=Parameters!$E$16)*Parameters!$I$10*1+(Parameters!$F$11=Parameters!$E$16)*Parameters!$I$11*X23+(Parameters!$F$12=Parameters!$E$16)*Parameters!$I$12*Y23)&gt;=Parameters!$B$36),((Parameters!$F$5=Parameters!$E$16)*Parameters!$I$5*N(P23)+(Parameters!$F$6=Parameters!$E$16)*Parameters!$I$6*N(Q23)+(Parameters!$F$7=Parameters!$E$16)*Parameters!$I$7*N(R23)+(Parameters!$F$8=Parameters!$E$16)*Parameters!$I$8*N(S23)+(Parameters!$F$9=Parameters!$E$16)*Parameters!$I$9*N(T23)+(Parameters!$F$10=Parameters!$E$16)*Parameters!$I$10*N(U23)+(Parameters!$F$11=Parameters!$E$16)*Parameters!$I$11*N(V23)+(Parameters!$F$12=Parameters!$E$16)*Parameters!$I$12*N(W23))/((Parameters!$F$5=Parameters!$E$16)*Parameters!$I$5*ISNUMBER(P23)+(Parameters!$F$6=Parameters!$E$16)*Parameters!$I$6*ISNUMBER(Q23)+(Parameters!$F$7=Parameters!$E$16)*Parameters!$I$7*ISNUMBER(R23)+(Parameters!$F$8=Parameters!$E$16)*Parameters!$I$8*ISNUMBER(S23)+(Parameters!$F$9=Parameters!$E$16)*Parameters!$I$9*ISNUMBER(T23)+(Parameters!$F$10=Parameters!$E$16)*Parameters!$I$10*ISNUMBER(U23)+(Parameters!$F$11=Parameters!$E$16)*Parameters!$I$11*ISNUMBER(V23)+(Parameters!$F$12=Parameters!$E$16)*Parameters!$I$12*ISNUMBER(W23)),""))</f>
        <v>0.2</v>
      </c>
      <c r="AB23"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23+(Parameters!$F$12=Parameters!$E$17)*Parameters!$I$12*Y23)=0,"",IF(AND(((Parameters!$F$5=Parameters!$E$17)*Parameters!$I$5*ISNUMBER(P23)+(Parameters!$F$6=Parameters!$E$17)*Parameters!$I$6*ISNUMBER(Q23)+(Parameters!$F$7=Parameters!$E$17)*Parameters!$I$7*ISNUMBER(R23)+(Parameters!$F$8=Parameters!$E$17)*Parameters!$I$8*ISNUMBER(S23)+(Parameters!$F$9=Parameters!$E$17)*Parameters!$I$9*ISNUMBER(T23)+(Parameters!$F$10=Parameters!$E$17)*Parameters!$I$10*ISNUMBER(U23)+(Parameters!$F$11=Parameters!$E$17)*Parameters!$I$11*ISNUMBER(V23)+(Parameters!$F$12=Parameters!$E$17)*Parameters!$I$12*ISNUMBER(W23))&gt;0,((Parameters!$F$5=Parameters!$E$17)*Parameters!$I$5*ISNUMBER(P23)+(Parameters!$F$6=Parameters!$E$17)*Parameters!$I$6*ISNUMBER(Q23)+(Parameters!$F$7=Parameters!$E$17)*Parameters!$I$7*ISNUMBER(R23)+(Parameters!$F$8=Parameters!$E$17)*Parameters!$I$8*ISNUMBER(S23)+(Parameters!$F$9=Parameters!$E$17)*Parameters!$I$9*ISNUMBER(T23)+(Parameters!$F$10=Parameters!$E$17)*Parameters!$I$10*ISNUMBER(U23)+(Parameters!$F$11=Parameters!$E$17)*Parameters!$I$11*ISNUMBER(V23)+(Parameters!$F$12=Parameters!$E$17)*Parameters!$I$12*ISNUMBER(W23))/((Parameters!$F$5=Parameters!$E$17)*Parameters!$I$5*1+(Parameters!$F$6=Parameters!$E$17)*Parameters!$I$6*1+(Parameters!$F$7=Parameters!$E$17)*Parameters!$I$7*1+(Parameters!$F$8=Parameters!$E$17)*Parameters!$I$8*1+(Parameters!$F$9=Parameters!$E$17)*Parameters!$I$9*1+(Parameters!$F$10=Parameters!$E$17)*Parameters!$I$10*1+(Parameters!$F$11=Parameters!$E$17)*Parameters!$I$11*X23+(Parameters!$F$12=Parameters!$E$17)*Parameters!$I$12*Y23)&gt;=Parameters!$B$36),((Parameters!$F$5=Parameters!$E$17)*Parameters!$I$5*N(P23)+(Parameters!$F$6=Parameters!$E$17)*Parameters!$I$6*N(Q23)+(Parameters!$F$7=Parameters!$E$17)*Parameters!$I$7*N(R23)+(Parameters!$F$8=Parameters!$E$17)*Parameters!$I$8*N(S23)+(Parameters!$F$9=Parameters!$E$17)*Parameters!$I$9*N(T23)+(Parameters!$F$10=Parameters!$E$17)*Parameters!$I$10*N(U23)+(Parameters!$F$11=Parameters!$E$17)*Parameters!$I$11*N(V23)+(Parameters!$F$12=Parameters!$E$17)*Parameters!$I$12*N(W23))/((Parameters!$F$5=Parameters!$E$17)*Parameters!$I$5*ISNUMBER(P23)+(Parameters!$F$6=Parameters!$E$17)*Parameters!$I$6*ISNUMBER(Q23)+(Parameters!$F$7=Parameters!$E$17)*Parameters!$I$7*ISNUMBER(R23)+(Parameters!$F$8=Parameters!$E$17)*Parameters!$I$8*ISNUMBER(S23)+(Parameters!$F$9=Parameters!$E$17)*Parameters!$I$9*ISNUMBER(T23)+(Parameters!$F$10=Parameters!$E$17)*Parameters!$I$10*ISNUMBER(U23)+(Parameters!$F$11=Parameters!$E$17)*Parameters!$I$11*ISNUMBER(V23)+(Parameters!$F$12=Parameters!$E$17)*Parameters!$I$12*ISNUMBER(W23)),""))</f>
        <v>0.5</v>
      </c>
      <c r="AC23" s="17" t="n">
        <f aca="false">Parameters!$I$5*ISNUMBER(P23)+Parameters!$I$6*ISNUMBER(Q23)+Parameters!$I$7*ISNUMBER(R23)+Parameters!$I$8*ISNUMBER(S23)+Parameters!$I$9*ISNUMBER(T23)+Parameters!$I$10*ISNUMBER(U23)+Parameters!$I$11*ISNUMBER(V23)+Parameters!$I$12*ISNUMBER(W23)</f>
        <v>95</v>
      </c>
      <c r="AD23" s="17" t="n">
        <f aca="false">Parameters!$I$5*1+Parameters!$I$6*1+Parameters!$I$7*1+Parameters!$I$8*1+Parameters!$I$9*1+Parameters!$I$10*1+Parameters!$I$11*X23+Parameters!$I$12*Y23</f>
        <v>95</v>
      </c>
      <c r="AE23" s="18" t="n">
        <f aca="false">IF(AD23=0,"",AC23/AD23)</f>
        <v>1</v>
      </c>
      <c r="AF23" s="17" t="str">
        <f aca="false">IF(ISNUMBER(Z23),"M","")&amp;IF(ISNUMBER(AA23),"I","")&amp;IF(ISNUMBER(AB23),"O","")</f>
        <v>MIO</v>
      </c>
      <c r="AG23" s="19" t="n">
        <f aca="false">IF(AND(ISNUMBER(AE23),ISNUMBER(Z23)+ISNUMBER(AA23)+ISNUMBER(AB23)&gt;=Parameters!$B$37),IF(AE23&gt;=Parameters!$B$35,100*(Parameters!$F$15*N(Z23)+Parameters!$F$16*N(AA23)+Parameters!$F$17*N(AB23))/(Parameters!$F$15*ISNUMBER(Z23)+Parameters!$F$16*ISNUMBER(AA23)+Parameters!$F$17*ISNUMBER(AB23)),""),"")</f>
        <v>66</v>
      </c>
      <c r="AH23" s="17" t="n">
        <f aca="false">IF(ISNUMBER(AG23),RANK(AG23,$AG$2:$AG$113),"")</f>
        <v>102</v>
      </c>
    </row>
    <row r="24" customFormat="false" ht="15" hidden="false" customHeight="false" outlineLevel="0" collapsed="false">
      <c r="A24" s="5" t="s">
        <v>224</v>
      </c>
      <c r="B24" s="5" t="s">
        <v>225</v>
      </c>
      <c r="C24" s="5" t="s">
        <v>226</v>
      </c>
      <c r="D24" s="5" t="s">
        <v>31</v>
      </c>
      <c r="E24" s="5" t="s">
        <v>44</v>
      </c>
      <c r="F24" s="5" t="s">
        <v>227</v>
      </c>
      <c r="G24" s="15"/>
      <c r="H24" s="8"/>
      <c r="I24" s="5" t="s">
        <v>57</v>
      </c>
      <c r="J24" s="5" t="s">
        <v>74</v>
      </c>
      <c r="K24" s="15"/>
      <c r="L24" s="5" t="s">
        <v>79</v>
      </c>
      <c r="M24" s="5" t="s">
        <v>157</v>
      </c>
      <c r="N24" s="5"/>
      <c r="O24" s="5"/>
      <c r="P24" s="16" t="n">
        <f aca="false">IFERROR(IF(ISNUMBER(INDEX(Parameters!$B$5:$B$23,MATCH(D24,Parameters!$A$5:$A$23,0))),INDEX(Parameters!$B$5:$B$23,MATCH(D24,Parameters!$A$5:$A$23,0)),""),"")</f>
        <v>1</v>
      </c>
      <c r="Q24" s="16" t="n">
        <f aca="false">IFERROR(IF(ISNUMBER(INDEX(Parameters!$B$5:$B$23,MATCH(E24,Parameters!$A$5:$A$23,0))),INDEX(Parameters!$B$5:$B$23,MATCH(E24,Parameters!$A$5:$A$23,0)),""),"")</f>
        <v>1</v>
      </c>
      <c r="R24" s="16" t="n">
        <f aca="false">IF(F24="","",IFERROR(MIN(Parameters!$B$33,MAX(0,Parameters!$B$32-VALUE(LEFT(F24,4))))/Parameters!$B$33,""))</f>
        <v>1</v>
      </c>
      <c r="S24" s="16" t="str">
        <f aca="false">IF(ISNUMBER(H24),H24,IF(G24="",IF(ISNUMBER(Parameters!$B$34),Parameters!$B$34,""),""))</f>
        <v/>
      </c>
      <c r="T24" s="16" t="n">
        <f aca="false">IFERROR(IF(ISNUMBER(INDEX(Parameters!$B$5:$B$23,MATCH(I24,Parameters!$A$5:$A$23,0))),INDEX(Parameters!$B$5:$B$23,MATCH(I24,Parameters!$A$5:$A$23,0)),""),"")</f>
        <v>0</v>
      </c>
      <c r="U24" s="16" t="n">
        <f aca="false">IFERROR(IF(ISNUMBER(INDEX(Parameters!$B$5:$B$23,MATCH(L24,Parameters!$A$5:$A$23,0))),INDEX(Parameters!$B$5:$B$23,MATCH(L24,Parameters!$A$5:$A$23,0)),""),"")</f>
        <v>1</v>
      </c>
      <c r="V24" s="16" t="str">
        <f aca="false">IFERROR(IF(ISNUMBER(INDEX(Parameters!$B$5:$B$23,MATCH(J24,Parameters!$A$5:$A$23,0))),INDEX(Parameters!$B$5:$B$23,MATCH(J24,Parameters!$A$5:$A$23,0)),""),"")</f>
        <v/>
      </c>
      <c r="W24" s="16" t="str">
        <f aca="false">IF(K24&lt;&gt;"",1,IF(COUNTIF(Parameters!$A$27:$A$28,J24)&gt;0,0,""))</f>
        <v/>
      </c>
      <c r="X24" s="17" t="n">
        <f aca="false">IF(J24="Not applicable",0,1)</f>
        <v>0</v>
      </c>
      <c r="Y24" s="17" t="n">
        <f aca="false">IF(OR(K24&lt;&gt;"",COUNTIF(Parameters!$A$27:$A$28,J24)&gt;0),1,0)</f>
        <v>0</v>
      </c>
      <c r="Z24"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24+(Parameters!$F$12=Parameters!$E$15)*Parameters!$I$12*Y24)=0,"",IF(AND(((Parameters!$F$5=Parameters!$E$15)*Parameters!$I$5*ISNUMBER(P24)+(Parameters!$F$6=Parameters!$E$15)*Parameters!$I$6*ISNUMBER(Q24)+(Parameters!$F$7=Parameters!$E$15)*Parameters!$I$7*ISNUMBER(R24)+(Parameters!$F$8=Parameters!$E$15)*Parameters!$I$8*ISNUMBER(S24)+(Parameters!$F$9=Parameters!$E$15)*Parameters!$I$9*ISNUMBER(T24)+(Parameters!$F$10=Parameters!$E$15)*Parameters!$I$10*ISNUMBER(U24)+(Parameters!$F$11=Parameters!$E$15)*Parameters!$I$11*ISNUMBER(V24)+(Parameters!$F$12=Parameters!$E$15)*Parameters!$I$12*ISNUMBER(W24))&gt;0,((Parameters!$F$5=Parameters!$E$15)*Parameters!$I$5*ISNUMBER(P24)+(Parameters!$F$6=Parameters!$E$15)*Parameters!$I$6*ISNUMBER(Q24)+(Parameters!$F$7=Parameters!$E$15)*Parameters!$I$7*ISNUMBER(R24)+(Parameters!$F$8=Parameters!$E$15)*Parameters!$I$8*ISNUMBER(S24)+(Parameters!$F$9=Parameters!$E$15)*Parameters!$I$9*ISNUMBER(T24)+(Parameters!$F$10=Parameters!$E$15)*Parameters!$I$10*ISNUMBER(U24)+(Parameters!$F$11=Parameters!$E$15)*Parameters!$I$11*ISNUMBER(V24)+(Parameters!$F$12=Parameters!$E$15)*Parameters!$I$12*ISNUMBER(W24))/((Parameters!$F$5=Parameters!$E$15)*Parameters!$I$5*1+(Parameters!$F$6=Parameters!$E$15)*Parameters!$I$6*1+(Parameters!$F$7=Parameters!$E$15)*Parameters!$I$7*1+(Parameters!$F$8=Parameters!$E$15)*Parameters!$I$8*1+(Parameters!$F$9=Parameters!$E$15)*Parameters!$I$9*1+(Parameters!$F$10=Parameters!$E$15)*Parameters!$I$10*1+(Parameters!$F$11=Parameters!$E$15)*Parameters!$I$11*X24+(Parameters!$F$12=Parameters!$E$15)*Parameters!$I$12*Y24)&gt;=Parameters!$B$36),((Parameters!$F$5=Parameters!$E$15)*Parameters!$I$5*N(P24)+(Parameters!$F$6=Parameters!$E$15)*Parameters!$I$6*N(Q24)+(Parameters!$F$7=Parameters!$E$15)*Parameters!$I$7*N(R24)+(Parameters!$F$8=Parameters!$E$15)*Parameters!$I$8*N(S24)+(Parameters!$F$9=Parameters!$E$15)*Parameters!$I$9*N(T24)+(Parameters!$F$10=Parameters!$E$15)*Parameters!$I$10*N(U24)+(Parameters!$F$11=Parameters!$E$15)*Parameters!$I$11*N(V24)+(Parameters!$F$12=Parameters!$E$15)*Parameters!$I$12*N(W24))/((Parameters!$F$5=Parameters!$E$15)*Parameters!$I$5*ISNUMBER(P24)+(Parameters!$F$6=Parameters!$E$15)*Parameters!$I$6*ISNUMBER(Q24)+(Parameters!$F$7=Parameters!$E$15)*Parameters!$I$7*ISNUMBER(R24)+(Parameters!$F$8=Parameters!$E$15)*Parameters!$I$8*ISNUMBER(S24)+(Parameters!$F$9=Parameters!$E$15)*Parameters!$I$9*ISNUMBER(T24)+(Parameters!$F$10=Parameters!$E$15)*Parameters!$I$10*ISNUMBER(U24)+(Parameters!$F$11=Parameters!$E$15)*Parameters!$I$11*ISNUMBER(V24)+(Parameters!$F$12=Parameters!$E$15)*Parameters!$I$12*ISNUMBER(W24)),""))</f>
        <v>1</v>
      </c>
      <c r="AA24"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24+(Parameters!$F$12=Parameters!$E$16)*Parameters!$I$12*Y24)=0,"",IF(AND(((Parameters!$F$5=Parameters!$E$16)*Parameters!$I$5*ISNUMBER(P24)+(Parameters!$F$6=Parameters!$E$16)*Parameters!$I$6*ISNUMBER(Q24)+(Parameters!$F$7=Parameters!$E$16)*Parameters!$I$7*ISNUMBER(R24)+(Parameters!$F$8=Parameters!$E$16)*Parameters!$I$8*ISNUMBER(S24)+(Parameters!$F$9=Parameters!$E$16)*Parameters!$I$9*ISNUMBER(T24)+(Parameters!$F$10=Parameters!$E$16)*Parameters!$I$10*ISNUMBER(U24)+(Parameters!$F$11=Parameters!$E$16)*Parameters!$I$11*ISNUMBER(V24)+(Parameters!$F$12=Parameters!$E$16)*Parameters!$I$12*ISNUMBER(W24))&gt;0,((Parameters!$F$5=Parameters!$E$16)*Parameters!$I$5*ISNUMBER(P24)+(Parameters!$F$6=Parameters!$E$16)*Parameters!$I$6*ISNUMBER(Q24)+(Parameters!$F$7=Parameters!$E$16)*Parameters!$I$7*ISNUMBER(R24)+(Parameters!$F$8=Parameters!$E$16)*Parameters!$I$8*ISNUMBER(S24)+(Parameters!$F$9=Parameters!$E$16)*Parameters!$I$9*ISNUMBER(T24)+(Parameters!$F$10=Parameters!$E$16)*Parameters!$I$10*ISNUMBER(U24)+(Parameters!$F$11=Parameters!$E$16)*Parameters!$I$11*ISNUMBER(V24)+(Parameters!$F$12=Parameters!$E$16)*Parameters!$I$12*ISNUMBER(W24))/((Parameters!$F$5=Parameters!$E$16)*Parameters!$I$5*1+(Parameters!$F$6=Parameters!$E$16)*Parameters!$I$6*1+(Parameters!$F$7=Parameters!$E$16)*Parameters!$I$7*1+(Parameters!$F$8=Parameters!$E$16)*Parameters!$I$8*1+(Parameters!$F$9=Parameters!$E$16)*Parameters!$I$9*1+(Parameters!$F$10=Parameters!$E$16)*Parameters!$I$10*1+(Parameters!$F$11=Parameters!$E$16)*Parameters!$I$11*X24+(Parameters!$F$12=Parameters!$E$16)*Parameters!$I$12*Y24)&gt;=Parameters!$B$36),((Parameters!$F$5=Parameters!$E$16)*Parameters!$I$5*N(P24)+(Parameters!$F$6=Parameters!$E$16)*Parameters!$I$6*N(Q24)+(Parameters!$F$7=Parameters!$E$16)*Parameters!$I$7*N(R24)+(Parameters!$F$8=Parameters!$E$16)*Parameters!$I$8*N(S24)+(Parameters!$F$9=Parameters!$E$16)*Parameters!$I$9*N(T24)+(Parameters!$F$10=Parameters!$E$16)*Parameters!$I$10*N(U24)+(Parameters!$F$11=Parameters!$E$16)*Parameters!$I$11*N(V24)+(Parameters!$F$12=Parameters!$E$16)*Parameters!$I$12*N(W24))/((Parameters!$F$5=Parameters!$E$16)*Parameters!$I$5*ISNUMBER(P24)+(Parameters!$F$6=Parameters!$E$16)*Parameters!$I$6*ISNUMBER(Q24)+(Parameters!$F$7=Parameters!$E$16)*Parameters!$I$7*ISNUMBER(R24)+(Parameters!$F$8=Parameters!$E$16)*Parameters!$I$8*ISNUMBER(S24)+(Parameters!$F$9=Parameters!$E$16)*Parameters!$I$9*ISNUMBER(T24)+(Parameters!$F$10=Parameters!$E$16)*Parameters!$I$10*ISNUMBER(U24)+(Parameters!$F$11=Parameters!$E$16)*Parameters!$I$11*ISNUMBER(V24)+(Parameters!$F$12=Parameters!$E$16)*Parameters!$I$12*ISNUMBER(W24)),""))</f>
        <v>0.666666666666667</v>
      </c>
      <c r="AB24"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24+(Parameters!$F$12=Parameters!$E$17)*Parameters!$I$12*Y24)=0,"",IF(AND(((Parameters!$F$5=Parameters!$E$17)*Parameters!$I$5*ISNUMBER(P24)+(Parameters!$F$6=Parameters!$E$17)*Parameters!$I$6*ISNUMBER(Q24)+(Parameters!$F$7=Parameters!$E$17)*Parameters!$I$7*ISNUMBER(R24)+(Parameters!$F$8=Parameters!$E$17)*Parameters!$I$8*ISNUMBER(S24)+(Parameters!$F$9=Parameters!$E$17)*Parameters!$I$9*ISNUMBER(T24)+(Parameters!$F$10=Parameters!$E$17)*Parameters!$I$10*ISNUMBER(U24)+(Parameters!$F$11=Parameters!$E$17)*Parameters!$I$11*ISNUMBER(V24)+(Parameters!$F$12=Parameters!$E$17)*Parameters!$I$12*ISNUMBER(W24))&gt;0,((Parameters!$F$5=Parameters!$E$17)*Parameters!$I$5*ISNUMBER(P24)+(Parameters!$F$6=Parameters!$E$17)*Parameters!$I$6*ISNUMBER(Q24)+(Parameters!$F$7=Parameters!$E$17)*Parameters!$I$7*ISNUMBER(R24)+(Parameters!$F$8=Parameters!$E$17)*Parameters!$I$8*ISNUMBER(S24)+(Parameters!$F$9=Parameters!$E$17)*Parameters!$I$9*ISNUMBER(T24)+(Parameters!$F$10=Parameters!$E$17)*Parameters!$I$10*ISNUMBER(U24)+(Parameters!$F$11=Parameters!$E$17)*Parameters!$I$11*ISNUMBER(V24)+(Parameters!$F$12=Parameters!$E$17)*Parameters!$I$12*ISNUMBER(W24))/((Parameters!$F$5=Parameters!$E$17)*Parameters!$I$5*1+(Parameters!$F$6=Parameters!$E$17)*Parameters!$I$6*1+(Parameters!$F$7=Parameters!$E$17)*Parameters!$I$7*1+(Parameters!$F$8=Parameters!$E$17)*Parameters!$I$8*1+(Parameters!$F$9=Parameters!$E$17)*Parameters!$I$9*1+(Parameters!$F$10=Parameters!$E$17)*Parameters!$I$10*1+(Parameters!$F$11=Parameters!$E$17)*Parameters!$I$11*X24+(Parameters!$F$12=Parameters!$E$17)*Parameters!$I$12*Y24)&gt;=Parameters!$B$36),((Parameters!$F$5=Parameters!$E$17)*Parameters!$I$5*N(P24)+(Parameters!$F$6=Parameters!$E$17)*Parameters!$I$6*N(Q24)+(Parameters!$F$7=Parameters!$E$17)*Parameters!$I$7*N(R24)+(Parameters!$F$8=Parameters!$E$17)*Parameters!$I$8*N(S24)+(Parameters!$F$9=Parameters!$E$17)*Parameters!$I$9*N(T24)+(Parameters!$F$10=Parameters!$E$17)*Parameters!$I$10*N(U24)+(Parameters!$F$11=Parameters!$E$17)*Parameters!$I$11*N(V24)+(Parameters!$F$12=Parameters!$E$17)*Parameters!$I$12*N(W24))/((Parameters!$F$5=Parameters!$E$17)*Parameters!$I$5*ISNUMBER(P24)+(Parameters!$F$6=Parameters!$E$17)*Parameters!$I$6*ISNUMBER(Q24)+(Parameters!$F$7=Parameters!$E$17)*Parameters!$I$7*ISNUMBER(R24)+(Parameters!$F$8=Parameters!$E$17)*Parameters!$I$8*ISNUMBER(S24)+(Parameters!$F$9=Parameters!$E$17)*Parameters!$I$9*ISNUMBER(T24)+(Parameters!$F$10=Parameters!$E$17)*Parameters!$I$10*ISNUMBER(U24)+(Parameters!$F$11=Parameters!$E$17)*Parameters!$I$11*ISNUMBER(V24)+(Parameters!$F$12=Parameters!$E$17)*Parameters!$I$12*ISNUMBER(W24)),""))</f>
        <v/>
      </c>
      <c r="AC24" s="17" t="n">
        <f aca="false">Parameters!$I$5*ISNUMBER(P24)+Parameters!$I$6*ISNUMBER(Q24)+Parameters!$I$7*ISNUMBER(R24)+Parameters!$I$8*ISNUMBER(S24)+Parameters!$I$9*ISNUMBER(T24)+Parameters!$I$10*ISNUMBER(U24)+Parameters!$I$11*ISNUMBER(V24)+Parameters!$I$12*ISNUMBER(W24)</f>
        <v>65</v>
      </c>
      <c r="AD24" s="17" t="n">
        <f aca="false">Parameters!$I$5*1+Parameters!$I$6*1+Parameters!$I$7*1+Parameters!$I$8*1+Parameters!$I$9*1+Parameters!$I$10*1+Parameters!$I$11*X24+Parameters!$I$12*Y24</f>
        <v>75</v>
      </c>
      <c r="AE24" s="18" t="n">
        <f aca="false">IF(AD24=0,"",AC24/AD24)</f>
        <v>0.866666666666667</v>
      </c>
      <c r="AF24" s="17" t="str">
        <f aca="false">IF(ISNUMBER(Z24),"M","")&amp;IF(ISNUMBER(AA24),"I","")&amp;IF(ISNUMBER(AB24),"O","")</f>
        <v>MI</v>
      </c>
      <c r="AG24" s="19" t="n">
        <f aca="false">IF(AND(ISNUMBER(AE24),ISNUMBER(Z24)+ISNUMBER(AA24)+ISNUMBER(AB24)&gt;=Parameters!$B$37),IF(AE24&gt;=Parameters!$B$35,100*(Parameters!$F$15*N(Z24)+Parameters!$F$16*N(AA24)+Parameters!$F$17*N(AB24))/(Parameters!$F$15*ISNUMBER(Z24)+Parameters!$F$16*ISNUMBER(AA24)+Parameters!$F$17*ISNUMBER(AB24)),""),"")</f>
        <v>87.5</v>
      </c>
      <c r="AH24" s="17" t="n">
        <f aca="false">IF(ISNUMBER(AG24),RANK(AG24,$AG$2:$AG$113),"")</f>
        <v>40</v>
      </c>
    </row>
    <row r="25" customFormat="false" ht="15" hidden="false" customHeight="false" outlineLevel="0" collapsed="false">
      <c r="A25" s="5" t="s">
        <v>228</v>
      </c>
      <c r="B25" s="5" t="s">
        <v>229</v>
      </c>
      <c r="C25" s="5" t="s">
        <v>160</v>
      </c>
      <c r="D25" s="5" t="s">
        <v>31</v>
      </c>
      <c r="E25" s="5" t="s">
        <v>44</v>
      </c>
      <c r="F25" s="5" t="s">
        <v>223</v>
      </c>
      <c r="G25" s="15"/>
      <c r="H25" s="8"/>
      <c r="I25" s="5" t="s">
        <v>57</v>
      </c>
      <c r="J25" s="5" t="s">
        <v>74</v>
      </c>
      <c r="K25" s="15"/>
      <c r="L25" s="5" t="s">
        <v>76</v>
      </c>
      <c r="M25" s="5" t="s">
        <v>136</v>
      </c>
      <c r="N25" s="5"/>
      <c r="O25" s="5"/>
      <c r="P25" s="16" t="n">
        <f aca="false">IFERROR(IF(ISNUMBER(INDEX(Parameters!$B$5:$B$23,MATCH(D25,Parameters!$A$5:$A$23,0))),INDEX(Parameters!$B$5:$B$23,MATCH(D25,Parameters!$A$5:$A$23,0)),""),"")</f>
        <v>1</v>
      </c>
      <c r="Q25" s="16" t="n">
        <f aca="false">IFERROR(IF(ISNUMBER(INDEX(Parameters!$B$5:$B$23,MATCH(E25,Parameters!$A$5:$A$23,0))),INDEX(Parameters!$B$5:$B$23,MATCH(E25,Parameters!$A$5:$A$23,0)),""),"")</f>
        <v>1</v>
      </c>
      <c r="R25" s="16" t="n">
        <f aca="false">IF(F25="","",IFERROR(MIN(Parameters!$B$33,MAX(0,Parameters!$B$32-VALUE(LEFT(F25,4))))/Parameters!$B$33,""))</f>
        <v>1</v>
      </c>
      <c r="S25" s="16" t="str">
        <f aca="false">IF(ISNUMBER(H25),H25,IF(G25="",IF(ISNUMBER(Parameters!$B$34),Parameters!$B$34,""),""))</f>
        <v/>
      </c>
      <c r="T25" s="16" t="n">
        <f aca="false">IFERROR(IF(ISNUMBER(INDEX(Parameters!$B$5:$B$23,MATCH(I25,Parameters!$A$5:$A$23,0))),INDEX(Parameters!$B$5:$B$23,MATCH(I25,Parameters!$A$5:$A$23,0)),""),"")</f>
        <v>0</v>
      </c>
      <c r="U25" s="16" t="n">
        <f aca="false">IFERROR(IF(ISNUMBER(INDEX(Parameters!$B$5:$B$23,MATCH(L25,Parameters!$A$5:$A$23,0))),INDEX(Parameters!$B$5:$B$23,MATCH(L25,Parameters!$A$5:$A$23,0)),""),"")</f>
        <v>1</v>
      </c>
      <c r="V25" s="16" t="str">
        <f aca="false">IFERROR(IF(ISNUMBER(INDEX(Parameters!$B$5:$B$23,MATCH(J25,Parameters!$A$5:$A$23,0))),INDEX(Parameters!$B$5:$B$23,MATCH(J25,Parameters!$A$5:$A$23,0)),""),"")</f>
        <v/>
      </c>
      <c r="W25" s="16" t="str">
        <f aca="false">IF(K25&lt;&gt;"",1,IF(COUNTIF(Parameters!$A$27:$A$28,J25)&gt;0,0,""))</f>
        <v/>
      </c>
      <c r="X25" s="17" t="n">
        <f aca="false">IF(J25="Not applicable",0,1)</f>
        <v>0</v>
      </c>
      <c r="Y25" s="17" t="n">
        <f aca="false">IF(OR(K25&lt;&gt;"",COUNTIF(Parameters!$A$27:$A$28,J25)&gt;0),1,0)</f>
        <v>0</v>
      </c>
      <c r="Z25"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25+(Parameters!$F$12=Parameters!$E$15)*Parameters!$I$12*Y25)=0,"",IF(AND(((Parameters!$F$5=Parameters!$E$15)*Parameters!$I$5*ISNUMBER(P25)+(Parameters!$F$6=Parameters!$E$15)*Parameters!$I$6*ISNUMBER(Q25)+(Parameters!$F$7=Parameters!$E$15)*Parameters!$I$7*ISNUMBER(R25)+(Parameters!$F$8=Parameters!$E$15)*Parameters!$I$8*ISNUMBER(S25)+(Parameters!$F$9=Parameters!$E$15)*Parameters!$I$9*ISNUMBER(T25)+(Parameters!$F$10=Parameters!$E$15)*Parameters!$I$10*ISNUMBER(U25)+(Parameters!$F$11=Parameters!$E$15)*Parameters!$I$11*ISNUMBER(V25)+(Parameters!$F$12=Parameters!$E$15)*Parameters!$I$12*ISNUMBER(W25))&gt;0,((Parameters!$F$5=Parameters!$E$15)*Parameters!$I$5*ISNUMBER(P25)+(Parameters!$F$6=Parameters!$E$15)*Parameters!$I$6*ISNUMBER(Q25)+(Parameters!$F$7=Parameters!$E$15)*Parameters!$I$7*ISNUMBER(R25)+(Parameters!$F$8=Parameters!$E$15)*Parameters!$I$8*ISNUMBER(S25)+(Parameters!$F$9=Parameters!$E$15)*Parameters!$I$9*ISNUMBER(T25)+(Parameters!$F$10=Parameters!$E$15)*Parameters!$I$10*ISNUMBER(U25)+(Parameters!$F$11=Parameters!$E$15)*Parameters!$I$11*ISNUMBER(V25)+(Parameters!$F$12=Parameters!$E$15)*Parameters!$I$12*ISNUMBER(W25))/((Parameters!$F$5=Parameters!$E$15)*Parameters!$I$5*1+(Parameters!$F$6=Parameters!$E$15)*Parameters!$I$6*1+(Parameters!$F$7=Parameters!$E$15)*Parameters!$I$7*1+(Parameters!$F$8=Parameters!$E$15)*Parameters!$I$8*1+(Parameters!$F$9=Parameters!$E$15)*Parameters!$I$9*1+(Parameters!$F$10=Parameters!$E$15)*Parameters!$I$10*1+(Parameters!$F$11=Parameters!$E$15)*Parameters!$I$11*X25+(Parameters!$F$12=Parameters!$E$15)*Parameters!$I$12*Y25)&gt;=Parameters!$B$36),((Parameters!$F$5=Parameters!$E$15)*Parameters!$I$5*N(P25)+(Parameters!$F$6=Parameters!$E$15)*Parameters!$I$6*N(Q25)+(Parameters!$F$7=Parameters!$E$15)*Parameters!$I$7*N(R25)+(Parameters!$F$8=Parameters!$E$15)*Parameters!$I$8*N(S25)+(Parameters!$F$9=Parameters!$E$15)*Parameters!$I$9*N(T25)+(Parameters!$F$10=Parameters!$E$15)*Parameters!$I$10*N(U25)+(Parameters!$F$11=Parameters!$E$15)*Parameters!$I$11*N(V25)+(Parameters!$F$12=Parameters!$E$15)*Parameters!$I$12*N(W25))/((Parameters!$F$5=Parameters!$E$15)*Parameters!$I$5*ISNUMBER(P25)+(Parameters!$F$6=Parameters!$E$15)*Parameters!$I$6*ISNUMBER(Q25)+(Parameters!$F$7=Parameters!$E$15)*Parameters!$I$7*ISNUMBER(R25)+(Parameters!$F$8=Parameters!$E$15)*Parameters!$I$8*ISNUMBER(S25)+(Parameters!$F$9=Parameters!$E$15)*Parameters!$I$9*ISNUMBER(T25)+(Parameters!$F$10=Parameters!$E$15)*Parameters!$I$10*ISNUMBER(U25)+(Parameters!$F$11=Parameters!$E$15)*Parameters!$I$11*ISNUMBER(V25)+(Parameters!$F$12=Parameters!$E$15)*Parameters!$I$12*ISNUMBER(W25)),""))</f>
        <v>1</v>
      </c>
      <c r="AA25"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25+(Parameters!$F$12=Parameters!$E$16)*Parameters!$I$12*Y25)=0,"",IF(AND(((Parameters!$F$5=Parameters!$E$16)*Parameters!$I$5*ISNUMBER(P25)+(Parameters!$F$6=Parameters!$E$16)*Parameters!$I$6*ISNUMBER(Q25)+(Parameters!$F$7=Parameters!$E$16)*Parameters!$I$7*ISNUMBER(R25)+(Parameters!$F$8=Parameters!$E$16)*Parameters!$I$8*ISNUMBER(S25)+(Parameters!$F$9=Parameters!$E$16)*Parameters!$I$9*ISNUMBER(T25)+(Parameters!$F$10=Parameters!$E$16)*Parameters!$I$10*ISNUMBER(U25)+(Parameters!$F$11=Parameters!$E$16)*Parameters!$I$11*ISNUMBER(V25)+(Parameters!$F$12=Parameters!$E$16)*Parameters!$I$12*ISNUMBER(W25))&gt;0,((Parameters!$F$5=Parameters!$E$16)*Parameters!$I$5*ISNUMBER(P25)+(Parameters!$F$6=Parameters!$E$16)*Parameters!$I$6*ISNUMBER(Q25)+(Parameters!$F$7=Parameters!$E$16)*Parameters!$I$7*ISNUMBER(R25)+(Parameters!$F$8=Parameters!$E$16)*Parameters!$I$8*ISNUMBER(S25)+(Parameters!$F$9=Parameters!$E$16)*Parameters!$I$9*ISNUMBER(T25)+(Parameters!$F$10=Parameters!$E$16)*Parameters!$I$10*ISNUMBER(U25)+(Parameters!$F$11=Parameters!$E$16)*Parameters!$I$11*ISNUMBER(V25)+(Parameters!$F$12=Parameters!$E$16)*Parameters!$I$12*ISNUMBER(W25))/((Parameters!$F$5=Parameters!$E$16)*Parameters!$I$5*1+(Parameters!$F$6=Parameters!$E$16)*Parameters!$I$6*1+(Parameters!$F$7=Parameters!$E$16)*Parameters!$I$7*1+(Parameters!$F$8=Parameters!$E$16)*Parameters!$I$8*1+(Parameters!$F$9=Parameters!$E$16)*Parameters!$I$9*1+(Parameters!$F$10=Parameters!$E$16)*Parameters!$I$10*1+(Parameters!$F$11=Parameters!$E$16)*Parameters!$I$11*X25+(Parameters!$F$12=Parameters!$E$16)*Parameters!$I$12*Y25)&gt;=Parameters!$B$36),((Parameters!$F$5=Parameters!$E$16)*Parameters!$I$5*N(P25)+(Parameters!$F$6=Parameters!$E$16)*Parameters!$I$6*N(Q25)+(Parameters!$F$7=Parameters!$E$16)*Parameters!$I$7*N(R25)+(Parameters!$F$8=Parameters!$E$16)*Parameters!$I$8*N(S25)+(Parameters!$F$9=Parameters!$E$16)*Parameters!$I$9*N(T25)+(Parameters!$F$10=Parameters!$E$16)*Parameters!$I$10*N(U25)+(Parameters!$F$11=Parameters!$E$16)*Parameters!$I$11*N(V25)+(Parameters!$F$12=Parameters!$E$16)*Parameters!$I$12*N(W25))/((Parameters!$F$5=Parameters!$E$16)*Parameters!$I$5*ISNUMBER(P25)+(Parameters!$F$6=Parameters!$E$16)*Parameters!$I$6*ISNUMBER(Q25)+(Parameters!$F$7=Parameters!$E$16)*Parameters!$I$7*ISNUMBER(R25)+(Parameters!$F$8=Parameters!$E$16)*Parameters!$I$8*ISNUMBER(S25)+(Parameters!$F$9=Parameters!$E$16)*Parameters!$I$9*ISNUMBER(T25)+(Parameters!$F$10=Parameters!$E$16)*Parameters!$I$10*ISNUMBER(U25)+(Parameters!$F$11=Parameters!$E$16)*Parameters!$I$11*ISNUMBER(V25)+(Parameters!$F$12=Parameters!$E$16)*Parameters!$I$12*ISNUMBER(W25)),""))</f>
        <v>0.666666666666667</v>
      </c>
      <c r="AB25"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25+(Parameters!$F$12=Parameters!$E$17)*Parameters!$I$12*Y25)=0,"",IF(AND(((Parameters!$F$5=Parameters!$E$17)*Parameters!$I$5*ISNUMBER(P25)+(Parameters!$F$6=Parameters!$E$17)*Parameters!$I$6*ISNUMBER(Q25)+(Parameters!$F$7=Parameters!$E$17)*Parameters!$I$7*ISNUMBER(R25)+(Parameters!$F$8=Parameters!$E$17)*Parameters!$I$8*ISNUMBER(S25)+(Parameters!$F$9=Parameters!$E$17)*Parameters!$I$9*ISNUMBER(T25)+(Parameters!$F$10=Parameters!$E$17)*Parameters!$I$10*ISNUMBER(U25)+(Parameters!$F$11=Parameters!$E$17)*Parameters!$I$11*ISNUMBER(V25)+(Parameters!$F$12=Parameters!$E$17)*Parameters!$I$12*ISNUMBER(W25))&gt;0,((Parameters!$F$5=Parameters!$E$17)*Parameters!$I$5*ISNUMBER(P25)+(Parameters!$F$6=Parameters!$E$17)*Parameters!$I$6*ISNUMBER(Q25)+(Parameters!$F$7=Parameters!$E$17)*Parameters!$I$7*ISNUMBER(R25)+(Parameters!$F$8=Parameters!$E$17)*Parameters!$I$8*ISNUMBER(S25)+(Parameters!$F$9=Parameters!$E$17)*Parameters!$I$9*ISNUMBER(T25)+(Parameters!$F$10=Parameters!$E$17)*Parameters!$I$10*ISNUMBER(U25)+(Parameters!$F$11=Parameters!$E$17)*Parameters!$I$11*ISNUMBER(V25)+(Parameters!$F$12=Parameters!$E$17)*Parameters!$I$12*ISNUMBER(W25))/((Parameters!$F$5=Parameters!$E$17)*Parameters!$I$5*1+(Parameters!$F$6=Parameters!$E$17)*Parameters!$I$6*1+(Parameters!$F$7=Parameters!$E$17)*Parameters!$I$7*1+(Parameters!$F$8=Parameters!$E$17)*Parameters!$I$8*1+(Parameters!$F$9=Parameters!$E$17)*Parameters!$I$9*1+(Parameters!$F$10=Parameters!$E$17)*Parameters!$I$10*1+(Parameters!$F$11=Parameters!$E$17)*Parameters!$I$11*X25+(Parameters!$F$12=Parameters!$E$17)*Parameters!$I$12*Y25)&gt;=Parameters!$B$36),((Parameters!$F$5=Parameters!$E$17)*Parameters!$I$5*N(P25)+(Parameters!$F$6=Parameters!$E$17)*Parameters!$I$6*N(Q25)+(Parameters!$F$7=Parameters!$E$17)*Parameters!$I$7*N(R25)+(Parameters!$F$8=Parameters!$E$17)*Parameters!$I$8*N(S25)+(Parameters!$F$9=Parameters!$E$17)*Parameters!$I$9*N(T25)+(Parameters!$F$10=Parameters!$E$17)*Parameters!$I$10*N(U25)+(Parameters!$F$11=Parameters!$E$17)*Parameters!$I$11*N(V25)+(Parameters!$F$12=Parameters!$E$17)*Parameters!$I$12*N(W25))/((Parameters!$F$5=Parameters!$E$17)*Parameters!$I$5*ISNUMBER(P25)+(Parameters!$F$6=Parameters!$E$17)*Parameters!$I$6*ISNUMBER(Q25)+(Parameters!$F$7=Parameters!$E$17)*Parameters!$I$7*ISNUMBER(R25)+(Parameters!$F$8=Parameters!$E$17)*Parameters!$I$8*ISNUMBER(S25)+(Parameters!$F$9=Parameters!$E$17)*Parameters!$I$9*ISNUMBER(T25)+(Parameters!$F$10=Parameters!$E$17)*Parameters!$I$10*ISNUMBER(U25)+(Parameters!$F$11=Parameters!$E$17)*Parameters!$I$11*ISNUMBER(V25)+(Parameters!$F$12=Parameters!$E$17)*Parameters!$I$12*ISNUMBER(W25)),""))</f>
        <v/>
      </c>
      <c r="AC25" s="17" t="n">
        <f aca="false">Parameters!$I$5*ISNUMBER(P25)+Parameters!$I$6*ISNUMBER(Q25)+Parameters!$I$7*ISNUMBER(R25)+Parameters!$I$8*ISNUMBER(S25)+Parameters!$I$9*ISNUMBER(T25)+Parameters!$I$10*ISNUMBER(U25)+Parameters!$I$11*ISNUMBER(V25)+Parameters!$I$12*ISNUMBER(W25)</f>
        <v>65</v>
      </c>
      <c r="AD25" s="17" t="n">
        <f aca="false">Parameters!$I$5*1+Parameters!$I$6*1+Parameters!$I$7*1+Parameters!$I$8*1+Parameters!$I$9*1+Parameters!$I$10*1+Parameters!$I$11*X25+Parameters!$I$12*Y25</f>
        <v>75</v>
      </c>
      <c r="AE25" s="18" t="n">
        <f aca="false">IF(AD25=0,"",AC25/AD25)</f>
        <v>0.866666666666667</v>
      </c>
      <c r="AF25" s="17" t="str">
        <f aca="false">IF(ISNUMBER(Z25),"M","")&amp;IF(ISNUMBER(AA25),"I","")&amp;IF(ISNUMBER(AB25),"O","")</f>
        <v>MI</v>
      </c>
      <c r="AG25" s="19" t="n">
        <f aca="false">IF(AND(ISNUMBER(AE25),ISNUMBER(Z25)+ISNUMBER(AA25)+ISNUMBER(AB25)&gt;=Parameters!$B$37),IF(AE25&gt;=Parameters!$B$35,100*(Parameters!$F$15*N(Z25)+Parameters!$F$16*N(AA25)+Parameters!$F$17*N(AB25))/(Parameters!$F$15*ISNUMBER(Z25)+Parameters!$F$16*ISNUMBER(AA25)+Parameters!$F$17*ISNUMBER(AB25)),""),"")</f>
        <v>87.5</v>
      </c>
      <c r="AH25" s="17" t="n">
        <f aca="false">IF(ISNUMBER(AG25),RANK(AG25,$AG$2:$AG$113),"")</f>
        <v>40</v>
      </c>
    </row>
    <row r="26" customFormat="false" ht="15" hidden="false" customHeight="false" outlineLevel="0" collapsed="false">
      <c r="A26" s="5" t="s">
        <v>230</v>
      </c>
      <c r="B26" s="5" t="s">
        <v>231</v>
      </c>
      <c r="C26" s="5" t="s">
        <v>160</v>
      </c>
      <c r="D26" s="5" t="s">
        <v>36</v>
      </c>
      <c r="E26" s="5" t="s">
        <v>44</v>
      </c>
      <c r="F26" s="5" t="s">
        <v>161</v>
      </c>
      <c r="G26" s="15"/>
      <c r="H26" s="8"/>
      <c r="I26" s="5" t="s">
        <v>57</v>
      </c>
      <c r="J26" s="5" t="s">
        <v>74</v>
      </c>
      <c r="K26" s="15"/>
      <c r="L26" s="5" t="s">
        <v>76</v>
      </c>
      <c r="M26" s="5" t="s">
        <v>136</v>
      </c>
      <c r="N26" s="5"/>
      <c r="O26" s="5"/>
      <c r="P26" s="16" t="n">
        <f aca="false">IFERROR(IF(ISNUMBER(INDEX(Parameters!$B$5:$B$23,MATCH(D26,Parameters!$A$5:$A$23,0))),INDEX(Parameters!$B$5:$B$23,MATCH(D26,Parameters!$A$5:$A$23,0)),""),"")</f>
        <v>0.888888888888889</v>
      </c>
      <c r="Q26" s="16" t="n">
        <f aca="false">IFERROR(IF(ISNUMBER(INDEX(Parameters!$B$5:$B$23,MATCH(E26,Parameters!$A$5:$A$23,0))),INDEX(Parameters!$B$5:$B$23,MATCH(E26,Parameters!$A$5:$A$23,0)),""),"")</f>
        <v>1</v>
      </c>
      <c r="R26" s="16" t="n">
        <f aca="false">IF(F26="","",IFERROR(MIN(Parameters!$B$33,MAX(0,Parameters!$B$32-VALUE(LEFT(F26,4))))/Parameters!$B$33,""))</f>
        <v>1</v>
      </c>
      <c r="S26" s="16" t="str">
        <f aca="false">IF(ISNUMBER(H26),H26,IF(G26="",IF(ISNUMBER(Parameters!$B$34),Parameters!$B$34,""),""))</f>
        <v/>
      </c>
      <c r="T26" s="16" t="n">
        <f aca="false">IFERROR(IF(ISNUMBER(INDEX(Parameters!$B$5:$B$23,MATCH(I26,Parameters!$A$5:$A$23,0))),INDEX(Parameters!$B$5:$B$23,MATCH(I26,Parameters!$A$5:$A$23,0)),""),"")</f>
        <v>0</v>
      </c>
      <c r="U26" s="16" t="n">
        <f aca="false">IFERROR(IF(ISNUMBER(INDEX(Parameters!$B$5:$B$23,MATCH(L26,Parameters!$A$5:$A$23,0))),INDEX(Parameters!$B$5:$B$23,MATCH(L26,Parameters!$A$5:$A$23,0)),""),"")</f>
        <v>1</v>
      </c>
      <c r="V26" s="16" t="str">
        <f aca="false">IFERROR(IF(ISNUMBER(INDEX(Parameters!$B$5:$B$23,MATCH(J26,Parameters!$A$5:$A$23,0))),INDEX(Parameters!$B$5:$B$23,MATCH(J26,Parameters!$A$5:$A$23,0)),""),"")</f>
        <v/>
      </c>
      <c r="W26" s="16" t="str">
        <f aca="false">IF(K26&lt;&gt;"",1,IF(COUNTIF(Parameters!$A$27:$A$28,J26)&gt;0,0,""))</f>
        <v/>
      </c>
      <c r="X26" s="17" t="n">
        <f aca="false">IF(J26="Not applicable",0,1)</f>
        <v>0</v>
      </c>
      <c r="Y26" s="17" t="n">
        <f aca="false">IF(OR(K26&lt;&gt;"",COUNTIF(Parameters!$A$27:$A$28,J26)&gt;0),1,0)</f>
        <v>0</v>
      </c>
      <c r="Z26"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26+(Parameters!$F$12=Parameters!$E$15)*Parameters!$I$12*Y26)=0,"",IF(AND(((Parameters!$F$5=Parameters!$E$15)*Parameters!$I$5*ISNUMBER(P26)+(Parameters!$F$6=Parameters!$E$15)*Parameters!$I$6*ISNUMBER(Q26)+(Parameters!$F$7=Parameters!$E$15)*Parameters!$I$7*ISNUMBER(R26)+(Parameters!$F$8=Parameters!$E$15)*Parameters!$I$8*ISNUMBER(S26)+(Parameters!$F$9=Parameters!$E$15)*Parameters!$I$9*ISNUMBER(T26)+(Parameters!$F$10=Parameters!$E$15)*Parameters!$I$10*ISNUMBER(U26)+(Parameters!$F$11=Parameters!$E$15)*Parameters!$I$11*ISNUMBER(V26)+(Parameters!$F$12=Parameters!$E$15)*Parameters!$I$12*ISNUMBER(W26))&gt;0,((Parameters!$F$5=Parameters!$E$15)*Parameters!$I$5*ISNUMBER(P26)+(Parameters!$F$6=Parameters!$E$15)*Parameters!$I$6*ISNUMBER(Q26)+(Parameters!$F$7=Parameters!$E$15)*Parameters!$I$7*ISNUMBER(R26)+(Parameters!$F$8=Parameters!$E$15)*Parameters!$I$8*ISNUMBER(S26)+(Parameters!$F$9=Parameters!$E$15)*Parameters!$I$9*ISNUMBER(T26)+(Parameters!$F$10=Parameters!$E$15)*Parameters!$I$10*ISNUMBER(U26)+(Parameters!$F$11=Parameters!$E$15)*Parameters!$I$11*ISNUMBER(V26)+(Parameters!$F$12=Parameters!$E$15)*Parameters!$I$12*ISNUMBER(W26))/((Parameters!$F$5=Parameters!$E$15)*Parameters!$I$5*1+(Parameters!$F$6=Parameters!$E$15)*Parameters!$I$6*1+(Parameters!$F$7=Parameters!$E$15)*Parameters!$I$7*1+(Parameters!$F$8=Parameters!$E$15)*Parameters!$I$8*1+(Parameters!$F$9=Parameters!$E$15)*Parameters!$I$9*1+(Parameters!$F$10=Parameters!$E$15)*Parameters!$I$10*1+(Parameters!$F$11=Parameters!$E$15)*Parameters!$I$11*X26+(Parameters!$F$12=Parameters!$E$15)*Parameters!$I$12*Y26)&gt;=Parameters!$B$36),((Parameters!$F$5=Parameters!$E$15)*Parameters!$I$5*N(P26)+(Parameters!$F$6=Parameters!$E$15)*Parameters!$I$6*N(Q26)+(Parameters!$F$7=Parameters!$E$15)*Parameters!$I$7*N(R26)+(Parameters!$F$8=Parameters!$E$15)*Parameters!$I$8*N(S26)+(Parameters!$F$9=Parameters!$E$15)*Parameters!$I$9*N(T26)+(Parameters!$F$10=Parameters!$E$15)*Parameters!$I$10*N(U26)+(Parameters!$F$11=Parameters!$E$15)*Parameters!$I$11*N(V26)+(Parameters!$F$12=Parameters!$E$15)*Parameters!$I$12*N(W26))/((Parameters!$F$5=Parameters!$E$15)*Parameters!$I$5*ISNUMBER(P26)+(Parameters!$F$6=Parameters!$E$15)*Parameters!$I$6*ISNUMBER(Q26)+(Parameters!$F$7=Parameters!$E$15)*Parameters!$I$7*ISNUMBER(R26)+(Parameters!$F$8=Parameters!$E$15)*Parameters!$I$8*ISNUMBER(S26)+(Parameters!$F$9=Parameters!$E$15)*Parameters!$I$9*ISNUMBER(T26)+(Parameters!$F$10=Parameters!$E$15)*Parameters!$I$10*ISNUMBER(U26)+(Parameters!$F$11=Parameters!$E$15)*Parameters!$I$11*ISNUMBER(V26)+(Parameters!$F$12=Parameters!$E$15)*Parameters!$I$12*ISNUMBER(W26)),""))</f>
        <v>0.955555555555556</v>
      </c>
      <c r="AA26"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26+(Parameters!$F$12=Parameters!$E$16)*Parameters!$I$12*Y26)=0,"",IF(AND(((Parameters!$F$5=Parameters!$E$16)*Parameters!$I$5*ISNUMBER(P26)+(Parameters!$F$6=Parameters!$E$16)*Parameters!$I$6*ISNUMBER(Q26)+(Parameters!$F$7=Parameters!$E$16)*Parameters!$I$7*ISNUMBER(R26)+(Parameters!$F$8=Parameters!$E$16)*Parameters!$I$8*ISNUMBER(S26)+(Parameters!$F$9=Parameters!$E$16)*Parameters!$I$9*ISNUMBER(T26)+(Parameters!$F$10=Parameters!$E$16)*Parameters!$I$10*ISNUMBER(U26)+(Parameters!$F$11=Parameters!$E$16)*Parameters!$I$11*ISNUMBER(V26)+(Parameters!$F$12=Parameters!$E$16)*Parameters!$I$12*ISNUMBER(W26))&gt;0,((Parameters!$F$5=Parameters!$E$16)*Parameters!$I$5*ISNUMBER(P26)+(Parameters!$F$6=Parameters!$E$16)*Parameters!$I$6*ISNUMBER(Q26)+(Parameters!$F$7=Parameters!$E$16)*Parameters!$I$7*ISNUMBER(R26)+(Parameters!$F$8=Parameters!$E$16)*Parameters!$I$8*ISNUMBER(S26)+(Parameters!$F$9=Parameters!$E$16)*Parameters!$I$9*ISNUMBER(T26)+(Parameters!$F$10=Parameters!$E$16)*Parameters!$I$10*ISNUMBER(U26)+(Parameters!$F$11=Parameters!$E$16)*Parameters!$I$11*ISNUMBER(V26)+(Parameters!$F$12=Parameters!$E$16)*Parameters!$I$12*ISNUMBER(W26))/((Parameters!$F$5=Parameters!$E$16)*Parameters!$I$5*1+(Parameters!$F$6=Parameters!$E$16)*Parameters!$I$6*1+(Parameters!$F$7=Parameters!$E$16)*Parameters!$I$7*1+(Parameters!$F$8=Parameters!$E$16)*Parameters!$I$8*1+(Parameters!$F$9=Parameters!$E$16)*Parameters!$I$9*1+(Parameters!$F$10=Parameters!$E$16)*Parameters!$I$10*1+(Parameters!$F$11=Parameters!$E$16)*Parameters!$I$11*X26+(Parameters!$F$12=Parameters!$E$16)*Parameters!$I$12*Y26)&gt;=Parameters!$B$36),((Parameters!$F$5=Parameters!$E$16)*Parameters!$I$5*N(P26)+(Parameters!$F$6=Parameters!$E$16)*Parameters!$I$6*N(Q26)+(Parameters!$F$7=Parameters!$E$16)*Parameters!$I$7*N(R26)+(Parameters!$F$8=Parameters!$E$16)*Parameters!$I$8*N(S26)+(Parameters!$F$9=Parameters!$E$16)*Parameters!$I$9*N(T26)+(Parameters!$F$10=Parameters!$E$16)*Parameters!$I$10*N(U26)+(Parameters!$F$11=Parameters!$E$16)*Parameters!$I$11*N(V26)+(Parameters!$F$12=Parameters!$E$16)*Parameters!$I$12*N(W26))/((Parameters!$F$5=Parameters!$E$16)*Parameters!$I$5*ISNUMBER(P26)+(Parameters!$F$6=Parameters!$E$16)*Parameters!$I$6*ISNUMBER(Q26)+(Parameters!$F$7=Parameters!$E$16)*Parameters!$I$7*ISNUMBER(R26)+(Parameters!$F$8=Parameters!$E$16)*Parameters!$I$8*ISNUMBER(S26)+(Parameters!$F$9=Parameters!$E$16)*Parameters!$I$9*ISNUMBER(T26)+(Parameters!$F$10=Parameters!$E$16)*Parameters!$I$10*ISNUMBER(U26)+(Parameters!$F$11=Parameters!$E$16)*Parameters!$I$11*ISNUMBER(V26)+(Parameters!$F$12=Parameters!$E$16)*Parameters!$I$12*ISNUMBER(W26)),""))</f>
        <v>0.666666666666667</v>
      </c>
      <c r="AB26"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26+(Parameters!$F$12=Parameters!$E$17)*Parameters!$I$12*Y26)=0,"",IF(AND(((Parameters!$F$5=Parameters!$E$17)*Parameters!$I$5*ISNUMBER(P26)+(Parameters!$F$6=Parameters!$E$17)*Parameters!$I$6*ISNUMBER(Q26)+(Parameters!$F$7=Parameters!$E$17)*Parameters!$I$7*ISNUMBER(R26)+(Parameters!$F$8=Parameters!$E$17)*Parameters!$I$8*ISNUMBER(S26)+(Parameters!$F$9=Parameters!$E$17)*Parameters!$I$9*ISNUMBER(T26)+(Parameters!$F$10=Parameters!$E$17)*Parameters!$I$10*ISNUMBER(U26)+(Parameters!$F$11=Parameters!$E$17)*Parameters!$I$11*ISNUMBER(V26)+(Parameters!$F$12=Parameters!$E$17)*Parameters!$I$12*ISNUMBER(W26))&gt;0,((Parameters!$F$5=Parameters!$E$17)*Parameters!$I$5*ISNUMBER(P26)+(Parameters!$F$6=Parameters!$E$17)*Parameters!$I$6*ISNUMBER(Q26)+(Parameters!$F$7=Parameters!$E$17)*Parameters!$I$7*ISNUMBER(R26)+(Parameters!$F$8=Parameters!$E$17)*Parameters!$I$8*ISNUMBER(S26)+(Parameters!$F$9=Parameters!$E$17)*Parameters!$I$9*ISNUMBER(T26)+(Parameters!$F$10=Parameters!$E$17)*Parameters!$I$10*ISNUMBER(U26)+(Parameters!$F$11=Parameters!$E$17)*Parameters!$I$11*ISNUMBER(V26)+(Parameters!$F$12=Parameters!$E$17)*Parameters!$I$12*ISNUMBER(W26))/((Parameters!$F$5=Parameters!$E$17)*Parameters!$I$5*1+(Parameters!$F$6=Parameters!$E$17)*Parameters!$I$6*1+(Parameters!$F$7=Parameters!$E$17)*Parameters!$I$7*1+(Parameters!$F$8=Parameters!$E$17)*Parameters!$I$8*1+(Parameters!$F$9=Parameters!$E$17)*Parameters!$I$9*1+(Parameters!$F$10=Parameters!$E$17)*Parameters!$I$10*1+(Parameters!$F$11=Parameters!$E$17)*Parameters!$I$11*X26+(Parameters!$F$12=Parameters!$E$17)*Parameters!$I$12*Y26)&gt;=Parameters!$B$36),((Parameters!$F$5=Parameters!$E$17)*Parameters!$I$5*N(P26)+(Parameters!$F$6=Parameters!$E$17)*Parameters!$I$6*N(Q26)+(Parameters!$F$7=Parameters!$E$17)*Parameters!$I$7*N(R26)+(Parameters!$F$8=Parameters!$E$17)*Parameters!$I$8*N(S26)+(Parameters!$F$9=Parameters!$E$17)*Parameters!$I$9*N(T26)+(Parameters!$F$10=Parameters!$E$17)*Parameters!$I$10*N(U26)+(Parameters!$F$11=Parameters!$E$17)*Parameters!$I$11*N(V26)+(Parameters!$F$12=Parameters!$E$17)*Parameters!$I$12*N(W26))/((Parameters!$F$5=Parameters!$E$17)*Parameters!$I$5*ISNUMBER(P26)+(Parameters!$F$6=Parameters!$E$17)*Parameters!$I$6*ISNUMBER(Q26)+(Parameters!$F$7=Parameters!$E$17)*Parameters!$I$7*ISNUMBER(R26)+(Parameters!$F$8=Parameters!$E$17)*Parameters!$I$8*ISNUMBER(S26)+(Parameters!$F$9=Parameters!$E$17)*Parameters!$I$9*ISNUMBER(T26)+(Parameters!$F$10=Parameters!$E$17)*Parameters!$I$10*ISNUMBER(U26)+(Parameters!$F$11=Parameters!$E$17)*Parameters!$I$11*ISNUMBER(V26)+(Parameters!$F$12=Parameters!$E$17)*Parameters!$I$12*ISNUMBER(W26)),""))</f>
        <v/>
      </c>
      <c r="AC26" s="17" t="n">
        <f aca="false">Parameters!$I$5*ISNUMBER(P26)+Parameters!$I$6*ISNUMBER(Q26)+Parameters!$I$7*ISNUMBER(R26)+Parameters!$I$8*ISNUMBER(S26)+Parameters!$I$9*ISNUMBER(T26)+Parameters!$I$10*ISNUMBER(U26)+Parameters!$I$11*ISNUMBER(V26)+Parameters!$I$12*ISNUMBER(W26)</f>
        <v>65</v>
      </c>
      <c r="AD26" s="17" t="n">
        <f aca="false">Parameters!$I$5*1+Parameters!$I$6*1+Parameters!$I$7*1+Parameters!$I$8*1+Parameters!$I$9*1+Parameters!$I$10*1+Parameters!$I$11*X26+Parameters!$I$12*Y26</f>
        <v>75</v>
      </c>
      <c r="AE26" s="18" t="n">
        <f aca="false">IF(AD26=0,"",AC26/AD26)</f>
        <v>0.866666666666667</v>
      </c>
      <c r="AF26" s="17" t="str">
        <f aca="false">IF(ISNUMBER(Z26),"M","")&amp;IF(ISNUMBER(AA26),"I","")&amp;IF(ISNUMBER(AB26),"O","")</f>
        <v>MI</v>
      </c>
      <c r="AG26" s="19" t="n">
        <f aca="false">IF(AND(ISNUMBER(AE26),ISNUMBER(Z26)+ISNUMBER(AA26)+ISNUMBER(AB26)&gt;=Parameters!$B$37),IF(AE26&gt;=Parameters!$B$35,100*(Parameters!$F$15*N(Z26)+Parameters!$F$16*N(AA26)+Parameters!$F$17*N(AB26))/(Parameters!$F$15*ISNUMBER(Z26)+Parameters!$F$16*ISNUMBER(AA26)+Parameters!$F$17*ISNUMBER(AB26)),""),"")</f>
        <v>84.7222222222222</v>
      </c>
      <c r="AH26" s="17" t="n">
        <f aca="false">IF(ISNUMBER(AG26),RANK(AG26,$AG$2:$AG$113),"")</f>
        <v>61</v>
      </c>
    </row>
    <row r="27" customFormat="false" ht="15" hidden="false" customHeight="false" outlineLevel="0" collapsed="false">
      <c r="A27" s="5" t="s">
        <v>232</v>
      </c>
      <c r="B27" s="5" t="s">
        <v>233</v>
      </c>
      <c r="C27" s="5" t="s">
        <v>234</v>
      </c>
      <c r="D27" s="5" t="s">
        <v>31</v>
      </c>
      <c r="E27" s="5" t="s">
        <v>44</v>
      </c>
      <c r="F27" s="5" t="s">
        <v>235</v>
      </c>
      <c r="G27" s="15"/>
      <c r="H27" s="8"/>
      <c r="I27" s="5" t="s">
        <v>57</v>
      </c>
      <c r="J27" s="5" t="s">
        <v>74</v>
      </c>
      <c r="K27" s="15"/>
      <c r="L27" s="5" t="s">
        <v>76</v>
      </c>
      <c r="M27" s="5" t="s">
        <v>141</v>
      </c>
      <c r="N27" s="5"/>
      <c r="O27" s="5"/>
      <c r="P27" s="16" t="n">
        <f aca="false">IFERROR(IF(ISNUMBER(INDEX(Parameters!$B$5:$B$23,MATCH(D27,Parameters!$A$5:$A$23,0))),INDEX(Parameters!$B$5:$B$23,MATCH(D27,Parameters!$A$5:$A$23,0)),""),"")</f>
        <v>1</v>
      </c>
      <c r="Q27" s="16" t="n">
        <f aca="false">IFERROR(IF(ISNUMBER(INDEX(Parameters!$B$5:$B$23,MATCH(E27,Parameters!$A$5:$A$23,0))),INDEX(Parameters!$B$5:$B$23,MATCH(E27,Parameters!$A$5:$A$23,0)),""),"")</f>
        <v>1</v>
      </c>
      <c r="R27" s="16" t="n">
        <f aca="false">IF(F27="","",IFERROR(MIN(Parameters!$B$33,MAX(0,Parameters!$B$32-VALUE(LEFT(F27,4))))/Parameters!$B$33,""))</f>
        <v>1</v>
      </c>
      <c r="S27" s="16" t="str">
        <f aca="false">IF(ISNUMBER(H27),H27,IF(G27="",IF(ISNUMBER(Parameters!$B$34),Parameters!$B$34,""),""))</f>
        <v/>
      </c>
      <c r="T27" s="16" t="n">
        <f aca="false">IFERROR(IF(ISNUMBER(INDEX(Parameters!$B$5:$B$23,MATCH(I27,Parameters!$A$5:$A$23,0))),INDEX(Parameters!$B$5:$B$23,MATCH(I27,Parameters!$A$5:$A$23,0)),""),"")</f>
        <v>0</v>
      </c>
      <c r="U27" s="16" t="n">
        <f aca="false">IFERROR(IF(ISNUMBER(INDEX(Parameters!$B$5:$B$23,MATCH(L27,Parameters!$A$5:$A$23,0))),INDEX(Parameters!$B$5:$B$23,MATCH(L27,Parameters!$A$5:$A$23,0)),""),"")</f>
        <v>1</v>
      </c>
      <c r="V27" s="16" t="str">
        <f aca="false">IFERROR(IF(ISNUMBER(INDEX(Parameters!$B$5:$B$23,MATCH(J27,Parameters!$A$5:$A$23,0))),INDEX(Parameters!$B$5:$B$23,MATCH(J27,Parameters!$A$5:$A$23,0)),""),"")</f>
        <v/>
      </c>
      <c r="W27" s="16" t="str">
        <f aca="false">IF(K27&lt;&gt;"",1,IF(COUNTIF(Parameters!$A$27:$A$28,J27)&gt;0,0,""))</f>
        <v/>
      </c>
      <c r="X27" s="17" t="n">
        <f aca="false">IF(J27="Not applicable",0,1)</f>
        <v>0</v>
      </c>
      <c r="Y27" s="17" t="n">
        <f aca="false">IF(OR(K27&lt;&gt;"",COUNTIF(Parameters!$A$27:$A$28,J27)&gt;0),1,0)</f>
        <v>0</v>
      </c>
      <c r="Z27"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27+(Parameters!$F$12=Parameters!$E$15)*Parameters!$I$12*Y27)=0,"",IF(AND(((Parameters!$F$5=Parameters!$E$15)*Parameters!$I$5*ISNUMBER(P27)+(Parameters!$F$6=Parameters!$E$15)*Parameters!$I$6*ISNUMBER(Q27)+(Parameters!$F$7=Parameters!$E$15)*Parameters!$I$7*ISNUMBER(R27)+(Parameters!$F$8=Parameters!$E$15)*Parameters!$I$8*ISNUMBER(S27)+(Parameters!$F$9=Parameters!$E$15)*Parameters!$I$9*ISNUMBER(T27)+(Parameters!$F$10=Parameters!$E$15)*Parameters!$I$10*ISNUMBER(U27)+(Parameters!$F$11=Parameters!$E$15)*Parameters!$I$11*ISNUMBER(V27)+(Parameters!$F$12=Parameters!$E$15)*Parameters!$I$12*ISNUMBER(W27))&gt;0,((Parameters!$F$5=Parameters!$E$15)*Parameters!$I$5*ISNUMBER(P27)+(Parameters!$F$6=Parameters!$E$15)*Parameters!$I$6*ISNUMBER(Q27)+(Parameters!$F$7=Parameters!$E$15)*Parameters!$I$7*ISNUMBER(R27)+(Parameters!$F$8=Parameters!$E$15)*Parameters!$I$8*ISNUMBER(S27)+(Parameters!$F$9=Parameters!$E$15)*Parameters!$I$9*ISNUMBER(T27)+(Parameters!$F$10=Parameters!$E$15)*Parameters!$I$10*ISNUMBER(U27)+(Parameters!$F$11=Parameters!$E$15)*Parameters!$I$11*ISNUMBER(V27)+(Parameters!$F$12=Parameters!$E$15)*Parameters!$I$12*ISNUMBER(W27))/((Parameters!$F$5=Parameters!$E$15)*Parameters!$I$5*1+(Parameters!$F$6=Parameters!$E$15)*Parameters!$I$6*1+(Parameters!$F$7=Parameters!$E$15)*Parameters!$I$7*1+(Parameters!$F$8=Parameters!$E$15)*Parameters!$I$8*1+(Parameters!$F$9=Parameters!$E$15)*Parameters!$I$9*1+(Parameters!$F$10=Parameters!$E$15)*Parameters!$I$10*1+(Parameters!$F$11=Parameters!$E$15)*Parameters!$I$11*X27+(Parameters!$F$12=Parameters!$E$15)*Parameters!$I$12*Y27)&gt;=Parameters!$B$36),((Parameters!$F$5=Parameters!$E$15)*Parameters!$I$5*N(P27)+(Parameters!$F$6=Parameters!$E$15)*Parameters!$I$6*N(Q27)+(Parameters!$F$7=Parameters!$E$15)*Parameters!$I$7*N(R27)+(Parameters!$F$8=Parameters!$E$15)*Parameters!$I$8*N(S27)+(Parameters!$F$9=Parameters!$E$15)*Parameters!$I$9*N(T27)+(Parameters!$F$10=Parameters!$E$15)*Parameters!$I$10*N(U27)+(Parameters!$F$11=Parameters!$E$15)*Parameters!$I$11*N(V27)+(Parameters!$F$12=Parameters!$E$15)*Parameters!$I$12*N(W27))/((Parameters!$F$5=Parameters!$E$15)*Parameters!$I$5*ISNUMBER(P27)+(Parameters!$F$6=Parameters!$E$15)*Parameters!$I$6*ISNUMBER(Q27)+(Parameters!$F$7=Parameters!$E$15)*Parameters!$I$7*ISNUMBER(R27)+(Parameters!$F$8=Parameters!$E$15)*Parameters!$I$8*ISNUMBER(S27)+(Parameters!$F$9=Parameters!$E$15)*Parameters!$I$9*ISNUMBER(T27)+(Parameters!$F$10=Parameters!$E$15)*Parameters!$I$10*ISNUMBER(U27)+(Parameters!$F$11=Parameters!$E$15)*Parameters!$I$11*ISNUMBER(V27)+(Parameters!$F$12=Parameters!$E$15)*Parameters!$I$12*ISNUMBER(W27)),""))</f>
        <v>1</v>
      </c>
      <c r="AA27"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27+(Parameters!$F$12=Parameters!$E$16)*Parameters!$I$12*Y27)=0,"",IF(AND(((Parameters!$F$5=Parameters!$E$16)*Parameters!$I$5*ISNUMBER(P27)+(Parameters!$F$6=Parameters!$E$16)*Parameters!$I$6*ISNUMBER(Q27)+(Parameters!$F$7=Parameters!$E$16)*Parameters!$I$7*ISNUMBER(R27)+(Parameters!$F$8=Parameters!$E$16)*Parameters!$I$8*ISNUMBER(S27)+(Parameters!$F$9=Parameters!$E$16)*Parameters!$I$9*ISNUMBER(T27)+(Parameters!$F$10=Parameters!$E$16)*Parameters!$I$10*ISNUMBER(U27)+(Parameters!$F$11=Parameters!$E$16)*Parameters!$I$11*ISNUMBER(V27)+(Parameters!$F$12=Parameters!$E$16)*Parameters!$I$12*ISNUMBER(W27))&gt;0,((Parameters!$F$5=Parameters!$E$16)*Parameters!$I$5*ISNUMBER(P27)+(Parameters!$F$6=Parameters!$E$16)*Parameters!$I$6*ISNUMBER(Q27)+(Parameters!$F$7=Parameters!$E$16)*Parameters!$I$7*ISNUMBER(R27)+(Parameters!$F$8=Parameters!$E$16)*Parameters!$I$8*ISNUMBER(S27)+(Parameters!$F$9=Parameters!$E$16)*Parameters!$I$9*ISNUMBER(T27)+(Parameters!$F$10=Parameters!$E$16)*Parameters!$I$10*ISNUMBER(U27)+(Parameters!$F$11=Parameters!$E$16)*Parameters!$I$11*ISNUMBER(V27)+(Parameters!$F$12=Parameters!$E$16)*Parameters!$I$12*ISNUMBER(W27))/((Parameters!$F$5=Parameters!$E$16)*Parameters!$I$5*1+(Parameters!$F$6=Parameters!$E$16)*Parameters!$I$6*1+(Parameters!$F$7=Parameters!$E$16)*Parameters!$I$7*1+(Parameters!$F$8=Parameters!$E$16)*Parameters!$I$8*1+(Parameters!$F$9=Parameters!$E$16)*Parameters!$I$9*1+(Parameters!$F$10=Parameters!$E$16)*Parameters!$I$10*1+(Parameters!$F$11=Parameters!$E$16)*Parameters!$I$11*X27+(Parameters!$F$12=Parameters!$E$16)*Parameters!$I$12*Y27)&gt;=Parameters!$B$36),((Parameters!$F$5=Parameters!$E$16)*Parameters!$I$5*N(P27)+(Parameters!$F$6=Parameters!$E$16)*Parameters!$I$6*N(Q27)+(Parameters!$F$7=Parameters!$E$16)*Parameters!$I$7*N(R27)+(Parameters!$F$8=Parameters!$E$16)*Parameters!$I$8*N(S27)+(Parameters!$F$9=Parameters!$E$16)*Parameters!$I$9*N(T27)+(Parameters!$F$10=Parameters!$E$16)*Parameters!$I$10*N(U27)+(Parameters!$F$11=Parameters!$E$16)*Parameters!$I$11*N(V27)+(Parameters!$F$12=Parameters!$E$16)*Parameters!$I$12*N(W27))/((Parameters!$F$5=Parameters!$E$16)*Parameters!$I$5*ISNUMBER(P27)+(Parameters!$F$6=Parameters!$E$16)*Parameters!$I$6*ISNUMBER(Q27)+(Parameters!$F$7=Parameters!$E$16)*Parameters!$I$7*ISNUMBER(R27)+(Parameters!$F$8=Parameters!$E$16)*Parameters!$I$8*ISNUMBER(S27)+(Parameters!$F$9=Parameters!$E$16)*Parameters!$I$9*ISNUMBER(T27)+(Parameters!$F$10=Parameters!$E$16)*Parameters!$I$10*ISNUMBER(U27)+(Parameters!$F$11=Parameters!$E$16)*Parameters!$I$11*ISNUMBER(V27)+(Parameters!$F$12=Parameters!$E$16)*Parameters!$I$12*ISNUMBER(W27)),""))</f>
        <v>0.666666666666667</v>
      </c>
      <c r="AB27"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27+(Parameters!$F$12=Parameters!$E$17)*Parameters!$I$12*Y27)=0,"",IF(AND(((Parameters!$F$5=Parameters!$E$17)*Parameters!$I$5*ISNUMBER(P27)+(Parameters!$F$6=Parameters!$E$17)*Parameters!$I$6*ISNUMBER(Q27)+(Parameters!$F$7=Parameters!$E$17)*Parameters!$I$7*ISNUMBER(R27)+(Parameters!$F$8=Parameters!$E$17)*Parameters!$I$8*ISNUMBER(S27)+(Parameters!$F$9=Parameters!$E$17)*Parameters!$I$9*ISNUMBER(T27)+(Parameters!$F$10=Parameters!$E$17)*Parameters!$I$10*ISNUMBER(U27)+(Parameters!$F$11=Parameters!$E$17)*Parameters!$I$11*ISNUMBER(V27)+(Parameters!$F$12=Parameters!$E$17)*Parameters!$I$12*ISNUMBER(W27))&gt;0,((Parameters!$F$5=Parameters!$E$17)*Parameters!$I$5*ISNUMBER(P27)+(Parameters!$F$6=Parameters!$E$17)*Parameters!$I$6*ISNUMBER(Q27)+(Parameters!$F$7=Parameters!$E$17)*Parameters!$I$7*ISNUMBER(R27)+(Parameters!$F$8=Parameters!$E$17)*Parameters!$I$8*ISNUMBER(S27)+(Parameters!$F$9=Parameters!$E$17)*Parameters!$I$9*ISNUMBER(T27)+(Parameters!$F$10=Parameters!$E$17)*Parameters!$I$10*ISNUMBER(U27)+(Parameters!$F$11=Parameters!$E$17)*Parameters!$I$11*ISNUMBER(V27)+(Parameters!$F$12=Parameters!$E$17)*Parameters!$I$12*ISNUMBER(W27))/((Parameters!$F$5=Parameters!$E$17)*Parameters!$I$5*1+(Parameters!$F$6=Parameters!$E$17)*Parameters!$I$6*1+(Parameters!$F$7=Parameters!$E$17)*Parameters!$I$7*1+(Parameters!$F$8=Parameters!$E$17)*Parameters!$I$8*1+(Parameters!$F$9=Parameters!$E$17)*Parameters!$I$9*1+(Parameters!$F$10=Parameters!$E$17)*Parameters!$I$10*1+(Parameters!$F$11=Parameters!$E$17)*Parameters!$I$11*X27+(Parameters!$F$12=Parameters!$E$17)*Parameters!$I$12*Y27)&gt;=Parameters!$B$36),((Parameters!$F$5=Parameters!$E$17)*Parameters!$I$5*N(P27)+(Parameters!$F$6=Parameters!$E$17)*Parameters!$I$6*N(Q27)+(Parameters!$F$7=Parameters!$E$17)*Parameters!$I$7*N(R27)+(Parameters!$F$8=Parameters!$E$17)*Parameters!$I$8*N(S27)+(Parameters!$F$9=Parameters!$E$17)*Parameters!$I$9*N(T27)+(Parameters!$F$10=Parameters!$E$17)*Parameters!$I$10*N(U27)+(Parameters!$F$11=Parameters!$E$17)*Parameters!$I$11*N(V27)+(Parameters!$F$12=Parameters!$E$17)*Parameters!$I$12*N(W27))/((Parameters!$F$5=Parameters!$E$17)*Parameters!$I$5*ISNUMBER(P27)+(Parameters!$F$6=Parameters!$E$17)*Parameters!$I$6*ISNUMBER(Q27)+(Parameters!$F$7=Parameters!$E$17)*Parameters!$I$7*ISNUMBER(R27)+(Parameters!$F$8=Parameters!$E$17)*Parameters!$I$8*ISNUMBER(S27)+(Parameters!$F$9=Parameters!$E$17)*Parameters!$I$9*ISNUMBER(T27)+(Parameters!$F$10=Parameters!$E$17)*Parameters!$I$10*ISNUMBER(U27)+(Parameters!$F$11=Parameters!$E$17)*Parameters!$I$11*ISNUMBER(V27)+(Parameters!$F$12=Parameters!$E$17)*Parameters!$I$12*ISNUMBER(W27)),""))</f>
        <v/>
      </c>
      <c r="AC27" s="17" t="n">
        <f aca="false">Parameters!$I$5*ISNUMBER(P27)+Parameters!$I$6*ISNUMBER(Q27)+Parameters!$I$7*ISNUMBER(R27)+Parameters!$I$8*ISNUMBER(S27)+Parameters!$I$9*ISNUMBER(T27)+Parameters!$I$10*ISNUMBER(U27)+Parameters!$I$11*ISNUMBER(V27)+Parameters!$I$12*ISNUMBER(W27)</f>
        <v>65</v>
      </c>
      <c r="AD27" s="17" t="n">
        <f aca="false">Parameters!$I$5*1+Parameters!$I$6*1+Parameters!$I$7*1+Parameters!$I$8*1+Parameters!$I$9*1+Parameters!$I$10*1+Parameters!$I$11*X27+Parameters!$I$12*Y27</f>
        <v>75</v>
      </c>
      <c r="AE27" s="18" t="n">
        <f aca="false">IF(AD27=0,"",AC27/AD27)</f>
        <v>0.866666666666667</v>
      </c>
      <c r="AF27" s="17" t="str">
        <f aca="false">IF(ISNUMBER(Z27),"M","")&amp;IF(ISNUMBER(AA27),"I","")&amp;IF(ISNUMBER(AB27),"O","")</f>
        <v>MI</v>
      </c>
      <c r="AG27" s="19" t="n">
        <f aca="false">IF(AND(ISNUMBER(AE27),ISNUMBER(Z27)+ISNUMBER(AA27)+ISNUMBER(AB27)&gt;=Parameters!$B$37),IF(AE27&gt;=Parameters!$B$35,100*(Parameters!$F$15*N(Z27)+Parameters!$F$16*N(AA27)+Parameters!$F$17*N(AB27))/(Parameters!$F$15*ISNUMBER(Z27)+Parameters!$F$16*ISNUMBER(AA27)+Parameters!$F$17*ISNUMBER(AB27)),""),"")</f>
        <v>87.5</v>
      </c>
      <c r="AH27" s="17" t="n">
        <f aca="false">IF(ISNUMBER(AG27),RANK(AG27,$AG$2:$AG$113),"")</f>
        <v>40</v>
      </c>
    </row>
    <row r="28" customFormat="false" ht="15" hidden="false" customHeight="false" outlineLevel="0" collapsed="false">
      <c r="A28" s="5" t="s">
        <v>236</v>
      </c>
      <c r="B28" s="5" t="s">
        <v>237</v>
      </c>
      <c r="C28" s="5" t="s">
        <v>238</v>
      </c>
      <c r="D28" s="5" t="s">
        <v>31</v>
      </c>
      <c r="E28" s="5" t="s">
        <v>44</v>
      </c>
      <c r="F28" s="5" t="s">
        <v>239</v>
      </c>
      <c r="G28" s="15" t="s">
        <v>240</v>
      </c>
      <c r="H28" s="8" t="n">
        <v>1</v>
      </c>
      <c r="I28" s="5" t="s">
        <v>57</v>
      </c>
      <c r="J28" s="5" t="s">
        <v>66</v>
      </c>
      <c r="K28" s="15"/>
      <c r="L28" s="5" t="s">
        <v>76</v>
      </c>
      <c r="M28" s="5" t="s">
        <v>141</v>
      </c>
      <c r="N28" s="5" t="s">
        <v>173</v>
      </c>
      <c r="O28" s="5" t="s">
        <v>168</v>
      </c>
      <c r="P28" s="16" t="n">
        <f aca="false">IFERROR(IF(ISNUMBER(INDEX(Parameters!$B$5:$B$23,MATCH(D28,Parameters!$A$5:$A$23,0))),INDEX(Parameters!$B$5:$B$23,MATCH(D28,Parameters!$A$5:$A$23,0)),""),"")</f>
        <v>1</v>
      </c>
      <c r="Q28" s="16" t="n">
        <f aca="false">IFERROR(IF(ISNUMBER(INDEX(Parameters!$B$5:$B$23,MATCH(E28,Parameters!$A$5:$A$23,0))),INDEX(Parameters!$B$5:$B$23,MATCH(E28,Parameters!$A$5:$A$23,0)),""),"")</f>
        <v>1</v>
      </c>
      <c r="R28" s="16" t="n">
        <f aca="false">IF(F28="","",IFERROR(MIN(Parameters!$B$33,MAX(0,Parameters!$B$32-VALUE(LEFT(F28,4))))/Parameters!$B$33,""))</f>
        <v>1</v>
      </c>
      <c r="S28" s="16" t="n">
        <f aca="false">IF(ISNUMBER(H28),H28,IF(G28="",IF(ISNUMBER(Parameters!$B$34),Parameters!$B$34,""),""))</f>
        <v>1</v>
      </c>
      <c r="T28" s="16" t="n">
        <f aca="false">IFERROR(IF(ISNUMBER(INDEX(Parameters!$B$5:$B$23,MATCH(I28,Parameters!$A$5:$A$23,0))),INDEX(Parameters!$B$5:$B$23,MATCH(I28,Parameters!$A$5:$A$23,0)),""),"")</f>
        <v>0</v>
      </c>
      <c r="U28" s="16" t="n">
        <f aca="false">IFERROR(IF(ISNUMBER(INDEX(Parameters!$B$5:$B$23,MATCH(L28,Parameters!$A$5:$A$23,0))),INDEX(Parameters!$B$5:$B$23,MATCH(L28,Parameters!$A$5:$A$23,0)),""),"")</f>
        <v>1</v>
      </c>
      <c r="V28" s="16" t="n">
        <f aca="false">IFERROR(IF(ISNUMBER(INDEX(Parameters!$B$5:$B$23,MATCH(J28,Parameters!$A$5:$A$23,0))),INDEX(Parameters!$B$5:$B$23,MATCH(J28,Parameters!$A$5:$A$23,0)),""),"")</f>
        <v>1</v>
      </c>
      <c r="W28" s="16" t="str">
        <f aca="false">IF(K28&lt;&gt;"",1,IF(COUNTIF(Parameters!$A$27:$A$28,J28)&gt;0,0,""))</f>
        <v/>
      </c>
      <c r="X28" s="17" t="n">
        <f aca="false">IF(J28="Not applicable",0,1)</f>
        <v>1</v>
      </c>
      <c r="Y28" s="17" t="n">
        <f aca="false">IF(OR(K28&lt;&gt;"",COUNTIF(Parameters!$A$27:$A$28,J28)&gt;0),1,0)</f>
        <v>0</v>
      </c>
      <c r="Z28"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28+(Parameters!$F$12=Parameters!$E$15)*Parameters!$I$12*Y28)=0,"",IF(AND(((Parameters!$F$5=Parameters!$E$15)*Parameters!$I$5*ISNUMBER(P28)+(Parameters!$F$6=Parameters!$E$15)*Parameters!$I$6*ISNUMBER(Q28)+(Parameters!$F$7=Parameters!$E$15)*Parameters!$I$7*ISNUMBER(R28)+(Parameters!$F$8=Parameters!$E$15)*Parameters!$I$8*ISNUMBER(S28)+(Parameters!$F$9=Parameters!$E$15)*Parameters!$I$9*ISNUMBER(T28)+(Parameters!$F$10=Parameters!$E$15)*Parameters!$I$10*ISNUMBER(U28)+(Parameters!$F$11=Parameters!$E$15)*Parameters!$I$11*ISNUMBER(V28)+(Parameters!$F$12=Parameters!$E$15)*Parameters!$I$12*ISNUMBER(W28))&gt;0,((Parameters!$F$5=Parameters!$E$15)*Parameters!$I$5*ISNUMBER(P28)+(Parameters!$F$6=Parameters!$E$15)*Parameters!$I$6*ISNUMBER(Q28)+(Parameters!$F$7=Parameters!$E$15)*Parameters!$I$7*ISNUMBER(R28)+(Parameters!$F$8=Parameters!$E$15)*Parameters!$I$8*ISNUMBER(S28)+(Parameters!$F$9=Parameters!$E$15)*Parameters!$I$9*ISNUMBER(T28)+(Parameters!$F$10=Parameters!$E$15)*Parameters!$I$10*ISNUMBER(U28)+(Parameters!$F$11=Parameters!$E$15)*Parameters!$I$11*ISNUMBER(V28)+(Parameters!$F$12=Parameters!$E$15)*Parameters!$I$12*ISNUMBER(W28))/((Parameters!$F$5=Parameters!$E$15)*Parameters!$I$5*1+(Parameters!$F$6=Parameters!$E$15)*Parameters!$I$6*1+(Parameters!$F$7=Parameters!$E$15)*Parameters!$I$7*1+(Parameters!$F$8=Parameters!$E$15)*Parameters!$I$8*1+(Parameters!$F$9=Parameters!$E$15)*Parameters!$I$9*1+(Parameters!$F$10=Parameters!$E$15)*Parameters!$I$10*1+(Parameters!$F$11=Parameters!$E$15)*Parameters!$I$11*X28+(Parameters!$F$12=Parameters!$E$15)*Parameters!$I$12*Y28)&gt;=Parameters!$B$36),((Parameters!$F$5=Parameters!$E$15)*Parameters!$I$5*N(P28)+(Parameters!$F$6=Parameters!$E$15)*Parameters!$I$6*N(Q28)+(Parameters!$F$7=Parameters!$E$15)*Parameters!$I$7*N(R28)+(Parameters!$F$8=Parameters!$E$15)*Parameters!$I$8*N(S28)+(Parameters!$F$9=Parameters!$E$15)*Parameters!$I$9*N(T28)+(Parameters!$F$10=Parameters!$E$15)*Parameters!$I$10*N(U28)+(Parameters!$F$11=Parameters!$E$15)*Parameters!$I$11*N(V28)+(Parameters!$F$12=Parameters!$E$15)*Parameters!$I$12*N(W28))/((Parameters!$F$5=Parameters!$E$15)*Parameters!$I$5*ISNUMBER(P28)+(Parameters!$F$6=Parameters!$E$15)*Parameters!$I$6*ISNUMBER(Q28)+(Parameters!$F$7=Parameters!$E$15)*Parameters!$I$7*ISNUMBER(R28)+(Parameters!$F$8=Parameters!$E$15)*Parameters!$I$8*ISNUMBER(S28)+(Parameters!$F$9=Parameters!$E$15)*Parameters!$I$9*ISNUMBER(T28)+(Parameters!$F$10=Parameters!$E$15)*Parameters!$I$10*ISNUMBER(U28)+(Parameters!$F$11=Parameters!$E$15)*Parameters!$I$11*ISNUMBER(V28)+(Parameters!$F$12=Parameters!$E$15)*Parameters!$I$12*ISNUMBER(W28)),""))</f>
        <v>1</v>
      </c>
      <c r="AA28"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28+(Parameters!$F$12=Parameters!$E$16)*Parameters!$I$12*Y28)=0,"",IF(AND(((Parameters!$F$5=Parameters!$E$16)*Parameters!$I$5*ISNUMBER(P28)+(Parameters!$F$6=Parameters!$E$16)*Parameters!$I$6*ISNUMBER(Q28)+(Parameters!$F$7=Parameters!$E$16)*Parameters!$I$7*ISNUMBER(R28)+(Parameters!$F$8=Parameters!$E$16)*Parameters!$I$8*ISNUMBER(S28)+(Parameters!$F$9=Parameters!$E$16)*Parameters!$I$9*ISNUMBER(T28)+(Parameters!$F$10=Parameters!$E$16)*Parameters!$I$10*ISNUMBER(U28)+(Parameters!$F$11=Parameters!$E$16)*Parameters!$I$11*ISNUMBER(V28)+(Parameters!$F$12=Parameters!$E$16)*Parameters!$I$12*ISNUMBER(W28))&gt;0,((Parameters!$F$5=Parameters!$E$16)*Parameters!$I$5*ISNUMBER(P28)+(Parameters!$F$6=Parameters!$E$16)*Parameters!$I$6*ISNUMBER(Q28)+(Parameters!$F$7=Parameters!$E$16)*Parameters!$I$7*ISNUMBER(R28)+(Parameters!$F$8=Parameters!$E$16)*Parameters!$I$8*ISNUMBER(S28)+(Parameters!$F$9=Parameters!$E$16)*Parameters!$I$9*ISNUMBER(T28)+(Parameters!$F$10=Parameters!$E$16)*Parameters!$I$10*ISNUMBER(U28)+(Parameters!$F$11=Parameters!$E$16)*Parameters!$I$11*ISNUMBER(V28)+(Parameters!$F$12=Parameters!$E$16)*Parameters!$I$12*ISNUMBER(W28))/((Parameters!$F$5=Parameters!$E$16)*Parameters!$I$5*1+(Parameters!$F$6=Parameters!$E$16)*Parameters!$I$6*1+(Parameters!$F$7=Parameters!$E$16)*Parameters!$I$7*1+(Parameters!$F$8=Parameters!$E$16)*Parameters!$I$8*1+(Parameters!$F$9=Parameters!$E$16)*Parameters!$I$9*1+(Parameters!$F$10=Parameters!$E$16)*Parameters!$I$10*1+(Parameters!$F$11=Parameters!$E$16)*Parameters!$I$11*X28+(Parameters!$F$12=Parameters!$E$16)*Parameters!$I$12*Y28)&gt;=Parameters!$B$36),((Parameters!$F$5=Parameters!$E$16)*Parameters!$I$5*N(P28)+(Parameters!$F$6=Parameters!$E$16)*Parameters!$I$6*N(Q28)+(Parameters!$F$7=Parameters!$E$16)*Parameters!$I$7*N(R28)+(Parameters!$F$8=Parameters!$E$16)*Parameters!$I$8*N(S28)+(Parameters!$F$9=Parameters!$E$16)*Parameters!$I$9*N(T28)+(Parameters!$F$10=Parameters!$E$16)*Parameters!$I$10*N(U28)+(Parameters!$F$11=Parameters!$E$16)*Parameters!$I$11*N(V28)+(Parameters!$F$12=Parameters!$E$16)*Parameters!$I$12*N(W28))/((Parameters!$F$5=Parameters!$E$16)*Parameters!$I$5*ISNUMBER(P28)+(Parameters!$F$6=Parameters!$E$16)*Parameters!$I$6*ISNUMBER(Q28)+(Parameters!$F$7=Parameters!$E$16)*Parameters!$I$7*ISNUMBER(R28)+(Parameters!$F$8=Parameters!$E$16)*Parameters!$I$8*ISNUMBER(S28)+(Parameters!$F$9=Parameters!$E$16)*Parameters!$I$9*ISNUMBER(T28)+(Parameters!$F$10=Parameters!$E$16)*Parameters!$I$10*ISNUMBER(U28)+(Parameters!$F$11=Parameters!$E$16)*Parameters!$I$11*ISNUMBER(V28)+(Parameters!$F$12=Parameters!$E$16)*Parameters!$I$12*ISNUMBER(W28)),""))</f>
        <v>0.8</v>
      </c>
      <c r="AB28"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28+(Parameters!$F$12=Parameters!$E$17)*Parameters!$I$12*Y28)=0,"",IF(AND(((Parameters!$F$5=Parameters!$E$17)*Parameters!$I$5*ISNUMBER(P28)+(Parameters!$F$6=Parameters!$E$17)*Parameters!$I$6*ISNUMBER(Q28)+(Parameters!$F$7=Parameters!$E$17)*Parameters!$I$7*ISNUMBER(R28)+(Parameters!$F$8=Parameters!$E$17)*Parameters!$I$8*ISNUMBER(S28)+(Parameters!$F$9=Parameters!$E$17)*Parameters!$I$9*ISNUMBER(T28)+(Parameters!$F$10=Parameters!$E$17)*Parameters!$I$10*ISNUMBER(U28)+(Parameters!$F$11=Parameters!$E$17)*Parameters!$I$11*ISNUMBER(V28)+(Parameters!$F$12=Parameters!$E$17)*Parameters!$I$12*ISNUMBER(W28))&gt;0,((Parameters!$F$5=Parameters!$E$17)*Parameters!$I$5*ISNUMBER(P28)+(Parameters!$F$6=Parameters!$E$17)*Parameters!$I$6*ISNUMBER(Q28)+(Parameters!$F$7=Parameters!$E$17)*Parameters!$I$7*ISNUMBER(R28)+(Parameters!$F$8=Parameters!$E$17)*Parameters!$I$8*ISNUMBER(S28)+(Parameters!$F$9=Parameters!$E$17)*Parameters!$I$9*ISNUMBER(T28)+(Parameters!$F$10=Parameters!$E$17)*Parameters!$I$10*ISNUMBER(U28)+(Parameters!$F$11=Parameters!$E$17)*Parameters!$I$11*ISNUMBER(V28)+(Parameters!$F$12=Parameters!$E$17)*Parameters!$I$12*ISNUMBER(W28))/((Parameters!$F$5=Parameters!$E$17)*Parameters!$I$5*1+(Parameters!$F$6=Parameters!$E$17)*Parameters!$I$6*1+(Parameters!$F$7=Parameters!$E$17)*Parameters!$I$7*1+(Parameters!$F$8=Parameters!$E$17)*Parameters!$I$8*1+(Parameters!$F$9=Parameters!$E$17)*Parameters!$I$9*1+(Parameters!$F$10=Parameters!$E$17)*Parameters!$I$10*1+(Parameters!$F$11=Parameters!$E$17)*Parameters!$I$11*X28+(Parameters!$F$12=Parameters!$E$17)*Parameters!$I$12*Y28)&gt;=Parameters!$B$36),((Parameters!$F$5=Parameters!$E$17)*Parameters!$I$5*N(P28)+(Parameters!$F$6=Parameters!$E$17)*Parameters!$I$6*N(Q28)+(Parameters!$F$7=Parameters!$E$17)*Parameters!$I$7*N(R28)+(Parameters!$F$8=Parameters!$E$17)*Parameters!$I$8*N(S28)+(Parameters!$F$9=Parameters!$E$17)*Parameters!$I$9*N(T28)+(Parameters!$F$10=Parameters!$E$17)*Parameters!$I$10*N(U28)+(Parameters!$F$11=Parameters!$E$17)*Parameters!$I$11*N(V28)+(Parameters!$F$12=Parameters!$E$17)*Parameters!$I$12*N(W28))/((Parameters!$F$5=Parameters!$E$17)*Parameters!$I$5*ISNUMBER(P28)+(Parameters!$F$6=Parameters!$E$17)*Parameters!$I$6*ISNUMBER(Q28)+(Parameters!$F$7=Parameters!$E$17)*Parameters!$I$7*ISNUMBER(R28)+(Parameters!$F$8=Parameters!$E$17)*Parameters!$I$8*ISNUMBER(S28)+(Parameters!$F$9=Parameters!$E$17)*Parameters!$I$9*ISNUMBER(T28)+(Parameters!$F$10=Parameters!$E$17)*Parameters!$I$10*ISNUMBER(U28)+(Parameters!$F$11=Parameters!$E$17)*Parameters!$I$11*ISNUMBER(V28)+(Parameters!$F$12=Parameters!$E$17)*Parameters!$I$12*ISNUMBER(W28)),""))</f>
        <v>1</v>
      </c>
      <c r="AC28" s="17" t="n">
        <f aca="false">Parameters!$I$5*ISNUMBER(P28)+Parameters!$I$6*ISNUMBER(Q28)+Parameters!$I$7*ISNUMBER(R28)+Parameters!$I$8*ISNUMBER(S28)+Parameters!$I$9*ISNUMBER(T28)+Parameters!$I$10*ISNUMBER(U28)+Parameters!$I$11*ISNUMBER(V28)+Parameters!$I$12*ISNUMBER(W28)</f>
        <v>85</v>
      </c>
      <c r="AD28" s="17" t="n">
        <f aca="false">Parameters!$I$5*1+Parameters!$I$6*1+Parameters!$I$7*1+Parameters!$I$8*1+Parameters!$I$9*1+Parameters!$I$10*1+Parameters!$I$11*X28+Parameters!$I$12*Y28</f>
        <v>85</v>
      </c>
      <c r="AE28" s="18" t="n">
        <f aca="false">IF(AD28=0,"",AC28/AD28)</f>
        <v>1</v>
      </c>
      <c r="AF28" s="17" t="str">
        <f aca="false">IF(ISNUMBER(Z28),"M","")&amp;IF(ISNUMBER(AA28),"I","")&amp;IF(ISNUMBER(AB28),"O","")</f>
        <v>MIO</v>
      </c>
      <c r="AG28" s="19" t="n">
        <f aca="false">IF(AND(ISNUMBER(AE28),ISNUMBER(Z28)+ISNUMBER(AA28)+ISNUMBER(AB28)&gt;=Parameters!$B$37),IF(AE28&gt;=Parameters!$B$35,100*(Parameters!$F$15*N(Z28)+Parameters!$F$16*N(AA28)+Parameters!$F$17*N(AB28))/(Parameters!$F$15*ISNUMBER(Z28)+Parameters!$F$16*ISNUMBER(AA28)+Parameters!$F$17*ISNUMBER(AB28)),""),"")</f>
        <v>94</v>
      </c>
      <c r="AH28" s="17" t="n">
        <f aca="false">IF(ISNUMBER(AG28),RANK(AG28,$AG$2:$AG$113),"")</f>
        <v>5</v>
      </c>
    </row>
    <row r="29" customFormat="false" ht="15" hidden="false" customHeight="false" outlineLevel="0" collapsed="false">
      <c r="A29" s="5" t="s">
        <v>241</v>
      </c>
      <c r="B29" s="5" t="s">
        <v>137</v>
      </c>
      <c r="C29" s="5" t="s">
        <v>194</v>
      </c>
      <c r="D29" s="5" t="s">
        <v>31</v>
      </c>
      <c r="E29" s="5" t="s">
        <v>44</v>
      </c>
      <c r="F29" s="5" t="s">
        <v>146</v>
      </c>
      <c r="G29" s="15" t="s">
        <v>140</v>
      </c>
      <c r="H29" s="8" t="n">
        <v>1</v>
      </c>
      <c r="I29" s="5" t="s">
        <v>57</v>
      </c>
      <c r="J29" s="5" t="s">
        <v>62</v>
      </c>
      <c r="K29" s="15"/>
      <c r="L29" s="5" t="s">
        <v>79</v>
      </c>
      <c r="M29" s="5" t="s">
        <v>141</v>
      </c>
      <c r="N29" s="5" t="s">
        <v>142</v>
      </c>
      <c r="O29" s="5"/>
      <c r="P29" s="16" t="n">
        <f aca="false">IFERROR(IF(ISNUMBER(INDEX(Parameters!$B$5:$B$23,MATCH(D29,Parameters!$A$5:$A$23,0))),INDEX(Parameters!$B$5:$B$23,MATCH(D29,Parameters!$A$5:$A$23,0)),""),"")</f>
        <v>1</v>
      </c>
      <c r="Q29" s="16" t="n">
        <f aca="false">IFERROR(IF(ISNUMBER(INDEX(Parameters!$B$5:$B$23,MATCH(E29,Parameters!$A$5:$A$23,0))),INDEX(Parameters!$B$5:$B$23,MATCH(E29,Parameters!$A$5:$A$23,0)),""),"")</f>
        <v>1</v>
      </c>
      <c r="R29" s="16" t="n">
        <f aca="false">IF(F29="","",IFERROR(MIN(Parameters!$B$33,MAX(0,Parameters!$B$32-VALUE(LEFT(F29,4))))/Parameters!$B$33,""))</f>
        <v>0.533333333333333</v>
      </c>
      <c r="S29" s="16" t="n">
        <f aca="false">IF(ISNUMBER(H29),H29,IF(G29="",IF(ISNUMBER(Parameters!$B$34),Parameters!$B$34,""),""))</f>
        <v>1</v>
      </c>
      <c r="T29" s="16" t="n">
        <f aca="false">IFERROR(IF(ISNUMBER(INDEX(Parameters!$B$5:$B$23,MATCH(I29,Parameters!$A$5:$A$23,0))),INDEX(Parameters!$B$5:$B$23,MATCH(I29,Parameters!$A$5:$A$23,0)),""),"")</f>
        <v>0</v>
      </c>
      <c r="U29" s="16" t="n">
        <f aca="false">IFERROR(IF(ISNUMBER(INDEX(Parameters!$B$5:$B$23,MATCH(L29,Parameters!$A$5:$A$23,0))),INDEX(Parameters!$B$5:$B$23,MATCH(L29,Parameters!$A$5:$A$23,0)),""),"")</f>
        <v>1</v>
      </c>
      <c r="V29" s="16" t="n">
        <f aca="false">IFERROR(IF(ISNUMBER(INDEX(Parameters!$B$5:$B$23,MATCH(J29,Parameters!$A$5:$A$23,0))),INDEX(Parameters!$B$5:$B$23,MATCH(J29,Parameters!$A$5:$A$23,0)),""),"")</f>
        <v>0</v>
      </c>
      <c r="W29" s="16" t="str">
        <f aca="false">IF(K29&lt;&gt;"",1,IF(COUNTIF(Parameters!$A$27:$A$28,J29)&gt;0,0,""))</f>
        <v/>
      </c>
      <c r="X29" s="17" t="n">
        <f aca="false">IF(J29="Not applicable",0,1)</f>
        <v>1</v>
      </c>
      <c r="Y29" s="17" t="n">
        <f aca="false">IF(OR(K29&lt;&gt;"",COUNTIF(Parameters!$A$27:$A$28,J29)&gt;0),1,0)</f>
        <v>0</v>
      </c>
      <c r="Z29"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29+(Parameters!$F$12=Parameters!$E$15)*Parameters!$I$12*Y29)=0,"",IF(AND(((Parameters!$F$5=Parameters!$E$15)*Parameters!$I$5*ISNUMBER(P29)+(Parameters!$F$6=Parameters!$E$15)*Parameters!$I$6*ISNUMBER(Q29)+(Parameters!$F$7=Parameters!$E$15)*Parameters!$I$7*ISNUMBER(R29)+(Parameters!$F$8=Parameters!$E$15)*Parameters!$I$8*ISNUMBER(S29)+(Parameters!$F$9=Parameters!$E$15)*Parameters!$I$9*ISNUMBER(T29)+(Parameters!$F$10=Parameters!$E$15)*Parameters!$I$10*ISNUMBER(U29)+(Parameters!$F$11=Parameters!$E$15)*Parameters!$I$11*ISNUMBER(V29)+(Parameters!$F$12=Parameters!$E$15)*Parameters!$I$12*ISNUMBER(W29))&gt;0,((Parameters!$F$5=Parameters!$E$15)*Parameters!$I$5*ISNUMBER(P29)+(Parameters!$F$6=Parameters!$E$15)*Parameters!$I$6*ISNUMBER(Q29)+(Parameters!$F$7=Parameters!$E$15)*Parameters!$I$7*ISNUMBER(R29)+(Parameters!$F$8=Parameters!$E$15)*Parameters!$I$8*ISNUMBER(S29)+(Parameters!$F$9=Parameters!$E$15)*Parameters!$I$9*ISNUMBER(T29)+(Parameters!$F$10=Parameters!$E$15)*Parameters!$I$10*ISNUMBER(U29)+(Parameters!$F$11=Parameters!$E$15)*Parameters!$I$11*ISNUMBER(V29)+(Parameters!$F$12=Parameters!$E$15)*Parameters!$I$12*ISNUMBER(W29))/((Parameters!$F$5=Parameters!$E$15)*Parameters!$I$5*1+(Parameters!$F$6=Parameters!$E$15)*Parameters!$I$6*1+(Parameters!$F$7=Parameters!$E$15)*Parameters!$I$7*1+(Parameters!$F$8=Parameters!$E$15)*Parameters!$I$8*1+(Parameters!$F$9=Parameters!$E$15)*Parameters!$I$9*1+(Parameters!$F$10=Parameters!$E$15)*Parameters!$I$10*1+(Parameters!$F$11=Parameters!$E$15)*Parameters!$I$11*X29+(Parameters!$F$12=Parameters!$E$15)*Parameters!$I$12*Y29)&gt;=Parameters!$B$36),((Parameters!$F$5=Parameters!$E$15)*Parameters!$I$5*N(P29)+(Parameters!$F$6=Parameters!$E$15)*Parameters!$I$6*N(Q29)+(Parameters!$F$7=Parameters!$E$15)*Parameters!$I$7*N(R29)+(Parameters!$F$8=Parameters!$E$15)*Parameters!$I$8*N(S29)+(Parameters!$F$9=Parameters!$E$15)*Parameters!$I$9*N(T29)+(Parameters!$F$10=Parameters!$E$15)*Parameters!$I$10*N(U29)+(Parameters!$F$11=Parameters!$E$15)*Parameters!$I$11*N(V29)+(Parameters!$F$12=Parameters!$E$15)*Parameters!$I$12*N(W29))/((Parameters!$F$5=Parameters!$E$15)*Parameters!$I$5*ISNUMBER(P29)+(Parameters!$F$6=Parameters!$E$15)*Parameters!$I$6*ISNUMBER(Q29)+(Parameters!$F$7=Parameters!$E$15)*Parameters!$I$7*ISNUMBER(R29)+(Parameters!$F$8=Parameters!$E$15)*Parameters!$I$8*ISNUMBER(S29)+(Parameters!$F$9=Parameters!$E$15)*Parameters!$I$9*ISNUMBER(T29)+(Parameters!$F$10=Parameters!$E$15)*Parameters!$I$10*ISNUMBER(U29)+(Parameters!$F$11=Parameters!$E$15)*Parameters!$I$11*ISNUMBER(V29)+(Parameters!$F$12=Parameters!$E$15)*Parameters!$I$12*ISNUMBER(W29)),""))</f>
        <v>0.953333333333333</v>
      </c>
      <c r="AA29"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29+(Parameters!$F$12=Parameters!$E$16)*Parameters!$I$12*Y29)=0,"",IF(AND(((Parameters!$F$5=Parameters!$E$16)*Parameters!$I$5*ISNUMBER(P29)+(Parameters!$F$6=Parameters!$E$16)*Parameters!$I$6*ISNUMBER(Q29)+(Parameters!$F$7=Parameters!$E$16)*Parameters!$I$7*ISNUMBER(R29)+(Parameters!$F$8=Parameters!$E$16)*Parameters!$I$8*ISNUMBER(S29)+(Parameters!$F$9=Parameters!$E$16)*Parameters!$I$9*ISNUMBER(T29)+(Parameters!$F$10=Parameters!$E$16)*Parameters!$I$10*ISNUMBER(U29)+(Parameters!$F$11=Parameters!$E$16)*Parameters!$I$11*ISNUMBER(V29)+(Parameters!$F$12=Parameters!$E$16)*Parameters!$I$12*ISNUMBER(W29))&gt;0,((Parameters!$F$5=Parameters!$E$16)*Parameters!$I$5*ISNUMBER(P29)+(Parameters!$F$6=Parameters!$E$16)*Parameters!$I$6*ISNUMBER(Q29)+(Parameters!$F$7=Parameters!$E$16)*Parameters!$I$7*ISNUMBER(R29)+(Parameters!$F$8=Parameters!$E$16)*Parameters!$I$8*ISNUMBER(S29)+(Parameters!$F$9=Parameters!$E$16)*Parameters!$I$9*ISNUMBER(T29)+(Parameters!$F$10=Parameters!$E$16)*Parameters!$I$10*ISNUMBER(U29)+(Parameters!$F$11=Parameters!$E$16)*Parameters!$I$11*ISNUMBER(V29)+(Parameters!$F$12=Parameters!$E$16)*Parameters!$I$12*ISNUMBER(W29))/((Parameters!$F$5=Parameters!$E$16)*Parameters!$I$5*1+(Parameters!$F$6=Parameters!$E$16)*Parameters!$I$6*1+(Parameters!$F$7=Parameters!$E$16)*Parameters!$I$7*1+(Parameters!$F$8=Parameters!$E$16)*Parameters!$I$8*1+(Parameters!$F$9=Parameters!$E$16)*Parameters!$I$9*1+(Parameters!$F$10=Parameters!$E$16)*Parameters!$I$10*1+(Parameters!$F$11=Parameters!$E$16)*Parameters!$I$11*X29+(Parameters!$F$12=Parameters!$E$16)*Parameters!$I$12*Y29)&gt;=Parameters!$B$36),((Parameters!$F$5=Parameters!$E$16)*Parameters!$I$5*N(P29)+(Parameters!$F$6=Parameters!$E$16)*Parameters!$I$6*N(Q29)+(Parameters!$F$7=Parameters!$E$16)*Parameters!$I$7*N(R29)+(Parameters!$F$8=Parameters!$E$16)*Parameters!$I$8*N(S29)+(Parameters!$F$9=Parameters!$E$16)*Parameters!$I$9*N(T29)+(Parameters!$F$10=Parameters!$E$16)*Parameters!$I$10*N(U29)+(Parameters!$F$11=Parameters!$E$16)*Parameters!$I$11*N(V29)+(Parameters!$F$12=Parameters!$E$16)*Parameters!$I$12*N(W29))/((Parameters!$F$5=Parameters!$E$16)*Parameters!$I$5*ISNUMBER(P29)+(Parameters!$F$6=Parameters!$E$16)*Parameters!$I$6*ISNUMBER(Q29)+(Parameters!$F$7=Parameters!$E$16)*Parameters!$I$7*ISNUMBER(R29)+(Parameters!$F$8=Parameters!$E$16)*Parameters!$I$8*ISNUMBER(S29)+(Parameters!$F$9=Parameters!$E$16)*Parameters!$I$9*ISNUMBER(T29)+(Parameters!$F$10=Parameters!$E$16)*Parameters!$I$10*ISNUMBER(U29)+(Parameters!$F$11=Parameters!$E$16)*Parameters!$I$11*ISNUMBER(V29)+(Parameters!$F$12=Parameters!$E$16)*Parameters!$I$12*ISNUMBER(W29)),""))</f>
        <v>0.8</v>
      </c>
      <c r="AB29"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29+(Parameters!$F$12=Parameters!$E$17)*Parameters!$I$12*Y29)=0,"",IF(AND(((Parameters!$F$5=Parameters!$E$17)*Parameters!$I$5*ISNUMBER(P29)+(Parameters!$F$6=Parameters!$E$17)*Parameters!$I$6*ISNUMBER(Q29)+(Parameters!$F$7=Parameters!$E$17)*Parameters!$I$7*ISNUMBER(R29)+(Parameters!$F$8=Parameters!$E$17)*Parameters!$I$8*ISNUMBER(S29)+(Parameters!$F$9=Parameters!$E$17)*Parameters!$I$9*ISNUMBER(T29)+(Parameters!$F$10=Parameters!$E$17)*Parameters!$I$10*ISNUMBER(U29)+(Parameters!$F$11=Parameters!$E$17)*Parameters!$I$11*ISNUMBER(V29)+(Parameters!$F$12=Parameters!$E$17)*Parameters!$I$12*ISNUMBER(W29))&gt;0,((Parameters!$F$5=Parameters!$E$17)*Parameters!$I$5*ISNUMBER(P29)+(Parameters!$F$6=Parameters!$E$17)*Parameters!$I$6*ISNUMBER(Q29)+(Parameters!$F$7=Parameters!$E$17)*Parameters!$I$7*ISNUMBER(R29)+(Parameters!$F$8=Parameters!$E$17)*Parameters!$I$8*ISNUMBER(S29)+(Parameters!$F$9=Parameters!$E$17)*Parameters!$I$9*ISNUMBER(T29)+(Parameters!$F$10=Parameters!$E$17)*Parameters!$I$10*ISNUMBER(U29)+(Parameters!$F$11=Parameters!$E$17)*Parameters!$I$11*ISNUMBER(V29)+(Parameters!$F$12=Parameters!$E$17)*Parameters!$I$12*ISNUMBER(W29))/((Parameters!$F$5=Parameters!$E$17)*Parameters!$I$5*1+(Parameters!$F$6=Parameters!$E$17)*Parameters!$I$6*1+(Parameters!$F$7=Parameters!$E$17)*Parameters!$I$7*1+(Parameters!$F$8=Parameters!$E$17)*Parameters!$I$8*1+(Parameters!$F$9=Parameters!$E$17)*Parameters!$I$9*1+(Parameters!$F$10=Parameters!$E$17)*Parameters!$I$10*1+(Parameters!$F$11=Parameters!$E$17)*Parameters!$I$11*X29+(Parameters!$F$12=Parameters!$E$17)*Parameters!$I$12*Y29)&gt;=Parameters!$B$36),((Parameters!$F$5=Parameters!$E$17)*Parameters!$I$5*N(P29)+(Parameters!$F$6=Parameters!$E$17)*Parameters!$I$6*N(Q29)+(Parameters!$F$7=Parameters!$E$17)*Parameters!$I$7*N(R29)+(Parameters!$F$8=Parameters!$E$17)*Parameters!$I$8*N(S29)+(Parameters!$F$9=Parameters!$E$17)*Parameters!$I$9*N(T29)+(Parameters!$F$10=Parameters!$E$17)*Parameters!$I$10*N(U29)+(Parameters!$F$11=Parameters!$E$17)*Parameters!$I$11*N(V29)+(Parameters!$F$12=Parameters!$E$17)*Parameters!$I$12*N(W29))/((Parameters!$F$5=Parameters!$E$17)*Parameters!$I$5*ISNUMBER(P29)+(Parameters!$F$6=Parameters!$E$17)*Parameters!$I$6*ISNUMBER(Q29)+(Parameters!$F$7=Parameters!$E$17)*Parameters!$I$7*ISNUMBER(R29)+(Parameters!$F$8=Parameters!$E$17)*Parameters!$I$8*ISNUMBER(S29)+(Parameters!$F$9=Parameters!$E$17)*Parameters!$I$9*ISNUMBER(T29)+(Parameters!$F$10=Parameters!$E$17)*Parameters!$I$10*ISNUMBER(U29)+(Parameters!$F$11=Parameters!$E$17)*Parameters!$I$11*ISNUMBER(V29)+(Parameters!$F$12=Parameters!$E$17)*Parameters!$I$12*ISNUMBER(W29)),""))</f>
        <v>0</v>
      </c>
      <c r="AC29" s="17" t="n">
        <f aca="false">Parameters!$I$5*ISNUMBER(P29)+Parameters!$I$6*ISNUMBER(Q29)+Parameters!$I$7*ISNUMBER(R29)+Parameters!$I$8*ISNUMBER(S29)+Parameters!$I$9*ISNUMBER(T29)+Parameters!$I$10*ISNUMBER(U29)+Parameters!$I$11*ISNUMBER(V29)+Parameters!$I$12*ISNUMBER(W29)</f>
        <v>85</v>
      </c>
      <c r="AD29" s="17" t="n">
        <f aca="false">Parameters!$I$5*1+Parameters!$I$6*1+Parameters!$I$7*1+Parameters!$I$8*1+Parameters!$I$9*1+Parameters!$I$10*1+Parameters!$I$11*X29+Parameters!$I$12*Y29</f>
        <v>85</v>
      </c>
      <c r="AE29" s="18" t="n">
        <f aca="false">IF(AD29=0,"",AC29/AD29)</f>
        <v>1</v>
      </c>
      <c r="AF29" s="17" t="str">
        <f aca="false">IF(ISNUMBER(Z29),"M","")&amp;IF(ISNUMBER(AA29),"I","")&amp;IF(ISNUMBER(AB29),"O","")</f>
        <v>MIO</v>
      </c>
      <c r="AG29" s="19" t="n">
        <f aca="false">IF(AND(ISNUMBER(AE29),ISNUMBER(Z29)+ISNUMBER(AA29)+ISNUMBER(AB29)&gt;=Parameters!$B$37),IF(AE29&gt;=Parameters!$B$35,100*(Parameters!$F$15*N(Z29)+Parameters!$F$16*N(AA29)+Parameters!$F$17*N(AB29))/(Parameters!$F$15*ISNUMBER(Z29)+Parameters!$F$16*ISNUMBER(AA29)+Parameters!$F$17*ISNUMBER(AB29)),""),"")</f>
        <v>71.6666666666667</v>
      </c>
      <c r="AH29" s="17" t="n">
        <f aca="false">IF(ISNUMBER(AG29),RANK(AG29,$AG$2:$AG$113),"")</f>
        <v>97</v>
      </c>
    </row>
    <row r="30" customFormat="false" ht="15" hidden="false" customHeight="false" outlineLevel="0" collapsed="false">
      <c r="A30" s="5" t="s">
        <v>242</v>
      </c>
      <c r="B30" s="5" t="s">
        <v>243</v>
      </c>
      <c r="C30" s="5" t="s">
        <v>244</v>
      </c>
      <c r="D30" s="5" t="s">
        <v>31</v>
      </c>
      <c r="E30" s="5" t="s">
        <v>44</v>
      </c>
      <c r="F30" s="5" t="s">
        <v>245</v>
      </c>
      <c r="G30" s="15" t="s">
        <v>246</v>
      </c>
      <c r="H30" s="8" t="n">
        <v>1</v>
      </c>
      <c r="I30" s="5" t="s">
        <v>57</v>
      </c>
      <c r="J30" s="5" t="s">
        <v>68</v>
      </c>
      <c r="K30" s="15"/>
      <c r="L30" s="5" t="s">
        <v>79</v>
      </c>
      <c r="M30" s="5" t="s">
        <v>157</v>
      </c>
      <c r="N30" s="5"/>
      <c r="O30" s="5"/>
      <c r="P30" s="16" t="n">
        <f aca="false">IFERROR(IF(ISNUMBER(INDEX(Parameters!$B$5:$B$23,MATCH(D30,Parameters!$A$5:$A$23,0))),INDEX(Parameters!$B$5:$B$23,MATCH(D30,Parameters!$A$5:$A$23,0)),""),"")</f>
        <v>1</v>
      </c>
      <c r="Q30" s="16" t="n">
        <f aca="false">IFERROR(IF(ISNUMBER(INDEX(Parameters!$B$5:$B$23,MATCH(E30,Parameters!$A$5:$A$23,0))),INDEX(Parameters!$B$5:$B$23,MATCH(E30,Parameters!$A$5:$A$23,0)),""),"")</f>
        <v>1</v>
      </c>
      <c r="R30" s="16" t="n">
        <f aca="false">IF(F30="","",IFERROR(MIN(Parameters!$B$33,MAX(0,Parameters!$B$32-VALUE(LEFT(F30,4))))/Parameters!$B$33,""))</f>
        <v>1</v>
      </c>
      <c r="S30" s="16" t="n">
        <f aca="false">IF(ISNUMBER(H30),H30,IF(G30="",IF(ISNUMBER(Parameters!$B$34),Parameters!$B$34,""),""))</f>
        <v>1</v>
      </c>
      <c r="T30" s="16" t="n">
        <f aca="false">IFERROR(IF(ISNUMBER(INDEX(Parameters!$B$5:$B$23,MATCH(I30,Parameters!$A$5:$A$23,0))),INDEX(Parameters!$B$5:$B$23,MATCH(I30,Parameters!$A$5:$A$23,0)),""),"")</f>
        <v>0</v>
      </c>
      <c r="U30" s="16" t="n">
        <f aca="false">IFERROR(IF(ISNUMBER(INDEX(Parameters!$B$5:$B$23,MATCH(L30,Parameters!$A$5:$A$23,0))),INDEX(Parameters!$B$5:$B$23,MATCH(L30,Parameters!$A$5:$A$23,0)),""),"")</f>
        <v>1</v>
      </c>
      <c r="V30" s="16" t="n">
        <f aca="false">IFERROR(IF(ISNUMBER(INDEX(Parameters!$B$5:$B$23,MATCH(J30,Parameters!$A$5:$A$23,0))),INDEX(Parameters!$B$5:$B$23,MATCH(J30,Parameters!$A$5:$A$23,0)),""),"")</f>
        <v>1</v>
      </c>
      <c r="W30" s="16" t="n">
        <f aca="false">IF(K30&lt;&gt;"",1,IF(COUNTIF(Parameters!$A$27:$A$28,J30)&gt;0,0,""))</f>
        <v>0</v>
      </c>
      <c r="X30" s="17" t="n">
        <f aca="false">IF(J30="Not applicable",0,1)</f>
        <v>1</v>
      </c>
      <c r="Y30" s="17" t="n">
        <f aca="false">IF(OR(K30&lt;&gt;"",COUNTIF(Parameters!$A$27:$A$28,J30)&gt;0),1,0)</f>
        <v>1</v>
      </c>
      <c r="Z30"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30+(Parameters!$F$12=Parameters!$E$15)*Parameters!$I$12*Y30)=0,"",IF(AND(((Parameters!$F$5=Parameters!$E$15)*Parameters!$I$5*ISNUMBER(P30)+(Parameters!$F$6=Parameters!$E$15)*Parameters!$I$6*ISNUMBER(Q30)+(Parameters!$F$7=Parameters!$E$15)*Parameters!$I$7*ISNUMBER(R30)+(Parameters!$F$8=Parameters!$E$15)*Parameters!$I$8*ISNUMBER(S30)+(Parameters!$F$9=Parameters!$E$15)*Parameters!$I$9*ISNUMBER(T30)+(Parameters!$F$10=Parameters!$E$15)*Parameters!$I$10*ISNUMBER(U30)+(Parameters!$F$11=Parameters!$E$15)*Parameters!$I$11*ISNUMBER(V30)+(Parameters!$F$12=Parameters!$E$15)*Parameters!$I$12*ISNUMBER(W30))&gt;0,((Parameters!$F$5=Parameters!$E$15)*Parameters!$I$5*ISNUMBER(P30)+(Parameters!$F$6=Parameters!$E$15)*Parameters!$I$6*ISNUMBER(Q30)+(Parameters!$F$7=Parameters!$E$15)*Parameters!$I$7*ISNUMBER(R30)+(Parameters!$F$8=Parameters!$E$15)*Parameters!$I$8*ISNUMBER(S30)+(Parameters!$F$9=Parameters!$E$15)*Parameters!$I$9*ISNUMBER(T30)+(Parameters!$F$10=Parameters!$E$15)*Parameters!$I$10*ISNUMBER(U30)+(Parameters!$F$11=Parameters!$E$15)*Parameters!$I$11*ISNUMBER(V30)+(Parameters!$F$12=Parameters!$E$15)*Parameters!$I$12*ISNUMBER(W30))/((Parameters!$F$5=Parameters!$E$15)*Parameters!$I$5*1+(Parameters!$F$6=Parameters!$E$15)*Parameters!$I$6*1+(Parameters!$F$7=Parameters!$E$15)*Parameters!$I$7*1+(Parameters!$F$8=Parameters!$E$15)*Parameters!$I$8*1+(Parameters!$F$9=Parameters!$E$15)*Parameters!$I$9*1+(Parameters!$F$10=Parameters!$E$15)*Parameters!$I$10*1+(Parameters!$F$11=Parameters!$E$15)*Parameters!$I$11*X30+(Parameters!$F$12=Parameters!$E$15)*Parameters!$I$12*Y30)&gt;=Parameters!$B$36),((Parameters!$F$5=Parameters!$E$15)*Parameters!$I$5*N(P30)+(Parameters!$F$6=Parameters!$E$15)*Parameters!$I$6*N(Q30)+(Parameters!$F$7=Parameters!$E$15)*Parameters!$I$7*N(R30)+(Parameters!$F$8=Parameters!$E$15)*Parameters!$I$8*N(S30)+(Parameters!$F$9=Parameters!$E$15)*Parameters!$I$9*N(T30)+(Parameters!$F$10=Parameters!$E$15)*Parameters!$I$10*N(U30)+(Parameters!$F$11=Parameters!$E$15)*Parameters!$I$11*N(V30)+(Parameters!$F$12=Parameters!$E$15)*Parameters!$I$12*N(W30))/((Parameters!$F$5=Parameters!$E$15)*Parameters!$I$5*ISNUMBER(P30)+(Parameters!$F$6=Parameters!$E$15)*Parameters!$I$6*ISNUMBER(Q30)+(Parameters!$F$7=Parameters!$E$15)*Parameters!$I$7*ISNUMBER(R30)+(Parameters!$F$8=Parameters!$E$15)*Parameters!$I$8*ISNUMBER(S30)+(Parameters!$F$9=Parameters!$E$15)*Parameters!$I$9*ISNUMBER(T30)+(Parameters!$F$10=Parameters!$E$15)*Parameters!$I$10*ISNUMBER(U30)+(Parameters!$F$11=Parameters!$E$15)*Parameters!$I$11*ISNUMBER(V30)+(Parameters!$F$12=Parameters!$E$15)*Parameters!$I$12*ISNUMBER(W30)),""))</f>
        <v>1</v>
      </c>
      <c r="AA30"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30+(Parameters!$F$12=Parameters!$E$16)*Parameters!$I$12*Y30)=0,"",IF(AND(((Parameters!$F$5=Parameters!$E$16)*Parameters!$I$5*ISNUMBER(P30)+(Parameters!$F$6=Parameters!$E$16)*Parameters!$I$6*ISNUMBER(Q30)+(Parameters!$F$7=Parameters!$E$16)*Parameters!$I$7*ISNUMBER(R30)+(Parameters!$F$8=Parameters!$E$16)*Parameters!$I$8*ISNUMBER(S30)+(Parameters!$F$9=Parameters!$E$16)*Parameters!$I$9*ISNUMBER(T30)+(Parameters!$F$10=Parameters!$E$16)*Parameters!$I$10*ISNUMBER(U30)+(Parameters!$F$11=Parameters!$E$16)*Parameters!$I$11*ISNUMBER(V30)+(Parameters!$F$12=Parameters!$E$16)*Parameters!$I$12*ISNUMBER(W30))&gt;0,((Parameters!$F$5=Parameters!$E$16)*Parameters!$I$5*ISNUMBER(P30)+(Parameters!$F$6=Parameters!$E$16)*Parameters!$I$6*ISNUMBER(Q30)+(Parameters!$F$7=Parameters!$E$16)*Parameters!$I$7*ISNUMBER(R30)+(Parameters!$F$8=Parameters!$E$16)*Parameters!$I$8*ISNUMBER(S30)+(Parameters!$F$9=Parameters!$E$16)*Parameters!$I$9*ISNUMBER(T30)+(Parameters!$F$10=Parameters!$E$16)*Parameters!$I$10*ISNUMBER(U30)+(Parameters!$F$11=Parameters!$E$16)*Parameters!$I$11*ISNUMBER(V30)+(Parameters!$F$12=Parameters!$E$16)*Parameters!$I$12*ISNUMBER(W30))/((Parameters!$F$5=Parameters!$E$16)*Parameters!$I$5*1+(Parameters!$F$6=Parameters!$E$16)*Parameters!$I$6*1+(Parameters!$F$7=Parameters!$E$16)*Parameters!$I$7*1+(Parameters!$F$8=Parameters!$E$16)*Parameters!$I$8*1+(Parameters!$F$9=Parameters!$E$16)*Parameters!$I$9*1+(Parameters!$F$10=Parameters!$E$16)*Parameters!$I$10*1+(Parameters!$F$11=Parameters!$E$16)*Parameters!$I$11*X30+(Parameters!$F$12=Parameters!$E$16)*Parameters!$I$12*Y30)&gt;=Parameters!$B$36),((Parameters!$F$5=Parameters!$E$16)*Parameters!$I$5*N(P30)+(Parameters!$F$6=Parameters!$E$16)*Parameters!$I$6*N(Q30)+(Parameters!$F$7=Parameters!$E$16)*Parameters!$I$7*N(R30)+(Parameters!$F$8=Parameters!$E$16)*Parameters!$I$8*N(S30)+(Parameters!$F$9=Parameters!$E$16)*Parameters!$I$9*N(T30)+(Parameters!$F$10=Parameters!$E$16)*Parameters!$I$10*N(U30)+(Parameters!$F$11=Parameters!$E$16)*Parameters!$I$11*N(V30)+(Parameters!$F$12=Parameters!$E$16)*Parameters!$I$12*N(W30))/((Parameters!$F$5=Parameters!$E$16)*Parameters!$I$5*ISNUMBER(P30)+(Parameters!$F$6=Parameters!$E$16)*Parameters!$I$6*ISNUMBER(Q30)+(Parameters!$F$7=Parameters!$E$16)*Parameters!$I$7*ISNUMBER(R30)+(Parameters!$F$8=Parameters!$E$16)*Parameters!$I$8*ISNUMBER(S30)+(Parameters!$F$9=Parameters!$E$16)*Parameters!$I$9*ISNUMBER(T30)+(Parameters!$F$10=Parameters!$E$16)*Parameters!$I$10*ISNUMBER(U30)+(Parameters!$F$11=Parameters!$E$16)*Parameters!$I$11*ISNUMBER(V30)+(Parameters!$F$12=Parameters!$E$16)*Parameters!$I$12*ISNUMBER(W30)),""))</f>
        <v>0.8</v>
      </c>
      <c r="AB30"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30+(Parameters!$F$12=Parameters!$E$17)*Parameters!$I$12*Y30)=0,"",IF(AND(((Parameters!$F$5=Parameters!$E$17)*Parameters!$I$5*ISNUMBER(P30)+(Parameters!$F$6=Parameters!$E$17)*Parameters!$I$6*ISNUMBER(Q30)+(Parameters!$F$7=Parameters!$E$17)*Parameters!$I$7*ISNUMBER(R30)+(Parameters!$F$8=Parameters!$E$17)*Parameters!$I$8*ISNUMBER(S30)+(Parameters!$F$9=Parameters!$E$17)*Parameters!$I$9*ISNUMBER(T30)+(Parameters!$F$10=Parameters!$E$17)*Parameters!$I$10*ISNUMBER(U30)+(Parameters!$F$11=Parameters!$E$17)*Parameters!$I$11*ISNUMBER(V30)+(Parameters!$F$12=Parameters!$E$17)*Parameters!$I$12*ISNUMBER(W30))&gt;0,((Parameters!$F$5=Parameters!$E$17)*Parameters!$I$5*ISNUMBER(P30)+(Parameters!$F$6=Parameters!$E$17)*Parameters!$I$6*ISNUMBER(Q30)+(Parameters!$F$7=Parameters!$E$17)*Parameters!$I$7*ISNUMBER(R30)+(Parameters!$F$8=Parameters!$E$17)*Parameters!$I$8*ISNUMBER(S30)+(Parameters!$F$9=Parameters!$E$17)*Parameters!$I$9*ISNUMBER(T30)+(Parameters!$F$10=Parameters!$E$17)*Parameters!$I$10*ISNUMBER(U30)+(Parameters!$F$11=Parameters!$E$17)*Parameters!$I$11*ISNUMBER(V30)+(Parameters!$F$12=Parameters!$E$17)*Parameters!$I$12*ISNUMBER(W30))/((Parameters!$F$5=Parameters!$E$17)*Parameters!$I$5*1+(Parameters!$F$6=Parameters!$E$17)*Parameters!$I$6*1+(Parameters!$F$7=Parameters!$E$17)*Parameters!$I$7*1+(Parameters!$F$8=Parameters!$E$17)*Parameters!$I$8*1+(Parameters!$F$9=Parameters!$E$17)*Parameters!$I$9*1+(Parameters!$F$10=Parameters!$E$17)*Parameters!$I$10*1+(Parameters!$F$11=Parameters!$E$17)*Parameters!$I$11*X30+(Parameters!$F$12=Parameters!$E$17)*Parameters!$I$12*Y30)&gt;=Parameters!$B$36),((Parameters!$F$5=Parameters!$E$17)*Parameters!$I$5*N(P30)+(Parameters!$F$6=Parameters!$E$17)*Parameters!$I$6*N(Q30)+(Parameters!$F$7=Parameters!$E$17)*Parameters!$I$7*N(R30)+(Parameters!$F$8=Parameters!$E$17)*Parameters!$I$8*N(S30)+(Parameters!$F$9=Parameters!$E$17)*Parameters!$I$9*N(T30)+(Parameters!$F$10=Parameters!$E$17)*Parameters!$I$10*N(U30)+(Parameters!$F$11=Parameters!$E$17)*Parameters!$I$11*N(V30)+(Parameters!$F$12=Parameters!$E$17)*Parameters!$I$12*N(W30))/((Parameters!$F$5=Parameters!$E$17)*Parameters!$I$5*ISNUMBER(P30)+(Parameters!$F$6=Parameters!$E$17)*Parameters!$I$6*ISNUMBER(Q30)+(Parameters!$F$7=Parameters!$E$17)*Parameters!$I$7*ISNUMBER(R30)+(Parameters!$F$8=Parameters!$E$17)*Parameters!$I$8*ISNUMBER(S30)+(Parameters!$F$9=Parameters!$E$17)*Parameters!$I$9*ISNUMBER(T30)+(Parameters!$F$10=Parameters!$E$17)*Parameters!$I$10*ISNUMBER(U30)+(Parameters!$F$11=Parameters!$E$17)*Parameters!$I$11*ISNUMBER(V30)+(Parameters!$F$12=Parameters!$E$17)*Parameters!$I$12*ISNUMBER(W30)),""))</f>
        <v>0.5</v>
      </c>
      <c r="AC30" s="17" t="n">
        <f aca="false">Parameters!$I$5*ISNUMBER(P30)+Parameters!$I$6*ISNUMBER(Q30)+Parameters!$I$7*ISNUMBER(R30)+Parameters!$I$8*ISNUMBER(S30)+Parameters!$I$9*ISNUMBER(T30)+Parameters!$I$10*ISNUMBER(U30)+Parameters!$I$11*ISNUMBER(V30)+Parameters!$I$12*ISNUMBER(W30)</f>
        <v>95</v>
      </c>
      <c r="AD30" s="17" t="n">
        <f aca="false">Parameters!$I$5*1+Parameters!$I$6*1+Parameters!$I$7*1+Parameters!$I$8*1+Parameters!$I$9*1+Parameters!$I$10*1+Parameters!$I$11*X30+Parameters!$I$12*Y30</f>
        <v>95</v>
      </c>
      <c r="AE30" s="18" t="n">
        <f aca="false">IF(AD30=0,"",AC30/AD30)</f>
        <v>1</v>
      </c>
      <c r="AF30" s="17" t="str">
        <f aca="false">IF(ISNUMBER(Z30),"M","")&amp;IF(ISNUMBER(AA30),"I","")&amp;IF(ISNUMBER(AB30),"O","")</f>
        <v>MIO</v>
      </c>
      <c r="AG30" s="19" t="n">
        <f aca="false">IF(AND(ISNUMBER(AE30),ISNUMBER(Z30)+ISNUMBER(AA30)+ISNUMBER(AB30)&gt;=Parameters!$B$37),IF(AE30&gt;=Parameters!$B$35,100*(Parameters!$F$15*N(Z30)+Parameters!$F$16*N(AA30)+Parameters!$F$17*N(AB30))/(Parameters!$F$15*ISNUMBER(Z30)+Parameters!$F$16*ISNUMBER(AA30)+Parameters!$F$17*ISNUMBER(AB30)),""),"")</f>
        <v>84</v>
      </c>
      <c r="AH30" s="17" t="n">
        <f aca="false">IF(ISNUMBER(AG30),RANK(AG30,$AG$2:$AG$113),"")</f>
        <v>63</v>
      </c>
    </row>
    <row r="31" customFormat="false" ht="15" hidden="false" customHeight="false" outlineLevel="0" collapsed="false">
      <c r="A31" s="5" t="s">
        <v>247</v>
      </c>
      <c r="B31" s="5" t="s">
        <v>248</v>
      </c>
      <c r="C31" s="5" t="s">
        <v>249</v>
      </c>
      <c r="D31" s="5" t="s">
        <v>40</v>
      </c>
      <c r="E31" s="5" t="s">
        <v>44</v>
      </c>
      <c r="F31" s="5" t="s">
        <v>250</v>
      </c>
      <c r="G31" s="15" t="s">
        <v>251</v>
      </c>
      <c r="H31" s="8" t="n">
        <v>1</v>
      </c>
      <c r="I31" s="5" t="s">
        <v>53</v>
      </c>
      <c r="J31" s="5" t="s">
        <v>74</v>
      </c>
      <c r="K31" s="15"/>
      <c r="L31" s="5" t="s">
        <v>76</v>
      </c>
      <c r="M31" s="5" t="s">
        <v>136</v>
      </c>
      <c r="N31" s="5"/>
      <c r="O31" s="5" t="s">
        <v>252</v>
      </c>
      <c r="P31" s="16" t="n">
        <f aca="false">IFERROR(IF(ISNUMBER(INDEX(Parameters!$B$5:$B$23,MATCH(D31,Parameters!$A$5:$A$23,0))),INDEX(Parameters!$B$5:$B$23,MATCH(D31,Parameters!$A$5:$A$23,0)),""),"")</f>
        <v>0.555555555555556</v>
      </c>
      <c r="Q31" s="16" t="n">
        <f aca="false">IFERROR(IF(ISNUMBER(INDEX(Parameters!$B$5:$B$23,MATCH(E31,Parameters!$A$5:$A$23,0))),INDEX(Parameters!$B$5:$B$23,MATCH(E31,Parameters!$A$5:$A$23,0)),""),"")</f>
        <v>1</v>
      </c>
      <c r="R31" s="16" t="n">
        <f aca="false">IF(F31="","",IFERROR(MIN(Parameters!$B$33,MAX(0,Parameters!$B$32-VALUE(LEFT(F31,4))))/Parameters!$B$33,""))</f>
        <v>0.133333333333333</v>
      </c>
      <c r="S31" s="16" t="n">
        <f aca="false">IF(ISNUMBER(H31),H31,IF(G31="",IF(ISNUMBER(Parameters!$B$34),Parameters!$B$34,""),""))</f>
        <v>1</v>
      </c>
      <c r="T31" s="16" t="n">
        <f aca="false">IFERROR(IF(ISNUMBER(INDEX(Parameters!$B$5:$B$23,MATCH(I31,Parameters!$A$5:$A$23,0))),INDEX(Parameters!$B$5:$B$23,MATCH(I31,Parameters!$A$5:$A$23,0)),""),"")</f>
        <v>1</v>
      </c>
      <c r="U31" s="16" t="n">
        <f aca="false">IFERROR(IF(ISNUMBER(INDEX(Parameters!$B$5:$B$23,MATCH(L31,Parameters!$A$5:$A$23,0))),INDEX(Parameters!$B$5:$B$23,MATCH(L31,Parameters!$A$5:$A$23,0)),""),"")</f>
        <v>1</v>
      </c>
      <c r="V31" s="16" t="str">
        <f aca="false">IFERROR(IF(ISNUMBER(INDEX(Parameters!$B$5:$B$23,MATCH(J31,Parameters!$A$5:$A$23,0))),INDEX(Parameters!$B$5:$B$23,MATCH(J31,Parameters!$A$5:$A$23,0)),""),"")</f>
        <v/>
      </c>
      <c r="W31" s="16" t="str">
        <f aca="false">IF(K31&lt;&gt;"",1,IF(COUNTIF(Parameters!$A$27:$A$28,J31)&gt;0,0,""))</f>
        <v/>
      </c>
      <c r="X31" s="17" t="n">
        <f aca="false">IF(J31="Not applicable",0,1)</f>
        <v>0</v>
      </c>
      <c r="Y31" s="17" t="n">
        <f aca="false">IF(OR(K31&lt;&gt;"",COUNTIF(Parameters!$A$27:$A$28,J31)&gt;0),1,0)</f>
        <v>0</v>
      </c>
      <c r="Z31"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31+(Parameters!$F$12=Parameters!$E$15)*Parameters!$I$12*Y31)=0,"",IF(AND(((Parameters!$F$5=Parameters!$E$15)*Parameters!$I$5*ISNUMBER(P31)+(Parameters!$F$6=Parameters!$E$15)*Parameters!$I$6*ISNUMBER(Q31)+(Parameters!$F$7=Parameters!$E$15)*Parameters!$I$7*ISNUMBER(R31)+(Parameters!$F$8=Parameters!$E$15)*Parameters!$I$8*ISNUMBER(S31)+(Parameters!$F$9=Parameters!$E$15)*Parameters!$I$9*ISNUMBER(T31)+(Parameters!$F$10=Parameters!$E$15)*Parameters!$I$10*ISNUMBER(U31)+(Parameters!$F$11=Parameters!$E$15)*Parameters!$I$11*ISNUMBER(V31)+(Parameters!$F$12=Parameters!$E$15)*Parameters!$I$12*ISNUMBER(W31))&gt;0,((Parameters!$F$5=Parameters!$E$15)*Parameters!$I$5*ISNUMBER(P31)+(Parameters!$F$6=Parameters!$E$15)*Parameters!$I$6*ISNUMBER(Q31)+(Parameters!$F$7=Parameters!$E$15)*Parameters!$I$7*ISNUMBER(R31)+(Parameters!$F$8=Parameters!$E$15)*Parameters!$I$8*ISNUMBER(S31)+(Parameters!$F$9=Parameters!$E$15)*Parameters!$I$9*ISNUMBER(T31)+(Parameters!$F$10=Parameters!$E$15)*Parameters!$I$10*ISNUMBER(U31)+(Parameters!$F$11=Parameters!$E$15)*Parameters!$I$11*ISNUMBER(V31)+(Parameters!$F$12=Parameters!$E$15)*Parameters!$I$12*ISNUMBER(W31))/((Parameters!$F$5=Parameters!$E$15)*Parameters!$I$5*1+(Parameters!$F$6=Parameters!$E$15)*Parameters!$I$6*1+(Parameters!$F$7=Parameters!$E$15)*Parameters!$I$7*1+(Parameters!$F$8=Parameters!$E$15)*Parameters!$I$8*1+(Parameters!$F$9=Parameters!$E$15)*Parameters!$I$9*1+(Parameters!$F$10=Parameters!$E$15)*Parameters!$I$10*1+(Parameters!$F$11=Parameters!$E$15)*Parameters!$I$11*X31+(Parameters!$F$12=Parameters!$E$15)*Parameters!$I$12*Y31)&gt;=Parameters!$B$36),((Parameters!$F$5=Parameters!$E$15)*Parameters!$I$5*N(P31)+(Parameters!$F$6=Parameters!$E$15)*Parameters!$I$6*N(Q31)+(Parameters!$F$7=Parameters!$E$15)*Parameters!$I$7*N(R31)+(Parameters!$F$8=Parameters!$E$15)*Parameters!$I$8*N(S31)+(Parameters!$F$9=Parameters!$E$15)*Parameters!$I$9*N(T31)+(Parameters!$F$10=Parameters!$E$15)*Parameters!$I$10*N(U31)+(Parameters!$F$11=Parameters!$E$15)*Parameters!$I$11*N(V31)+(Parameters!$F$12=Parameters!$E$15)*Parameters!$I$12*N(W31))/((Parameters!$F$5=Parameters!$E$15)*Parameters!$I$5*ISNUMBER(P31)+(Parameters!$F$6=Parameters!$E$15)*Parameters!$I$6*ISNUMBER(Q31)+(Parameters!$F$7=Parameters!$E$15)*Parameters!$I$7*ISNUMBER(R31)+(Parameters!$F$8=Parameters!$E$15)*Parameters!$I$8*ISNUMBER(S31)+(Parameters!$F$9=Parameters!$E$15)*Parameters!$I$9*ISNUMBER(T31)+(Parameters!$F$10=Parameters!$E$15)*Parameters!$I$10*ISNUMBER(U31)+(Parameters!$F$11=Parameters!$E$15)*Parameters!$I$11*ISNUMBER(V31)+(Parameters!$F$12=Parameters!$E$15)*Parameters!$I$12*ISNUMBER(W31)),""))</f>
        <v>0.735555555555556</v>
      </c>
      <c r="AA31"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31+(Parameters!$F$12=Parameters!$E$16)*Parameters!$I$12*Y31)=0,"",IF(AND(((Parameters!$F$5=Parameters!$E$16)*Parameters!$I$5*ISNUMBER(P31)+(Parameters!$F$6=Parameters!$E$16)*Parameters!$I$6*ISNUMBER(Q31)+(Parameters!$F$7=Parameters!$E$16)*Parameters!$I$7*ISNUMBER(R31)+(Parameters!$F$8=Parameters!$E$16)*Parameters!$I$8*ISNUMBER(S31)+(Parameters!$F$9=Parameters!$E$16)*Parameters!$I$9*ISNUMBER(T31)+(Parameters!$F$10=Parameters!$E$16)*Parameters!$I$10*ISNUMBER(U31)+(Parameters!$F$11=Parameters!$E$16)*Parameters!$I$11*ISNUMBER(V31)+(Parameters!$F$12=Parameters!$E$16)*Parameters!$I$12*ISNUMBER(W31))&gt;0,((Parameters!$F$5=Parameters!$E$16)*Parameters!$I$5*ISNUMBER(P31)+(Parameters!$F$6=Parameters!$E$16)*Parameters!$I$6*ISNUMBER(Q31)+(Parameters!$F$7=Parameters!$E$16)*Parameters!$I$7*ISNUMBER(R31)+(Parameters!$F$8=Parameters!$E$16)*Parameters!$I$8*ISNUMBER(S31)+(Parameters!$F$9=Parameters!$E$16)*Parameters!$I$9*ISNUMBER(T31)+(Parameters!$F$10=Parameters!$E$16)*Parameters!$I$10*ISNUMBER(U31)+(Parameters!$F$11=Parameters!$E$16)*Parameters!$I$11*ISNUMBER(V31)+(Parameters!$F$12=Parameters!$E$16)*Parameters!$I$12*ISNUMBER(W31))/((Parameters!$F$5=Parameters!$E$16)*Parameters!$I$5*1+(Parameters!$F$6=Parameters!$E$16)*Parameters!$I$6*1+(Parameters!$F$7=Parameters!$E$16)*Parameters!$I$7*1+(Parameters!$F$8=Parameters!$E$16)*Parameters!$I$8*1+(Parameters!$F$9=Parameters!$E$16)*Parameters!$I$9*1+(Parameters!$F$10=Parameters!$E$16)*Parameters!$I$10*1+(Parameters!$F$11=Parameters!$E$16)*Parameters!$I$11*X31+(Parameters!$F$12=Parameters!$E$16)*Parameters!$I$12*Y31)&gt;=Parameters!$B$36),((Parameters!$F$5=Parameters!$E$16)*Parameters!$I$5*N(P31)+(Parameters!$F$6=Parameters!$E$16)*Parameters!$I$6*N(Q31)+(Parameters!$F$7=Parameters!$E$16)*Parameters!$I$7*N(R31)+(Parameters!$F$8=Parameters!$E$16)*Parameters!$I$8*N(S31)+(Parameters!$F$9=Parameters!$E$16)*Parameters!$I$9*N(T31)+(Parameters!$F$10=Parameters!$E$16)*Parameters!$I$10*N(U31)+(Parameters!$F$11=Parameters!$E$16)*Parameters!$I$11*N(V31)+(Parameters!$F$12=Parameters!$E$16)*Parameters!$I$12*N(W31))/((Parameters!$F$5=Parameters!$E$16)*Parameters!$I$5*ISNUMBER(P31)+(Parameters!$F$6=Parameters!$E$16)*Parameters!$I$6*ISNUMBER(Q31)+(Parameters!$F$7=Parameters!$E$16)*Parameters!$I$7*ISNUMBER(R31)+(Parameters!$F$8=Parameters!$E$16)*Parameters!$I$8*ISNUMBER(S31)+(Parameters!$F$9=Parameters!$E$16)*Parameters!$I$9*ISNUMBER(T31)+(Parameters!$F$10=Parameters!$E$16)*Parameters!$I$10*ISNUMBER(U31)+(Parameters!$F$11=Parameters!$E$16)*Parameters!$I$11*ISNUMBER(V31)+(Parameters!$F$12=Parameters!$E$16)*Parameters!$I$12*ISNUMBER(W31)),""))</f>
        <v>1</v>
      </c>
      <c r="AB31"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31+(Parameters!$F$12=Parameters!$E$17)*Parameters!$I$12*Y31)=0,"",IF(AND(((Parameters!$F$5=Parameters!$E$17)*Parameters!$I$5*ISNUMBER(P31)+(Parameters!$F$6=Parameters!$E$17)*Parameters!$I$6*ISNUMBER(Q31)+(Parameters!$F$7=Parameters!$E$17)*Parameters!$I$7*ISNUMBER(R31)+(Parameters!$F$8=Parameters!$E$17)*Parameters!$I$8*ISNUMBER(S31)+(Parameters!$F$9=Parameters!$E$17)*Parameters!$I$9*ISNUMBER(T31)+(Parameters!$F$10=Parameters!$E$17)*Parameters!$I$10*ISNUMBER(U31)+(Parameters!$F$11=Parameters!$E$17)*Parameters!$I$11*ISNUMBER(V31)+(Parameters!$F$12=Parameters!$E$17)*Parameters!$I$12*ISNUMBER(W31))&gt;0,((Parameters!$F$5=Parameters!$E$17)*Parameters!$I$5*ISNUMBER(P31)+(Parameters!$F$6=Parameters!$E$17)*Parameters!$I$6*ISNUMBER(Q31)+(Parameters!$F$7=Parameters!$E$17)*Parameters!$I$7*ISNUMBER(R31)+(Parameters!$F$8=Parameters!$E$17)*Parameters!$I$8*ISNUMBER(S31)+(Parameters!$F$9=Parameters!$E$17)*Parameters!$I$9*ISNUMBER(T31)+(Parameters!$F$10=Parameters!$E$17)*Parameters!$I$10*ISNUMBER(U31)+(Parameters!$F$11=Parameters!$E$17)*Parameters!$I$11*ISNUMBER(V31)+(Parameters!$F$12=Parameters!$E$17)*Parameters!$I$12*ISNUMBER(W31))/((Parameters!$F$5=Parameters!$E$17)*Parameters!$I$5*1+(Parameters!$F$6=Parameters!$E$17)*Parameters!$I$6*1+(Parameters!$F$7=Parameters!$E$17)*Parameters!$I$7*1+(Parameters!$F$8=Parameters!$E$17)*Parameters!$I$8*1+(Parameters!$F$9=Parameters!$E$17)*Parameters!$I$9*1+(Parameters!$F$10=Parameters!$E$17)*Parameters!$I$10*1+(Parameters!$F$11=Parameters!$E$17)*Parameters!$I$11*X31+(Parameters!$F$12=Parameters!$E$17)*Parameters!$I$12*Y31)&gt;=Parameters!$B$36),((Parameters!$F$5=Parameters!$E$17)*Parameters!$I$5*N(P31)+(Parameters!$F$6=Parameters!$E$17)*Parameters!$I$6*N(Q31)+(Parameters!$F$7=Parameters!$E$17)*Parameters!$I$7*N(R31)+(Parameters!$F$8=Parameters!$E$17)*Parameters!$I$8*N(S31)+(Parameters!$F$9=Parameters!$E$17)*Parameters!$I$9*N(T31)+(Parameters!$F$10=Parameters!$E$17)*Parameters!$I$10*N(U31)+(Parameters!$F$11=Parameters!$E$17)*Parameters!$I$11*N(V31)+(Parameters!$F$12=Parameters!$E$17)*Parameters!$I$12*N(W31))/((Parameters!$F$5=Parameters!$E$17)*Parameters!$I$5*ISNUMBER(P31)+(Parameters!$F$6=Parameters!$E$17)*Parameters!$I$6*ISNUMBER(Q31)+(Parameters!$F$7=Parameters!$E$17)*Parameters!$I$7*ISNUMBER(R31)+(Parameters!$F$8=Parameters!$E$17)*Parameters!$I$8*ISNUMBER(S31)+(Parameters!$F$9=Parameters!$E$17)*Parameters!$I$9*ISNUMBER(T31)+(Parameters!$F$10=Parameters!$E$17)*Parameters!$I$10*ISNUMBER(U31)+(Parameters!$F$11=Parameters!$E$17)*Parameters!$I$11*ISNUMBER(V31)+(Parameters!$F$12=Parameters!$E$17)*Parameters!$I$12*ISNUMBER(W31)),""))</f>
        <v/>
      </c>
      <c r="AC31" s="17" t="n">
        <f aca="false">Parameters!$I$5*ISNUMBER(P31)+Parameters!$I$6*ISNUMBER(Q31)+Parameters!$I$7*ISNUMBER(R31)+Parameters!$I$8*ISNUMBER(S31)+Parameters!$I$9*ISNUMBER(T31)+Parameters!$I$10*ISNUMBER(U31)+Parameters!$I$11*ISNUMBER(V31)+Parameters!$I$12*ISNUMBER(W31)</f>
        <v>75</v>
      </c>
      <c r="AD31" s="17" t="n">
        <f aca="false">Parameters!$I$5*1+Parameters!$I$6*1+Parameters!$I$7*1+Parameters!$I$8*1+Parameters!$I$9*1+Parameters!$I$10*1+Parameters!$I$11*X31+Parameters!$I$12*Y31</f>
        <v>75</v>
      </c>
      <c r="AE31" s="18" t="n">
        <f aca="false">IF(AD31=0,"",AC31/AD31)</f>
        <v>1</v>
      </c>
      <c r="AF31" s="17" t="str">
        <f aca="false">IF(ISNUMBER(Z31),"M","")&amp;IF(ISNUMBER(AA31),"I","")&amp;IF(ISNUMBER(AB31),"O","")</f>
        <v>MI</v>
      </c>
      <c r="AG31" s="19" t="n">
        <f aca="false">IF(AND(ISNUMBER(AE31),ISNUMBER(Z31)+ISNUMBER(AA31)+ISNUMBER(AB31)&gt;=Parameters!$B$37),IF(AE31&gt;=Parameters!$B$35,100*(Parameters!$F$15*N(Z31)+Parameters!$F$16*N(AA31)+Parameters!$F$17*N(AB31))/(Parameters!$F$15*ISNUMBER(Z31)+Parameters!$F$16*ISNUMBER(AA31)+Parameters!$F$17*ISNUMBER(AB31)),""),"")</f>
        <v>83.4722222222222</v>
      </c>
      <c r="AH31" s="17" t="n">
        <f aca="false">IF(ISNUMBER(AG31),RANK(AG31,$AG$2:$AG$113),"")</f>
        <v>66</v>
      </c>
    </row>
    <row r="32" customFormat="false" ht="15" hidden="false" customHeight="false" outlineLevel="0" collapsed="false">
      <c r="A32" s="5" t="s">
        <v>253</v>
      </c>
      <c r="B32" s="5" t="s">
        <v>253</v>
      </c>
      <c r="C32" s="5" t="s">
        <v>254</v>
      </c>
      <c r="D32" s="5" t="s">
        <v>31</v>
      </c>
      <c r="E32" s="5" t="s">
        <v>44</v>
      </c>
      <c r="F32" s="5" t="s">
        <v>165</v>
      </c>
      <c r="G32" s="15"/>
      <c r="H32" s="8"/>
      <c r="I32" s="5" t="s">
        <v>57</v>
      </c>
      <c r="J32" s="5" t="s">
        <v>74</v>
      </c>
      <c r="K32" s="15"/>
      <c r="L32" s="5" t="s">
        <v>76</v>
      </c>
      <c r="M32" s="5" t="s">
        <v>136</v>
      </c>
      <c r="N32" s="5"/>
      <c r="O32" s="5"/>
      <c r="P32" s="16" t="n">
        <f aca="false">IFERROR(IF(ISNUMBER(INDEX(Parameters!$B$5:$B$23,MATCH(D32,Parameters!$A$5:$A$23,0))),INDEX(Parameters!$B$5:$B$23,MATCH(D32,Parameters!$A$5:$A$23,0)),""),"")</f>
        <v>1</v>
      </c>
      <c r="Q32" s="16" t="n">
        <f aca="false">IFERROR(IF(ISNUMBER(INDEX(Parameters!$B$5:$B$23,MATCH(E32,Parameters!$A$5:$A$23,0))),INDEX(Parameters!$B$5:$B$23,MATCH(E32,Parameters!$A$5:$A$23,0)),""),"")</f>
        <v>1</v>
      </c>
      <c r="R32" s="16" t="n">
        <f aca="false">IF(F32="","",IFERROR(MIN(Parameters!$B$33,MAX(0,Parameters!$B$32-VALUE(LEFT(F32,4))))/Parameters!$B$33,""))</f>
        <v>1</v>
      </c>
      <c r="S32" s="16" t="str">
        <f aca="false">IF(ISNUMBER(H32),H32,IF(G32="",IF(ISNUMBER(Parameters!$B$34),Parameters!$B$34,""),""))</f>
        <v/>
      </c>
      <c r="T32" s="16" t="n">
        <f aca="false">IFERROR(IF(ISNUMBER(INDEX(Parameters!$B$5:$B$23,MATCH(I32,Parameters!$A$5:$A$23,0))),INDEX(Parameters!$B$5:$B$23,MATCH(I32,Parameters!$A$5:$A$23,0)),""),"")</f>
        <v>0</v>
      </c>
      <c r="U32" s="16" t="n">
        <f aca="false">IFERROR(IF(ISNUMBER(INDEX(Parameters!$B$5:$B$23,MATCH(L32,Parameters!$A$5:$A$23,0))),INDEX(Parameters!$B$5:$B$23,MATCH(L32,Parameters!$A$5:$A$23,0)),""),"")</f>
        <v>1</v>
      </c>
      <c r="V32" s="16" t="str">
        <f aca="false">IFERROR(IF(ISNUMBER(INDEX(Parameters!$B$5:$B$23,MATCH(J32,Parameters!$A$5:$A$23,0))),INDEX(Parameters!$B$5:$B$23,MATCH(J32,Parameters!$A$5:$A$23,0)),""),"")</f>
        <v/>
      </c>
      <c r="W32" s="16" t="str">
        <f aca="false">IF(K32&lt;&gt;"",1,IF(COUNTIF(Parameters!$A$27:$A$28,J32)&gt;0,0,""))</f>
        <v/>
      </c>
      <c r="X32" s="17" t="n">
        <f aca="false">IF(J32="Not applicable",0,1)</f>
        <v>0</v>
      </c>
      <c r="Y32" s="17" t="n">
        <f aca="false">IF(OR(K32&lt;&gt;"",COUNTIF(Parameters!$A$27:$A$28,J32)&gt;0),1,0)</f>
        <v>0</v>
      </c>
      <c r="Z32"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32+(Parameters!$F$12=Parameters!$E$15)*Parameters!$I$12*Y32)=0,"",IF(AND(((Parameters!$F$5=Parameters!$E$15)*Parameters!$I$5*ISNUMBER(P32)+(Parameters!$F$6=Parameters!$E$15)*Parameters!$I$6*ISNUMBER(Q32)+(Parameters!$F$7=Parameters!$E$15)*Parameters!$I$7*ISNUMBER(R32)+(Parameters!$F$8=Parameters!$E$15)*Parameters!$I$8*ISNUMBER(S32)+(Parameters!$F$9=Parameters!$E$15)*Parameters!$I$9*ISNUMBER(T32)+(Parameters!$F$10=Parameters!$E$15)*Parameters!$I$10*ISNUMBER(U32)+(Parameters!$F$11=Parameters!$E$15)*Parameters!$I$11*ISNUMBER(V32)+(Parameters!$F$12=Parameters!$E$15)*Parameters!$I$12*ISNUMBER(W32))&gt;0,((Parameters!$F$5=Parameters!$E$15)*Parameters!$I$5*ISNUMBER(P32)+(Parameters!$F$6=Parameters!$E$15)*Parameters!$I$6*ISNUMBER(Q32)+(Parameters!$F$7=Parameters!$E$15)*Parameters!$I$7*ISNUMBER(R32)+(Parameters!$F$8=Parameters!$E$15)*Parameters!$I$8*ISNUMBER(S32)+(Parameters!$F$9=Parameters!$E$15)*Parameters!$I$9*ISNUMBER(T32)+(Parameters!$F$10=Parameters!$E$15)*Parameters!$I$10*ISNUMBER(U32)+(Parameters!$F$11=Parameters!$E$15)*Parameters!$I$11*ISNUMBER(V32)+(Parameters!$F$12=Parameters!$E$15)*Parameters!$I$12*ISNUMBER(W32))/((Parameters!$F$5=Parameters!$E$15)*Parameters!$I$5*1+(Parameters!$F$6=Parameters!$E$15)*Parameters!$I$6*1+(Parameters!$F$7=Parameters!$E$15)*Parameters!$I$7*1+(Parameters!$F$8=Parameters!$E$15)*Parameters!$I$8*1+(Parameters!$F$9=Parameters!$E$15)*Parameters!$I$9*1+(Parameters!$F$10=Parameters!$E$15)*Parameters!$I$10*1+(Parameters!$F$11=Parameters!$E$15)*Parameters!$I$11*X32+(Parameters!$F$12=Parameters!$E$15)*Parameters!$I$12*Y32)&gt;=Parameters!$B$36),((Parameters!$F$5=Parameters!$E$15)*Parameters!$I$5*N(P32)+(Parameters!$F$6=Parameters!$E$15)*Parameters!$I$6*N(Q32)+(Parameters!$F$7=Parameters!$E$15)*Parameters!$I$7*N(R32)+(Parameters!$F$8=Parameters!$E$15)*Parameters!$I$8*N(S32)+(Parameters!$F$9=Parameters!$E$15)*Parameters!$I$9*N(T32)+(Parameters!$F$10=Parameters!$E$15)*Parameters!$I$10*N(U32)+(Parameters!$F$11=Parameters!$E$15)*Parameters!$I$11*N(V32)+(Parameters!$F$12=Parameters!$E$15)*Parameters!$I$12*N(W32))/((Parameters!$F$5=Parameters!$E$15)*Parameters!$I$5*ISNUMBER(P32)+(Parameters!$F$6=Parameters!$E$15)*Parameters!$I$6*ISNUMBER(Q32)+(Parameters!$F$7=Parameters!$E$15)*Parameters!$I$7*ISNUMBER(R32)+(Parameters!$F$8=Parameters!$E$15)*Parameters!$I$8*ISNUMBER(S32)+(Parameters!$F$9=Parameters!$E$15)*Parameters!$I$9*ISNUMBER(T32)+(Parameters!$F$10=Parameters!$E$15)*Parameters!$I$10*ISNUMBER(U32)+(Parameters!$F$11=Parameters!$E$15)*Parameters!$I$11*ISNUMBER(V32)+(Parameters!$F$12=Parameters!$E$15)*Parameters!$I$12*ISNUMBER(W32)),""))</f>
        <v>1</v>
      </c>
      <c r="AA32"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32+(Parameters!$F$12=Parameters!$E$16)*Parameters!$I$12*Y32)=0,"",IF(AND(((Parameters!$F$5=Parameters!$E$16)*Parameters!$I$5*ISNUMBER(P32)+(Parameters!$F$6=Parameters!$E$16)*Parameters!$I$6*ISNUMBER(Q32)+(Parameters!$F$7=Parameters!$E$16)*Parameters!$I$7*ISNUMBER(R32)+(Parameters!$F$8=Parameters!$E$16)*Parameters!$I$8*ISNUMBER(S32)+(Parameters!$F$9=Parameters!$E$16)*Parameters!$I$9*ISNUMBER(T32)+(Parameters!$F$10=Parameters!$E$16)*Parameters!$I$10*ISNUMBER(U32)+(Parameters!$F$11=Parameters!$E$16)*Parameters!$I$11*ISNUMBER(V32)+(Parameters!$F$12=Parameters!$E$16)*Parameters!$I$12*ISNUMBER(W32))&gt;0,((Parameters!$F$5=Parameters!$E$16)*Parameters!$I$5*ISNUMBER(P32)+(Parameters!$F$6=Parameters!$E$16)*Parameters!$I$6*ISNUMBER(Q32)+(Parameters!$F$7=Parameters!$E$16)*Parameters!$I$7*ISNUMBER(R32)+(Parameters!$F$8=Parameters!$E$16)*Parameters!$I$8*ISNUMBER(S32)+(Parameters!$F$9=Parameters!$E$16)*Parameters!$I$9*ISNUMBER(T32)+(Parameters!$F$10=Parameters!$E$16)*Parameters!$I$10*ISNUMBER(U32)+(Parameters!$F$11=Parameters!$E$16)*Parameters!$I$11*ISNUMBER(V32)+(Parameters!$F$12=Parameters!$E$16)*Parameters!$I$12*ISNUMBER(W32))/((Parameters!$F$5=Parameters!$E$16)*Parameters!$I$5*1+(Parameters!$F$6=Parameters!$E$16)*Parameters!$I$6*1+(Parameters!$F$7=Parameters!$E$16)*Parameters!$I$7*1+(Parameters!$F$8=Parameters!$E$16)*Parameters!$I$8*1+(Parameters!$F$9=Parameters!$E$16)*Parameters!$I$9*1+(Parameters!$F$10=Parameters!$E$16)*Parameters!$I$10*1+(Parameters!$F$11=Parameters!$E$16)*Parameters!$I$11*X32+(Parameters!$F$12=Parameters!$E$16)*Parameters!$I$12*Y32)&gt;=Parameters!$B$36),((Parameters!$F$5=Parameters!$E$16)*Parameters!$I$5*N(P32)+(Parameters!$F$6=Parameters!$E$16)*Parameters!$I$6*N(Q32)+(Parameters!$F$7=Parameters!$E$16)*Parameters!$I$7*N(R32)+(Parameters!$F$8=Parameters!$E$16)*Parameters!$I$8*N(S32)+(Parameters!$F$9=Parameters!$E$16)*Parameters!$I$9*N(T32)+(Parameters!$F$10=Parameters!$E$16)*Parameters!$I$10*N(U32)+(Parameters!$F$11=Parameters!$E$16)*Parameters!$I$11*N(V32)+(Parameters!$F$12=Parameters!$E$16)*Parameters!$I$12*N(W32))/((Parameters!$F$5=Parameters!$E$16)*Parameters!$I$5*ISNUMBER(P32)+(Parameters!$F$6=Parameters!$E$16)*Parameters!$I$6*ISNUMBER(Q32)+(Parameters!$F$7=Parameters!$E$16)*Parameters!$I$7*ISNUMBER(R32)+(Parameters!$F$8=Parameters!$E$16)*Parameters!$I$8*ISNUMBER(S32)+(Parameters!$F$9=Parameters!$E$16)*Parameters!$I$9*ISNUMBER(T32)+(Parameters!$F$10=Parameters!$E$16)*Parameters!$I$10*ISNUMBER(U32)+(Parameters!$F$11=Parameters!$E$16)*Parameters!$I$11*ISNUMBER(V32)+(Parameters!$F$12=Parameters!$E$16)*Parameters!$I$12*ISNUMBER(W32)),""))</f>
        <v>0.666666666666667</v>
      </c>
      <c r="AB32"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32+(Parameters!$F$12=Parameters!$E$17)*Parameters!$I$12*Y32)=0,"",IF(AND(((Parameters!$F$5=Parameters!$E$17)*Parameters!$I$5*ISNUMBER(P32)+(Parameters!$F$6=Parameters!$E$17)*Parameters!$I$6*ISNUMBER(Q32)+(Parameters!$F$7=Parameters!$E$17)*Parameters!$I$7*ISNUMBER(R32)+(Parameters!$F$8=Parameters!$E$17)*Parameters!$I$8*ISNUMBER(S32)+(Parameters!$F$9=Parameters!$E$17)*Parameters!$I$9*ISNUMBER(T32)+(Parameters!$F$10=Parameters!$E$17)*Parameters!$I$10*ISNUMBER(U32)+(Parameters!$F$11=Parameters!$E$17)*Parameters!$I$11*ISNUMBER(V32)+(Parameters!$F$12=Parameters!$E$17)*Parameters!$I$12*ISNUMBER(W32))&gt;0,((Parameters!$F$5=Parameters!$E$17)*Parameters!$I$5*ISNUMBER(P32)+(Parameters!$F$6=Parameters!$E$17)*Parameters!$I$6*ISNUMBER(Q32)+(Parameters!$F$7=Parameters!$E$17)*Parameters!$I$7*ISNUMBER(R32)+(Parameters!$F$8=Parameters!$E$17)*Parameters!$I$8*ISNUMBER(S32)+(Parameters!$F$9=Parameters!$E$17)*Parameters!$I$9*ISNUMBER(T32)+(Parameters!$F$10=Parameters!$E$17)*Parameters!$I$10*ISNUMBER(U32)+(Parameters!$F$11=Parameters!$E$17)*Parameters!$I$11*ISNUMBER(V32)+(Parameters!$F$12=Parameters!$E$17)*Parameters!$I$12*ISNUMBER(W32))/((Parameters!$F$5=Parameters!$E$17)*Parameters!$I$5*1+(Parameters!$F$6=Parameters!$E$17)*Parameters!$I$6*1+(Parameters!$F$7=Parameters!$E$17)*Parameters!$I$7*1+(Parameters!$F$8=Parameters!$E$17)*Parameters!$I$8*1+(Parameters!$F$9=Parameters!$E$17)*Parameters!$I$9*1+(Parameters!$F$10=Parameters!$E$17)*Parameters!$I$10*1+(Parameters!$F$11=Parameters!$E$17)*Parameters!$I$11*X32+(Parameters!$F$12=Parameters!$E$17)*Parameters!$I$12*Y32)&gt;=Parameters!$B$36),((Parameters!$F$5=Parameters!$E$17)*Parameters!$I$5*N(P32)+(Parameters!$F$6=Parameters!$E$17)*Parameters!$I$6*N(Q32)+(Parameters!$F$7=Parameters!$E$17)*Parameters!$I$7*N(R32)+(Parameters!$F$8=Parameters!$E$17)*Parameters!$I$8*N(S32)+(Parameters!$F$9=Parameters!$E$17)*Parameters!$I$9*N(T32)+(Parameters!$F$10=Parameters!$E$17)*Parameters!$I$10*N(U32)+(Parameters!$F$11=Parameters!$E$17)*Parameters!$I$11*N(V32)+(Parameters!$F$12=Parameters!$E$17)*Parameters!$I$12*N(W32))/((Parameters!$F$5=Parameters!$E$17)*Parameters!$I$5*ISNUMBER(P32)+(Parameters!$F$6=Parameters!$E$17)*Parameters!$I$6*ISNUMBER(Q32)+(Parameters!$F$7=Parameters!$E$17)*Parameters!$I$7*ISNUMBER(R32)+(Parameters!$F$8=Parameters!$E$17)*Parameters!$I$8*ISNUMBER(S32)+(Parameters!$F$9=Parameters!$E$17)*Parameters!$I$9*ISNUMBER(T32)+(Parameters!$F$10=Parameters!$E$17)*Parameters!$I$10*ISNUMBER(U32)+(Parameters!$F$11=Parameters!$E$17)*Parameters!$I$11*ISNUMBER(V32)+(Parameters!$F$12=Parameters!$E$17)*Parameters!$I$12*ISNUMBER(W32)),""))</f>
        <v/>
      </c>
      <c r="AC32" s="17" t="n">
        <f aca="false">Parameters!$I$5*ISNUMBER(P32)+Parameters!$I$6*ISNUMBER(Q32)+Parameters!$I$7*ISNUMBER(R32)+Parameters!$I$8*ISNUMBER(S32)+Parameters!$I$9*ISNUMBER(T32)+Parameters!$I$10*ISNUMBER(U32)+Parameters!$I$11*ISNUMBER(V32)+Parameters!$I$12*ISNUMBER(W32)</f>
        <v>65</v>
      </c>
      <c r="AD32" s="17" t="n">
        <f aca="false">Parameters!$I$5*1+Parameters!$I$6*1+Parameters!$I$7*1+Parameters!$I$8*1+Parameters!$I$9*1+Parameters!$I$10*1+Parameters!$I$11*X32+Parameters!$I$12*Y32</f>
        <v>75</v>
      </c>
      <c r="AE32" s="18" t="n">
        <f aca="false">IF(AD32=0,"",AC32/AD32)</f>
        <v>0.866666666666667</v>
      </c>
      <c r="AF32" s="17" t="str">
        <f aca="false">IF(ISNUMBER(Z32),"M","")&amp;IF(ISNUMBER(AA32),"I","")&amp;IF(ISNUMBER(AB32),"O","")</f>
        <v>MI</v>
      </c>
      <c r="AG32" s="19" t="n">
        <f aca="false">IF(AND(ISNUMBER(AE32),ISNUMBER(Z32)+ISNUMBER(AA32)+ISNUMBER(AB32)&gt;=Parameters!$B$37),IF(AE32&gt;=Parameters!$B$35,100*(Parameters!$F$15*N(Z32)+Parameters!$F$16*N(AA32)+Parameters!$F$17*N(AB32))/(Parameters!$F$15*ISNUMBER(Z32)+Parameters!$F$16*ISNUMBER(AA32)+Parameters!$F$17*ISNUMBER(AB32)),""),"")</f>
        <v>87.5</v>
      </c>
      <c r="AH32" s="17" t="n">
        <f aca="false">IF(ISNUMBER(AG32),RANK(AG32,$AG$2:$AG$113),"")</f>
        <v>40</v>
      </c>
    </row>
    <row r="33" customFormat="false" ht="15" hidden="false" customHeight="false" outlineLevel="0" collapsed="false">
      <c r="A33" s="5" t="s">
        <v>255</v>
      </c>
      <c r="B33" s="5" t="s">
        <v>256</v>
      </c>
      <c r="C33" s="5" t="s">
        <v>150</v>
      </c>
      <c r="D33" s="5" t="s">
        <v>31</v>
      </c>
      <c r="E33" s="5" t="s">
        <v>44</v>
      </c>
      <c r="F33" s="5" t="s">
        <v>146</v>
      </c>
      <c r="G33" s="20" t="s">
        <v>257</v>
      </c>
      <c r="H33" s="8" t="n">
        <v>1</v>
      </c>
      <c r="I33" s="5" t="s">
        <v>57</v>
      </c>
      <c r="J33" s="5" t="s">
        <v>70</v>
      </c>
      <c r="K33" s="15" t="s">
        <v>258</v>
      </c>
      <c r="L33" s="5" t="s">
        <v>81</v>
      </c>
      <c r="M33" s="5" t="s">
        <v>136</v>
      </c>
      <c r="N33" s="5"/>
      <c r="O33" s="5"/>
      <c r="P33" s="16" t="n">
        <f aca="false">IFERROR(IF(ISNUMBER(INDEX(Parameters!$B$5:$B$23,MATCH(D33,Parameters!$A$5:$A$23,0))),INDEX(Parameters!$B$5:$B$23,MATCH(D33,Parameters!$A$5:$A$23,0)),""),"")</f>
        <v>1</v>
      </c>
      <c r="Q33" s="16" t="n">
        <f aca="false">IFERROR(IF(ISNUMBER(INDEX(Parameters!$B$5:$B$23,MATCH(E33,Parameters!$A$5:$A$23,0))),INDEX(Parameters!$B$5:$B$23,MATCH(E33,Parameters!$A$5:$A$23,0)),""),"")</f>
        <v>1</v>
      </c>
      <c r="R33" s="16" t="n">
        <f aca="false">IF(F33="","",IFERROR(MIN(Parameters!$B$33,MAX(0,Parameters!$B$32-VALUE(LEFT(F33,4))))/Parameters!$B$33,""))</f>
        <v>0.533333333333333</v>
      </c>
      <c r="S33" s="16" t="n">
        <f aca="false">IF(ISNUMBER(H33),H33,IF(G33="",IF(ISNUMBER(Parameters!$B$34),Parameters!$B$34,""),""))</f>
        <v>1</v>
      </c>
      <c r="T33" s="16" t="n">
        <f aca="false">IFERROR(IF(ISNUMBER(INDEX(Parameters!$B$5:$B$23,MATCH(I33,Parameters!$A$5:$A$23,0))),INDEX(Parameters!$B$5:$B$23,MATCH(I33,Parameters!$A$5:$A$23,0)),""),"")</f>
        <v>0</v>
      </c>
      <c r="U33" s="16" t="n">
        <f aca="false">IFERROR(IF(ISNUMBER(INDEX(Parameters!$B$5:$B$23,MATCH(L33,Parameters!$A$5:$A$23,0))),INDEX(Parameters!$B$5:$B$23,MATCH(L33,Parameters!$A$5:$A$23,0)),""),"")</f>
        <v>1</v>
      </c>
      <c r="V33" s="16" t="n">
        <f aca="false">IFERROR(IF(ISNUMBER(INDEX(Parameters!$B$5:$B$23,MATCH(J33,Parameters!$A$5:$A$23,0))),INDEX(Parameters!$B$5:$B$23,MATCH(J33,Parameters!$A$5:$A$23,0)),""),"")</f>
        <v>1</v>
      </c>
      <c r="W33" s="16" t="n">
        <f aca="false">IF(K33&lt;&gt;"",1,IF(COUNTIF(Parameters!$A$27:$A$28,J33)&gt;0,0,""))</f>
        <v>1</v>
      </c>
      <c r="X33" s="17" t="n">
        <f aca="false">IF(J33="Not applicable",0,1)</f>
        <v>1</v>
      </c>
      <c r="Y33" s="17" t="n">
        <f aca="false">IF(OR(K33&lt;&gt;"",COUNTIF(Parameters!$A$27:$A$28,J33)&gt;0),1,0)</f>
        <v>1</v>
      </c>
      <c r="Z33"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33+(Parameters!$F$12=Parameters!$E$15)*Parameters!$I$12*Y33)=0,"",IF(AND(((Parameters!$F$5=Parameters!$E$15)*Parameters!$I$5*ISNUMBER(P33)+(Parameters!$F$6=Parameters!$E$15)*Parameters!$I$6*ISNUMBER(Q33)+(Parameters!$F$7=Parameters!$E$15)*Parameters!$I$7*ISNUMBER(R33)+(Parameters!$F$8=Parameters!$E$15)*Parameters!$I$8*ISNUMBER(S33)+(Parameters!$F$9=Parameters!$E$15)*Parameters!$I$9*ISNUMBER(T33)+(Parameters!$F$10=Parameters!$E$15)*Parameters!$I$10*ISNUMBER(U33)+(Parameters!$F$11=Parameters!$E$15)*Parameters!$I$11*ISNUMBER(V33)+(Parameters!$F$12=Parameters!$E$15)*Parameters!$I$12*ISNUMBER(W33))&gt;0,((Parameters!$F$5=Parameters!$E$15)*Parameters!$I$5*ISNUMBER(P33)+(Parameters!$F$6=Parameters!$E$15)*Parameters!$I$6*ISNUMBER(Q33)+(Parameters!$F$7=Parameters!$E$15)*Parameters!$I$7*ISNUMBER(R33)+(Parameters!$F$8=Parameters!$E$15)*Parameters!$I$8*ISNUMBER(S33)+(Parameters!$F$9=Parameters!$E$15)*Parameters!$I$9*ISNUMBER(T33)+(Parameters!$F$10=Parameters!$E$15)*Parameters!$I$10*ISNUMBER(U33)+(Parameters!$F$11=Parameters!$E$15)*Parameters!$I$11*ISNUMBER(V33)+(Parameters!$F$12=Parameters!$E$15)*Parameters!$I$12*ISNUMBER(W33))/((Parameters!$F$5=Parameters!$E$15)*Parameters!$I$5*1+(Parameters!$F$6=Parameters!$E$15)*Parameters!$I$6*1+(Parameters!$F$7=Parameters!$E$15)*Parameters!$I$7*1+(Parameters!$F$8=Parameters!$E$15)*Parameters!$I$8*1+(Parameters!$F$9=Parameters!$E$15)*Parameters!$I$9*1+(Parameters!$F$10=Parameters!$E$15)*Parameters!$I$10*1+(Parameters!$F$11=Parameters!$E$15)*Parameters!$I$11*X33+(Parameters!$F$12=Parameters!$E$15)*Parameters!$I$12*Y33)&gt;=Parameters!$B$36),((Parameters!$F$5=Parameters!$E$15)*Parameters!$I$5*N(P33)+(Parameters!$F$6=Parameters!$E$15)*Parameters!$I$6*N(Q33)+(Parameters!$F$7=Parameters!$E$15)*Parameters!$I$7*N(R33)+(Parameters!$F$8=Parameters!$E$15)*Parameters!$I$8*N(S33)+(Parameters!$F$9=Parameters!$E$15)*Parameters!$I$9*N(T33)+(Parameters!$F$10=Parameters!$E$15)*Parameters!$I$10*N(U33)+(Parameters!$F$11=Parameters!$E$15)*Parameters!$I$11*N(V33)+(Parameters!$F$12=Parameters!$E$15)*Parameters!$I$12*N(W33))/((Parameters!$F$5=Parameters!$E$15)*Parameters!$I$5*ISNUMBER(P33)+(Parameters!$F$6=Parameters!$E$15)*Parameters!$I$6*ISNUMBER(Q33)+(Parameters!$F$7=Parameters!$E$15)*Parameters!$I$7*ISNUMBER(R33)+(Parameters!$F$8=Parameters!$E$15)*Parameters!$I$8*ISNUMBER(S33)+(Parameters!$F$9=Parameters!$E$15)*Parameters!$I$9*ISNUMBER(T33)+(Parameters!$F$10=Parameters!$E$15)*Parameters!$I$10*ISNUMBER(U33)+(Parameters!$F$11=Parameters!$E$15)*Parameters!$I$11*ISNUMBER(V33)+(Parameters!$F$12=Parameters!$E$15)*Parameters!$I$12*ISNUMBER(W33)),""))</f>
        <v>0.953333333333333</v>
      </c>
      <c r="AA33"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33+(Parameters!$F$12=Parameters!$E$16)*Parameters!$I$12*Y33)=0,"",IF(AND(((Parameters!$F$5=Parameters!$E$16)*Parameters!$I$5*ISNUMBER(P33)+(Parameters!$F$6=Parameters!$E$16)*Parameters!$I$6*ISNUMBER(Q33)+(Parameters!$F$7=Parameters!$E$16)*Parameters!$I$7*ISNUMBER(R33)+(Parameters!$F$8=Parameters!$E$16)*Parameters!$I$8*ISNUMBER(S33)+(Parameters!$F$9=Parameters!$E$16)*Parameters!$I$9*ISNUMBER(T33)+(Parameters!$F$10=Parameters!$E$16)*Parameters!$I$10*ISNUMBER(U33)+(Parameters!$F$11=Parameters!$E$16)*Parameters!$I$11*ISNUMBER(V33)+(Parameters!$F$12=Parameters!$E$16)*Parameters!$I$12*ISNUMBER(W33))&gt;0,((Parameters!$F$5=Parameters!$E$16)*Parameters!$I$5*ISNUMBER(P33)+(Parameters!$F$6=Parameters!$E$16)*Parameters!$I$6*ISNUMBER(Q33)+(Parameters!$F$7=Parameters!$E$16)*Parameters!$I$7*ISNUMBER(R33)+(Parameters!$F$8=Parameters!$E$16)*Parameters!$I$8*ISNUMBER(S33)+(Parameters!$F$9=Parameters!$E$16)*Parameters!$I$9*ISNUMBER(T33)+(Parameters!$F$10=Parameters!$E$16)*Parameters!$I$10*ISNUMBER(U33)+(Parameters!$F$11=Parameters!$E$16)*Parameters!$I$11*ISNUMBER(V33)+(Parameters!$F$12=Parameters!$E$16)*Parameters!$I$12*ISNUMBER(W33))/((Parameters!$F$5=Parameters!$E$16)*Parameters!$I$5*1+(Parameters!$F$6=Parameters!$E$16)*Parameters!$I$6*1+(Parameters!$F$7=Parameters!$E$16)*Parameters!$I$7*1+(Parameters!$F$8=Parameters!$E$16)*Parameters!$I$8*1+(Parameters!$F$9=Parameters!$E$16)*Parameters!$I$9*1+(Parameters!$F$10=Parameters!$E$16)*Parameters!$I$10*1+(Parameters!$F$11=Parameters!$E$16)*Parameters!$I$11*X33+(Parameters!$F$12=Parameters!$E$16)*Parameters!$I$12*Y33)&gt;=Parameters!$B$36),((Parameters!$F$5=Parameters!$E$16)*Parameters!$I$5*N(P33)+(Parameters!$F$6=Parameters!$E$16)*Parameters!$I$6*N(Q33)+(Parameters!$F$7=Parameters!$E$16)*Parameters!$I$7*N(R33)+(Parameters!$F$8=Parameters!$E$16)*Parameters!$I$8*N(S33)+(Parameters!$F$9=Parameters!$E$16)*Parameters!$I$9*N(T33)+(Parameters!$F$10=Parameters!$E$16)*Parameters!$I$10*N(U33)+(Parameters!$F$11=Parameters!$E$16)*Parameters!$I$11*N(V33)+(Parameters!$F$12=Parameters!$E$16)*Parameters!$I$12*N(W33))/((Parameters!$F$5=Parameters!$E$16)*Parameters!$I$5*ISNUMBER(P33)+(Parameters!$F$6=Parameters!$E$16)*Parameters!$I$6*ISNUMBER(Q33)+(Parameters!$F$7=Parameters!$E$16)*Parameters!$I$7*ISNUMBER(R33)+(Parameters!$F$8=Parameters!$E$16)*Parameters!$I$8*ISNUMBER(S33)+(Parameters!$F$9=Parameters!$E$16)*Parameters!$I$9*ISNUMBER(T33)+(Parameters!$F$10=Parameters!$E$16)*Parameters!$I$10*ISNUMBER(U33)+(Parameters!$F$11=Parameters!$E$16)*Parameters!$I$11*ISNUMBER(V33)+(Parameters!$F$12=Parameters!$E$16)*Parameters!$I$12*ISNUMBER(W33)),""))</f>
        <v>0.8</v>
      </c>
      <c r="AB33"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33+(Parameters!$F$12=Parameters!$E$17)*Parameters!$I$12*Y33)=0,"",IF(AND(((Parameters!$F$5=Parameters!$E$17)*Parameters!$I$5*ISNUMBER(P33)+(Parameters!$F$6=Parameters!$E$17)*Parameters!$I$6*ISNUMBER(Q33)+(Parameters!$F$7=Parameters!$E$17)*Parameters!$I$7*ISNUMBER(R33)+(Parameters!$F$8=Parameters!$E$17)*Parameters!$I$8*ISNUMBER(S33)+(Parameters!$F$9=Parameters!$E$17)*Parameters!$I$9*ISNUMBER(T33)+(Parameters!$F$10=Parameters!$E$17)*Parameters!$I$10*ISNUMBER(U33)+(Parameters!$F$11=Parameters!$E$17)*Parameters!$I$11*ISNUMBER(V33)+(Parameters!$F$12=Parameters!$E$17)*Parameters!$I$12*ISNUMBER(W33))&gt;0,((Parameters!$F$5=Parameters!$E$17)*Parameters!$I$5*ISNUMBER(P33)+(Parameters!$F$6=Parameters!$E$17)*Parameters!$I$6*ISNUMBER(Q33)+(Parameters!$F$7=Parameters!$E$17)*Parameters!$I$7*ISNUMBER(R33)+(Parameters!$F$8=Parameters!$E$17)*Parameters!$I$8*ISNUMBER(S33)+(Parameters!$F$9=Parameters!$E$17)*Parameters!$I$9*ISNUMBER(T33)+(Parameters!$F$10=Parameters!$E$17)*Parameters!$I$10*ISNUMBER(U33)+(Parameters!$F$11=Parameters!$E$17)*Parameters!$I$11*ISNUMBER(V33)+(Parameters!$F$12=Parameters!$E$17)*Parameters!$I$12*ISNUMBER(W33))/((Parameters!$F$5=Parameters!$E$17)*Parameters!$I$5*1+(Parameters!$F$6=Parameters!$E$17)*Parameters!$I$6*1+(Parameters!$F$7=Parameters!$E$17)*Parameters!$I$7*1+(Parameters!$F$8=Parameters!$E$17)*Parameters!$I$8*1+(Parameters!$F$9=Parameters!$E$17)*Parameters!$I$9*1+(Parameters!$F$10=Parameters!$E$17)*Parameters!$I$10*1+(Parameters!$F$11=Parameters!$E$17)*Parameters!$I$11*X33+(Parameters!$F$12=Parameters!$E$17)*Parameters!$I$12*Y33)&gt;=Parameters!$B$36),((Parameters!$F$5=Parameters!$E$17)*Parameters!$I$5*N(P33)+(Parameters!$F$6=Parameters!$E$17)*Parameters!$I$6*N(Q33)+(Parameters!$F$7=Parameters!$E$17)*Parameters!$I$7*N(R33)+(Parameters!$F$8=Parameters!$E$17)*Parameters!$I$8*N(S33)+(Parameters!$F$9=Parameters!$E$17)*Parameters!$I$9*N(T33)+(Parameters!$F$10=Parameters!$E$17)*Parameters!$I$10*N(U33)+(Parameters!$F$11=Parameters!$E$17)*Parameters!$I$11*N(V33)+(Parameters!$F$12=Parameters!$E$17)*Parameters!$I$12*N(W33))/((Parameters!$F$5=Parameters!$E$17)*Parameters!$I$5*ISNUMBER(P33)+(Parameters!$F$6=Parameters!$E$17)*Parameters!$I$6*ISNUMBER(Q33)+(Parameters!$F$7=Parameters!$E$17)*Parameters!$I$7*ISNUMBER(R33)+(Parameters!$F$8=Parameters!$E$17)*Parameters!$I$8*ISNUMBER(S33)+(Parameters!$F$9=Parameters!$E$17)*Parameters!$I$9*ISNUMBER(T33)+(Parameters!$F$10=Parameters!$E$17)*Parameters!$I$10*ISNUMBER(U33)+(Parameters!$F$11=Parameters!$E$17)*Parameters!$I$11*ISNUMBER(V33)+(Parameters!$F$12=Parameters!$E$17)*Parameters!$I$12*ISNUMBER(W33)),""))</f>
        <v>1</v>
      </c>
      <c r="AC33" s="17" t="n">
        <f aca="false">Parameters!$I$5*ISNUMBER(P33)+Parameters!$I$6*ISNUMBER(Q33)+Parameters!$I$7*ISNUMBER(R33)+Parameters!$I$8*ISNUMBER(S33)+Parameters!$I$9*ISNUMBER(T33)+Parameters!$I$10*ISNUMBER(U33)+Parameters!$I$11*ISNUMBER(V33)+Parameters!$I$12*ISNUMBER(W33)</f>
        <v>95</v>
      </c>
      <c r="AD33" s="17" t="n">
        <f aca="false">Parameters!$I$5*1+Parameters!$I$6*1+Parameters!$I$7*1+Parameters!$I$8*1+Parameters!$I$9*1+Parameters!$I$10*1+Parameters!$I$11*X33+Parameters!$I$12*Y33</f>
        <v>95</v>
      </c>
      <c r="AE33" s="18" t="n">
        <f aca="false">IF(AD33=0,"",AC33/AD33)</f>
        <v>1</v>
      </c>
      <c r="AF33" s="17" t="str">
        <f aca="false">IF(ISNUMBER(Z33),"M","")&amp;IF(ISNUMBER(AA33),"I","")&amp;IF(ISNUMBER(AB33),"O","")</f>
        <v>MIO</v>
      </c>
      <c r="AG33" s="19" t="n">
        <f aca="false">IF(AND(ISNUMBER(AE33),ISNUMBER(Z33)+ISNUMBER(AA33)+ISNUMBER(AB33)&gt;=Parameters!$B$37),IF(AE33&gt;=Parameters!$B$35,100*(Parameters!$F$15*N(Z33)+Parameters!$F$16*N(AA33)+Parameters!$F$17*N(AB33))/(Parameters!$F$15*ISNUMBER(Z33)+Parameters!$F$16*ISNUMBER(AA33)+Parameters!$F$17*ISNUMBER(AB33)),""),"")</f>
        <v>91.6666666666667</v>
      </c>
      <c r="AH33" s="17" t="n">
        <f aca="false">IF(ISNUMBER(AG33),RANK(AG33,$AG$2:$AG$113),"")</f>
        <v>19</v>
      </c>
    </row>
    <row r="34" customFormat="false" ht="15" hidden="false" customHeight="false" outlineLevel="0" collapsed="false">
      <c r="A34" s="5" t="s">
        <v>259</v>
      </c>
      <c r="B34" s="5" t="s">
        <v>260</v>
      </c>
      <c r="C34" s="5" t="s">
        <v>261</v>
      </c>
      <c r="D34" s="5" t="s">
        <v>31</v>
      </c>
      <c r="E34" s="5" t="s">
        <v>44</v>
      </c>
      <c r="F34" s="5" t="s">
        <v>182</v>
      </c>
      <c r="G34" s="15"/>
      <c r="H34" s="8"/>
      <c r="I34" s="5" t="s">
        <v>57</v>
      </c>
      <c r="J34" s="5" t="s">
        <v>70</v>
      </c>
      <c r="K34" s="15"/>
      <c r="L34" s="5" t="s">
        <v>79</v>
      </c>
      <c r="M34" s="5" t="s">
        <v>157</v>
      </c>
      <c r="N34" s="5"/>
      <c r="O34" s="5"/>
      <c r="P34" s="16" t="n">
        <f aca="false">IFERROR(IF(ISNUMBER(INDEX(Parameters!$B$5:$B$23,MATCH(D34,Parameters!$A$5:$A$23,0))),INDEX(Parameters!$B$5:$B$23,MATCH(D34,Parameters!$A$5:$A$23,0)),""),"")</f>
        <v>1</v>
      </c>
      <c r="Q34" s="16" t="n">
        <f aca="false">IFERROR(IF(ISNUMBER(INDEX(Parameters!$B$5:$B$23,MATCH(E34,Parameters!$A$5:$A$23,0))),INDEX(Parameters!$B$5:$B$23,MATCH(E34,Parameters!$A$5:$A$23,0)),""),"")</f>
        <v>1</v>
      </c>
      <c r="R34" s="16" t="n">
        <f aca="false">IF(F34="","",IFERROR(MIN(Parameters!$B$33,MAX(0,Parameters!$B$32-VALUE(LEFT(F34,4))))/Parameters!$B$33,""))</f>
        <v>1</v>
      </c>
      <c r="S34" s="16" t="str">
        <f aca="false">IF(ISNUMBER(H34),H34,IF(G34="",IF(ISNUMBER(Parameters!$B$34),Parameters!$B$34,""),""))</f>
        <v/>
      </c>
      <c r="T34" s="16" t="n">
        <f aca="false">IFERROR(IF(ISNUMBER(INDEX(Parameters!$B$5:$B$23,MATCH(I34,Parameters!$A$5:$A$23,0))),INDEX(Parameters!$B$5:$B$23,MATCH(I34,Parameters!$A$5:$A$23,0)),""),"")</f>
        <v>0</v>
      </c>
      <c r="U34" s="16" t="n">
        <f aca="false">IFERROR(IF(ISNUMBER(INDEX(Parameters!$B$5:$B$23,MATCH(L34,Parameters!$A$5:$A$23,0))),INDEX(Parameters!$B$5:$B$23,MATCH(L34,Parameters!$A$5:$A$23,0)),""),"")</f>
        <v>1</v>
      </c>
      <c r="V34" s="16" t="n">
        <f aca="false">IFERROR(IF(ISNUMBER(INDEX(Parameters!$B$5:$B$23,MATCH(J34,Parameters!$A$5:$A$23,0))),INDEX(Parameters!$B$5:$B$23,MATCH(J34,Parameters!$A$5:$A$23,0)),""),"")</f>
        <v>1</v>
      </c>
      <c r="W34" s="16" t="n">
        <f aca="false">IF(K34&lt;&gt;"",1,IF(COUNTIF(Parameters!$A$27:$A$28,J34)&gt;0,0,""))</f>
        <v>0</v>
      </c>
      <c r="X34" s="17" t="n">
        <f aca="false">IF(J34="Not applicable",0,1)</f>
        <v>1</v>
      </c>
      <c r="Y34" s="17" t="n">
        <f aca="false">IF(OR(K34&lt;&gt;"",COUNTIF(Parameters!$A$27:$A$28,J34)&gt;0),1,0)</f>
        <v>1</v>
      </c>
      <c r="Z34"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34+(Parameters!$F$12=Parameters!$E$15)*Parameters!$I$12*Y34)=0,"",IF(AND(((Parameters!$F$5=Parameters!$E$15)*Parameters!$I$5*ISNUMBER(P34)+(Parameters!$F$6=Parameters!$E$15)*Parameters!$I$6*ISNUMBER(Q34)+(Parameters!$F$7=Parameters!$E$15)*Parameters!$I$7*ISNUMBER(R34)+(Parameters!$F$8=Parameters!$E$15)*Parameters!$I$8*ISNUMBER(S34)+(Parameters!$F$9=Parameters!$E$15)*Parameters!$I$9*ISNUMBER(T34)+(Parameters!$F$10=Parameters!$E$15)*Parameters!$I$10*ISNUMBER(U34)+(Parameters!$F$11=Parameters!$E$15)*Parameters!$I$11*ISNUMBER(V34)+(Parameters!$F$12=Parameters!$E$15)*Parameters!$I$12*ISNUMBER(W34))&gt;0,((Parameters!$F$5=Parameters!$E$15)*Parameters!$I$5*ISNUMBER(P34)+(Parameters!$F$6=Parameters!$E$15)*Parameters!$I$6*ISNUMBER(Q34)+(Parameters!$F$7=Parameters!$E$15)*Parameters!$I$7*ISNUMBER(R34)+(Parameters!$F$8=Parameters!$E$15)*Parameters!$I$8*ISNUMBER(S34)+(Parameters!$F$9=Parameters!$E$15)*Parameters!$I$9*ISNUMBER(T34)+(Parameters!$F$10=Parameters!$E$15)*Parameters!$I$10*ISNUMBER(U34)+(Parameters!$F$11=Parameters!$E$15)*Parameters!$I$11*ISNUMBER(V34)+(Parameters!$F$12=Parameters!$E$15)*Parameters!$I$12*ISNUMBER(W34))/((Parameters!$F$5=Parameters!$E$15)*Parameters!$I$5*1+(Parameters!$F$6=Parameters!$E$15)*Parameters!$I$6*1+(Parameters!$F$7=Parameters!$E$15)*Parameters!$I$7*1+(Parameters!$F$8=Parameters!$E$15)*Parameters!$I$8*1+(Parameters!$F$9=Parameters!$E$15)*Parameters!$I$9*1+(Parameters!$F$10=Parameters!$E$15)*Parameters!$I$10*1+(Parameters!$F$11=Parameters!$E$15)*Parameters!$I$11*X34+(Parameters!$F$12=Parameters!$E$15)*Parameters!$I$12*Y34)&gt;=Parameters!$B$36),((Parameters!$F$5=Parameters!$E$15)*Parameters!$I$5*N(P34)+(Parameters!$F$6=Parameters!$E$15)*Parameters!$I$6*N(Q34)+(Parameters!$F$7=Parameters!$E$15)*Parameters!$I$7*N(R34)+(Parameters!$F$8=Parameters!$E$15)*Parameters!$I$8*N(S34)+(Parameters!$F$9=Parameters!$E$15)*Parameters!$I$9*N(T34)+(Parameters!$F$10=Parameters!$E$15)*Parameters!$I$10*N(U34)+(Parameters!$F$11=Parameters!$E$15)*Parameters!$I$11*N(V34)+(Parameters!$F$12=Parameters!$E$15)*Parameters!$I$12*N(W34))/((Parameters!$F$5=Parameters!$E$15)*Parameters!$I$5*ISNUMBER(P34)+(Parameters!$F$6=Parameters!$E$15)*Parameters!$I$6*ISNUMBER(Q34)+(Parameters!$F$7=Parameters!$E$15)*Parameters!$I$7*ISNUMBER(R34)+(Parameters!$F$8=Parameters!$E$15)*Parameters!$I$8*ISNUMBER(S34)+(Parameters!$F$9=Parameters!$E$15)*Parameters!$I$9*ISNUMBER(T34)+(Parameters!$F$10=Parameters!$E$15)*Parameters!$I$10*ISNUMBER(U34)+(Parameters!$F$11=Parameters!$E$15)*Parameters!$I$11*ISNUMBER(V34)+(Parameters!$F$12=Parameters!$E$15)*Parameters!$I$12*ISNUMBER(W34)),""))</f>
        <v>1</v>
      </c>
      <c r="AA34"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34+(Parameters!$F$12=Parameters!$E$16)*Parameters!$I$12*Y34)=0,"",IF(AND(((Parameters!$F$5=Parameters!$E$16)*Parameters!$I$5*ISNUMBER(P34)+(Parameters!$F$6=Parameters!$E$16)*Parameters!$I$6*ISNUMBER(Q34)+(Parameters!$F$7=Parameters!$E$16)*Parameters!$I$7*ISNUMBER(R34)+(Parameters!$F$8=Parameters!$E$16)*Parameters!$I$8*ISNUMBER(S34)+(Parameters!$F$9=Parameters!$E$16)*Parameters!$I$9*ISNUMBER(T34)+(Parameters!$F$10=Parameters!$E$16)*Parameters!$I$10*ISNUMBER(U34)+(Parameters!$F$11=Parameters!$E$16)*Parameters!$I$11*ISNUMBER(V34)+(Parameters!$F$12=Parameters!$E$16)*Parameters!$I$12*ISNUMBER(W34))&gt;0,((Parameters!$F$5=Parameters!$E$16)*Parameters!$I$5*ISNUMBER(P34)+(Parameters!$F$6=Parameters!$E$16)*Parameters!$I$6*ISNUMBER(Q34)+(Parameters!$F$7=Parameters!$E$16)*Parameters!$I$7*ISNUMBER(R34)+(Parameters!$F$8=Parameters!$E$16)*Parameters!$I$8*ISNUMBER(S34)+(Parameters!$F$9=Parameters!$E$16)*Parameters!$I$9*ISNUMBER(T34)+(Parameters!$F$10=Parameters!$E$16)*Parameters!$I$10*ISNUMBER(U34)+(Parameters!$F$11=Parameters!$E$16)*Parameters!$I$11*ISNUMBER(V34)+(Parameters!$F$12=Parameters!$E$16)*Parameters!$I$12*ISNUMBER(W34))/((Parameters!$F$5=Parameters!$E$16)*Parameters!$I$5*1+(Parameters!$F$6=Parameters!$E$16)*Parameters!$I$6*1+(Parameters!$F$7=Parameters!$E$16)*Parameters!$I$7*1+(Parameters!$F$8=Parameters!$E$16)*Parameters!$I$8*1+(Parameters!$F$9=Parameters!$E$16)*Parameters!$I$9*1+(Parameters!$F$10=Parameters!$E$16)*Parameters!$I$10*1+(Parameters!$F$11=Parameters!$E$16)*Parameters!$I$11*X34+(Parameters!$F$12=Parameters!$E$16)*Parameters!$I$12*Y34)&gt;=Parameters!$B$36),((Parameters!$F$5=Parameters!$E$16)*Parameters!$I$5*N(P34)+(Parameters!$F$6=Parameters!$E$16)*Parameters!$I$6*N(Q34)+(Parameters!$F$7=Parameters!$E$16)*Parameters!$I$7*N(R34)+(Parameters!$F$8=Parameters!$E$16)*Parameters!$I$8*N(S34)+(Parameters!$F$9=Parameters!$E$16)*Parameters!$I$9*N(T34)+(Parameters!$F$10=Parameters!$E$16)*Parameters!$I$10*N(U34)+(Parameters!$F$11=Parameters!$E$16)*Parameters!$I$11*N(V34)+(Parameters!$F$12=Parameters!$E$16)*Parameters!$I$12*N(W34))/((Parameters!$F$5=Parameters!$E$16)*Parameters!$I$5*ISNUMBER(P34)+(Parameters!$F$6=Parameters!$E$16)*Parameters!$I$6*ISNUMBER(Q34)+(Parameters!$F$7=Parameters!$E$16)*Parameters!$I$7*ISNUMBER(R34)+(Parameters!$F$8=Parameters!$E$16)*Parameters!$I$8*ISNUMBER(S34)+(Parameters!$F$9=Parameters!$E$16)*Parameters!$I$9*ISNUMBER(T34)+(Parameters!$F$10=Parameters!$E$16)*Parameters!$I$10*ISNUMBER(U34)+(Parameters!$F$11=Parameters!$E$16)*Parameters!$I$11*ISNUMBER(V34)+(Parameters!$F$12=Parameters!$E$16)*Parameters!$I$12*ISNUMBER(W34)),""))</f>
        <v>0.666666666666667</v>
      </c>
      <c r="AB34"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34+(Parameters!$F$12=Parameters!$E$17)*Parameters!$I$12*Y34)=0,"",IF(AND(((Parameters!$F$5=Parameters!$E$17)*Parameters!$I$5*ISNUMBER(P34)+(Parameters!$F$6=Parameters!$E$17)*Parameters!$I$6*ISNUMBER(Q34)+(Parameters!$F$7=Parameters!$E$17)*Parameters!$I$7*ISNUMBER(R34)+(Parameters!$F$8=Parameters!$E$17)*Parameters!$I$8*ISNUMBER(S34)+(Parameters!$F$9=Parameters!$E$17)*Parameters!$I$9*ISNUMBER(T34)+(Parameters!$F$10=Parameters!$E$17)*Parameters!$I$10*ISNUMBER(U34)+(Parameters!$F$11=Parameters!$E$17)*Parameters!$I$11*ISNUMBER(V34)+(Parameters!$F$12=Parameters!$E$17)*Parameters!$I$12*ISNUMBER(W34))&gt;0,((Parameters!$F$5=Parameters!$E$17)*Parameters!$I$5*ISNUMBER(P34)+(Parameters!$F$6=Parameters!$E$17)*Parameters!$I$6*ISNUMBER(Q34)+(Parameters!$F$7=Parameters!$E$17)*Parameters!$I$7*ISNUMBER(R34)+(Parameters!$F$8=Parameters!$E$17)*Parameters!$I$8*ISNUMBER(S34)+(Parameters!$F$9=Parameters!$E$17)*Parameters!$I$9*ISNUMBER(T34)+(Parameters!$F$10=Parameters!$E$17)*Parameters!$I$10*ISNUMBER(U34)+(Parameters!$F$11=Parameters!$E$17)*Parameters!$I$11*ISNUMBER(V34)+(Parameters!$F$12=Parameters!$E$17)*Parameters!$I$12*ISNUMBER(W34))/((Parameters!$F$5=Parameters!$E$17)*Parameters!$I$5*1+(Parameters!$F$6=Parameters!$E$17)*Parameters!$I$6*1+(Parameters!$F$7=Parameters!$E$17)*Parameters!$I$7*1+(Parameters!$F$8=Parameters!$E$17)*Parameters!$I$8*1+(Parameters!$F$9=Parameters!$E$17)*Parameters!$I$9*1+(Parameters!$F$10=Parameters!$E$17)*Parameters!$I$10*1+(Parameters!$F$11=Parameters!$E$17)*Parameters!$I$11*X34+(Parameters!$F$12=Parameters!$E$17)*Parameters!$I$12*Y34)&gt;=Parameters!$B$36),((Parameters!$F$5=Parameters!$E$17)*Parameters!$I$5*N(P34)+(Parameters!$F$6=Parameters!$E$17)*Parameters!$I$6*N(Q34)+(Parameters!$F$7=Parameters!$E$17)*Parameters!$I$7*N(R34)+(Parameters!$F$8=Parameters!$E$17)*Parameters!$I$8*N(S34)+(Parameters!$F$9=Parameters!$E$17)*Parameters!$I$9*N(T34)+(Parameters!$F$10=Parameters!$E$17)*Parameters!$I$10*N(U34)+(Parameters!$F$11=Parameters!$E$17)*Parameters!$I$11*N(V34)+(Parameters!$F$12=Parameters!$E$17)*Parameters!$I$12*N(W34))/((Parameters!$F$5=Parameters!$E$17)*Parameters!$I$5*ISNUMBER(P34)+(Parameters!$F$6=Parameters!$E$17)*Parameters!$I$6*ISNUMBER(Q34)+(Parameters!$F$7=Parameters!$E$17)*Parameters!$I$7*ISNUMBER(R34)+(Parameters!$F$8=Parameters!$E$17)*Parameters!$I$8*ISNUMBER(S34)+(Parameters!$F$9=Parameters!$E$17)*Parameters!$I$9*ISNUMBER(T34)+(Parameters!$F$10=Parameters!$E$17)*Parameters!$I$10*ISNUMBER(U34)+(Parameters!$F$11=Parameters!$E$17)*Parameters!$I$11*ISNUMBER(V34)+(Parameters!$F$12=Parameters!$E$17)*Parameters!$I$12*ISNUMBER(W34)),""))</f>
        <v>0.5</v>
      </c>
      <c r="AC34" s="17" t="n">
        <f aca="false">Parameters!$I$5*ISNUMBER(P34)+Parameters!$I$6*ISNUMBER(Q34)+Parameters!$I$7*ISNUMBER(R34)+Parameters!$I$8*ISNUMBER(S34)+Parameters!$I$9*ISNUMBER(T34)+Parameters!$I$10*ISNUMBER(U34)+Parameters!$I$11*ISNUMBER(V34)+Parameters!$I$12*ISNUMBER(W34)</f>
        <v>85</v>
      </c>
      <c r="AD34" s="17" t="n">
        <f aca="false">Parameters!$I$5*1+Parameters!$I$6*1+Parameters!$I$7*1+Parameters!$I$8*1+Parameters!$I$9*1+Parameters!$I$10*1+Parameters!$I$11*X34+Parameters!$I$12*Y34</f>
        <v>95</v>
      </c>
      <c r="AE34" s="18" t="n">
        <f aca="false">IF(AD34=0,"",AC34/AD34)</f>
        <v>0.894736842105263</v>
      </c>
      <c r="AF34" s="17" t="str">
        <f aca="false">IF(ISNUMBER(Z34),"M","")&amp;IF(ISNUMBER(AA34),"I","")&amp;IF(ISNUMBER(AB34),"O","")</f>
        <v>MIO</v>
      </c>
      <c r="AG34" s="19" t="n">
        <f aca="false">IF(AND(ISNUMBER(AE34),ISNUMBER(Z34)+ISNUMBER(AA34)+ISNUMBER(AB34)&gt;=Parameters!$B$37),IF(AE34&gt;=Parameters!$B$35,100*(Parameters!$F$15*N(Z34)+Parameters!$F$16*N(AA34)+Parameters!$F$17*N(AB34))/(Parameters!$F$15*ISNUMBER(Z34)+Parameters!$F$16*ISNUMBER(AA34)+Parameters!$F$17*ISNUMBER(AB34)),""),"")</f>
        <v>80</v>
      </c>
      <c r="AH34" s="17" t="n">
        <f aca="false">IF(ISNUMBER(AG34),RANK(AG34,$AG$2:$AG$113),"")</f>
        <v>73</v>
      </c>
    </row>
    <row r="35" customFormat="false" ht="15" hidden="false" customHeight="false" outlineLevel="0" collapsed="false">
      <c r="A35" s="5" t="s">
        <v>262</v>
      </c>
      <c r="B35" s="5" t="s">
        <v>263</v>
      </c>
      <c r="C35" s="5" t="s">
        <v>264</v>
      </c>
      <c r="D35" s="5" t="s">
        <v>31</v>
      </c>
      <c r="E35" s="5" t="s">
        <v>44</v>
      </c>
      <c r="F35" s="5" t="s">
        <v>265</v>
      </c>
      <c r="G35" s="20" t="s">
        <v>266</v>
      </c>
      <c r="H35" s="8" t="n">
        <v>1</v>
      </c>
      <c r="I35" s="5" t="s">
        <v>57</v>
      </c>
      <c r="J35" s="5" t="s">
        <v>70</v>
      </c>
      <c r="K35" s="15" t="s">
        <v>267</v>
      </c>
      <c r="L35" s="5" t="s">
        <v>79</v>
      </c>
      <c r="M35" s="5" t="s">
        <v>141</v>
      </c>
      <c r="N35" s="5" t="s">
        <v>142</v>
      </c>
      <c r="O35" s="5" t="s">
        <v>142</v>
      </c>
      <c r="P35" s="16" t="n">
        <f aca="false">IFERROR(IF(ISNUMBER(INDEX(Parameters!$B$5:$B$23,MATCH(D35,Parameters!$A$5:$A$23,0))),INDEX(Parameters!$B$5:$B$23,MATCH(D35,Parameters!$A$5:$A$23,0)),""),"")</f>
        <v>1</v>
      </c>
      <c r="Q35" s="16" t="n">
        <f aca="false">IFERROR(IF(ISNUMBER(INDEX(Parameters!$B$5:$B$23,MATCH(E35,Parameters!$A$5:$A$23,0))),INDEX(Parameters!$B$5:$B$23,MATCH(E35,Parameters!$A$5:$A$23,0)),""),"")</f>
        <v>1</v>
      </c>
      <c r="R35" s="16" t="n">
        <f aca="false">IF(F35="","",IFERROR(MIN(Parameters!$B$33,MAX(0,Parameters!$B$32-VALUE(LEFT(F35,4))))/Parameters!$B$33,""))</f>
        <v>0.6</v>
      </c>
      <c r="S35" s="16" t="n">
        <f aca="false">IF(ISNUMBER(H35),H35,IF(G35="",IF(ISNUMBER(Parameters!$B$34),Parameters!$B$34,""),""))</f>
        <v>1</v>
      </c>
      <c r="T35" s="16" t="n">
        <f aca="false">IFERROR(IF(ISNUMBER(INDEX(Parameters!$B$5:$B$23,MATCH(I35,Parameters!$A$5:$A$23,0))),INDEX(Parameters!$B$5:$B$23,MATCH(I35,Parameters!$A$5:$A$23,0)),""),"")</f>
        <v>0</v>
      </c>
      <c r="U35" s="16" t="n">
        <f aca="false">IFERROR(IF(ISNUMBER(INDEX(Parameters!$B$5:$B$23,MATCH(L35,Parameters!$A$5:$A$23,0))),INDEX(Parameters!$B$5:$B$23,MATCH(L35,Parameters!$A$5:$A$23,0)),""),"")</f>
        <v>1</v>
      </c>
      <c r="V35" s="16" t="n">
        <f aca="false">IFERROR(IF(ISNUMBER(INDEX(Parameters!$B$5:$B$23,MATCH(J35,Parameters!$A$5:$A$23,0))),INDEX(Parameters!$B$5:$B$23,MATCH(J35,Parameters!$A$5:$A$23,0)),""),"")</f>
        <v>1</v>
      </c>
      <c r="W35" s="16" t="n">
        <f aca="false">IF(K35&lt;&gt;"",1,IF(COUNTIF(Parameters!$A$27:$A$28,J35)&gt;0,0,""))</f>
        <v>1</v>
      </c>
      <c r="X35" s="17" t="n">
        <f aca="false">IF(J35="Not applicable",0,1)</f>
        <v>1</v>
      </c>
      <c r="Y35" s="17" t="n">
        <f aca="false">IF(OR(K35&lt;&gt;"",COUNTIF(Parameters!$A$27:$A$28,J35)&gt;0),1,0)</f>
        <v>1</v>
      </c>
      <c r="Z35"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35+(Parameters!$F$12=Parameters!$E$15)*Parameters!$I$12*Y35)=0,"",IF(AND(((Parameters!$F$5=Parameters!$E$15)*Parameters!$I$5*ISNUMBER(P35)+(Parameters!$F$6=Parameters!$E$15)*Parameters!$I$6*ISNUMBER(Q35)+(Parameters!$F$7=Parameters!$E$15)*Parameters!$I$7*ISNUMBER(R35)+(Parameters!$F$8=Parameters!$E$15)*Parameters!$I$8*ISNUMBER(S35)+(Parameters!$F$9=Parameters!$E$15)*Parameters!$I$9*ISNUMBER(T35)+(Parameters!$F$10=Parameters!$E$15)*Parameters!$I$10*ISNUMBER(U35)+(Parameters!$F$11=Parameters!$E$15)*Parameters!$I$11*ISNUMBER(V35)+(Parameters!$F$12=Parameters!$E$15)*Parameters!$I$12*ISNUMBER(W35))&gt;0,((Parameters!$F$5=Parameters!$E$15)*Parameters!$I$5*ISNUMBER(P35)+(Parameters!$F$6=Parameters!$E$15)*Parameters!$I$6*ISNUMBER(Q35)+(Parameters!$F$7=Parameters!$E$15)*Parameters!$I$7*ISNUMBER(R35)+(Parameters!$F$8=Parameters!$E$15)*Parameters!$I$8*ISNUMBER(S35)+(Parameters!$F$9=Parameters!$E$15)*Parameters!$I$9*ISNUMBER(T35)+(Parameters!$F$10=Parameters!$E$15)*Parameters!$I$10*ISNUMBER(U35)+(Parameters!$F$11=Parameters!$E$15)*Parameters!$I$11*ISNUMBER(V35)+(Parameters!$F$12=Parameters!$E$15)*Parameters!$I$12*ISNUMBER(W35))/((Parameters!$F$5=Parameters!$E$15)*Parameters!$I$5*1+(Parameters!$F$6=Parameters!$E$15)*Parameters!$I$6*1+(Parameters!$F$7=Parameters!$E$15)*Parameters!$I$7*1+(Parameters!$F$8=Parameters!$E$15)*Parameters!$I$8*1+(Parameters!$F$9=Parameters!$E$15)*Parameters!$I$9*1+(Parameters!$F$10=Parameters!$E$15)*Parameters!$I$10*1+(Parameters!$F$11=Parameters!$E$15)*Parameters!$I$11*X35+(Parameters!$F$12=Parameters!$E$15)*Parameters!$I$12*Y35)&gt;=Parameters!$B$36),((Parameters!$F$5=Parameters!$E$15)*Parameters!$I$5*N(P35)+(Parameters!$F$6=Parameters!$E$15)*Parameters!$I$6*N(Q35)+(Parameters!$F$7=Parameters!$E$15)*Parameters!$I$7*N(R35)+(Parameters!$F$8=Parameters!$E$15)*Parameters!$I$8*N(S35)+(Parameters!$F$9=Parameters!$E$15)*Parameters!$I$9*N(T35)+(Parameters!$F$10=Parameters!$E$15)*Parameters!$I$10*N(U35)+(Parameters!$F$11=Parameters!$E$15)*Parameters!$I$11*N(V35)+(Parameters!$F$12=Parameters!$E$15)*Parameters!$I$12*N(W35))/((Parameters!$F$5=Parameters!$E$15)*Parameters!$I$5*ISNUMBER(P35)+(Parameters!$F$6=Parameters!$E$15)*Parameters!$I$6*ISNUMBER(Q35)+(Parameters!$F$7=Parameters!$E$15)*Parameters!$I$7*ISNUMBER(R35)+(Parameters!$F$8=Parameters!$E$15)*Parameters!$I$8*ISNUMBER(S35)+(Parameters!$F$9=Parameters!$E$15)*Parameters!$I$9*ISNUMBER(T35)+(Parameters!$F$10=Parameters!$E$15)*Parameters!$I$10*ISNUMBER(U35)+(Parameters!$F$11=Parameters!$E$15)*Parameters!$I$11*ISNUMBER(V35)+(Parameters!$F$12=Parameters!$E$15)*Parameters!$I$12*ISNUMBER(W35)),""))</f>
        <v>0.96</v>
      </c>
      <c r="AA35"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35+(Parameters!$F$12=Parameters!$E$16)*Parameters!$I$12*Y35)=0,"",IF(AND(((Parameters!$F$5=Parameters!$E$16)*Parameters!$I$5*ISNUMBER(P35)+(Parameters!$F$6=Parameters!$E$16)*Parameters!$I$6*ISNUMBER(Q35)+(Parameters!$F$7=Parameters!$E$16)*Parameters!$I$7*ISNUMBER(R35)+(Parameters!$F$8=Parameters!$E$16)*Parameters!$I$8*ISNUMBER(S35)+(Parameters!$F$9=Parameters!$E$16)*Parameters!$I$9*ISNUMBER(T35)+(Parameters!$F$10=Parameters!$E$16)*Parameters!$I$10*ISNUMBER(U35)+(Parameters!$F$11=Parameters!$E$16)*Parameters!$I$11*ISNUMBER(V35)+(Parameters!$F$12=Parameters!$E$16)*Parameters!$I$12*ISNUMBER(W35))&gt;0,((Parameters!$F$5=Parameters!$E$16)*Parameters!$I$5*ISNUMBER(P35)+(Parameters!$F$6=Parameters!$E$16)*Parameters!$I$6*ISNUMBER(Q35)+(Parameters!$F$7=Parameters!$E$16)*Parameters!$I$7*ISNUMBER(R35)+(Parameters!$F$8=Parameters!$E$16)*Parameters!$I$8*ISNUMBER(S35)+(Parameters!$F$9=Parameters!$E$16)*Parameters!$I$9*ISNUMBER(T35)+(Parameters!$F$10=Parameters!$E$16)*Parameters!$I$10*ISNUMBER(U35)+(Parameters!$F$11=Parameters!$E$16)*Parameters!$I$11*ISNUMBER(V35)+(Parameters!$F$12=Parameters!$E$16)*Parameters!$I$12*ISNUMBER(W35))/((Parameters!$F$5=Parameters!$E$16)*Parameters!$I$5*1+(Parameters!$F$6=Parameters!$E$16)*Parameters!$I$6*1+(Parameters!$F$7=Parameters!$E$16)*Parameters!$I$7*1+(Parameters!$F$8=Parameters!$E$16)*Parameters!$I$8*1+(Parameters!$F$9=Parameters!$E$16)*Parameters!$I$9*1+(Parameters!$F$10=Parameters!$E$16)*Parameters!$I$10*1+(Parameters!$F$11=Parameters!$E$16)*Parameters!$I$11*X35+(Parameters!$F$12=Parameters!$E$16)*Parameters!$I$12*Y35)&gt;=Parameters!$B$36),((Parameters!$F$5=Parameters!$E$16)*Parameters!$I$5*N(P35)+(Parameters!$F$6=Parameters!$E$16)*Parameters!$I$6*N(Q35)+(Parameters!$F$7=Parameters!$E$16)*Parameters!$I$7*N(R35)+(Parameters!$F$8=Parameters!$E$16)*Parameters!$I$8*N(S35)+(Parameters!$F$9=Parameters!$E$16)*Parameters!$I$9*N(T35)+(Parameters!$F$10=Parameters!$E$16)*Parameters!$I$10*N(U35)+(Parameters!$F$11=Parameters!$E$16)*Parameters!$I$11*N(V35)+(Parameters!$F$12=Parameters!$E$16)*Parameters!$I$12*N(W35))/((Parameters!$F$5=Parameters!$E$16)*Parameters!$I$5*ISNUMBER(P35)+(Parameters!$F$6=Parameters!$E$16)*Parameters!$I$6*ISNUMBER(Q35)+(Parameters!$F$7=Parameters!$E$16)*Parameters!$I$7*ISNUMBER(R35)+(Parameters!$F$8=Parameters!$E$16)*Parameters!$I$8*ISNUMBER(S35)+(Parameters!$F$9=Parameters!$E$16)*Parameters!$I$9*ISNUMBER(T35)+(Parameters!$F$10=Parameters!$E$16)*Parameters!$I$10*ISNUMBER(U35)+(Parameters!$F$11=Parameters!$E$16)*Parameters!$I$11*ISNUMBER(V35)+(Parameters!$F$12=Parameters!$E$16)*Parameters!$I$12*ISNUMBER(W35)),""))</f>
        <v>0.8</v>
      </c>
      <c r="AB35"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35+(Parameters!$F$12=Parameters!$E$17)*Parameters!$I$12*Y35)=0,"",IF(AND(((Parameters!$F$5=Parameters!$E$17)*Parameters!$I$5*ISNUMBER(P35)+(Parameters!$F$6=Parameters!$E$17)*Parameters!$I$6*ISNUMBER(Q35)+(Parameters!$F$7=Parameters!$E$17)*Parameters!$I$7*ISNUMBER(R35)+(Parameters!$F$8=Parameters!$E$17)*Parameters!$I$8*ISNUMBER(S35)+(Parameters!$F$9=Parameters!$E$17)*Parameters!$I$9*ISNUMBER(T35)+(Parameters!$F$10=Parameters!$E$17)*Parameters!$I$10*ISNUMBER(U35)+(Parameters!$F$11=Parameters!$E$17)*Parameters!$I$11*ISNUMBER(V35)+(Parameters!$F$12=Parameters!$E$17)*Parameters!$I$12*ISNUMBER(W35))&gt;0,((Parameters!$F$5=Parameters!$E$17)*Parameters!$I$5*ISNUMBER(P35)+(Parameters!$F$6=Parameters!$E$17)*Parameters!$I$6*ISNUMBER(Q35)+(Parameters!$F$7=Parameters!$E$17)*Parameters!$I$7*ISNUMBER(R35)+(Parameters!$F$8=Parameters!$E$17)*Parameters!$I$8*ISNUMBER(S35)+(Parameters!$F$9=Parameters!$E$17)*Parameters!$I$9*ISNUMBER(T35)+(Parameters!$F$10=Parameters!$E$17)*Parameters!$I$10*ISNUMBER(U35)+(Parameters!$F$11=Parameters!$E$17)*Parameters!$I$11*ISNUMBER(V35)+(Parameters!$F$12=Parameters!$E$17)*Parameters!$I$12*ISNUMBER(W35))/((Parameters!$F$5=Parameters!$E$17)*Parameters!$I$5*1+(Parameters!$F$6=Parameters!$E$17)*Parameters!$I$6*1+(Parameters!$F$7=Parameters!$E$17)*Parameters!$I$7*1+(Parameters!$F$8=Parameters!$E$17)*Parameters!$I$8*1+(Parameters!$F$9=Parameters!$E$17)*Parameters!$I$9*1+(Parameters!$F$10=Parameters!$E$17)*Parameters!$I$10*1+(Parameters!$F$11=Parameters!$E$17)*Parameters!$I$11*X35+(Parameters!$F$12=Parameters!$E$17)*Parameters!$I$12*Y35)&gt;=Parameters!$B$36),((Parameters!$F$5=Parameters!$E$17)*Parameters!$I$5*N(P35)+(Parameters!$F$6=Parameters!$E$17)*Parameters!$I$6*N(Q35)+(Parameters!$F$7=Parameters!$E$17)*Parameters!$I$7*N(R35)+(Parameters!$F$8=Parameters!$E$17)*Parameters!$I$8*N(S35)+(Parameters!$F$9=Parameters!$E$17)*Parameters!$I$9*N(T35)+(Parameters!$F$10=Parameters!$E$17)*Parameters!$I$10*N(U35)+(Parameters!$F$11=Parameters!$E$17)*Parameters!$I$11*N(V35)+(Parameters!$F$12=Parameters!$E$17)*Parameters!$I$12*N(W35))/((Parameters!$F$5=Parameters!$E$17)*Parameters!$I$5*ISNUMBER(P35)+(Parameters!$F$6=Parameters!$E$17)*Parameters!$I$6*ISNUMBER(Q35)+(Parameters!$F$7=Parameters!$E$17)*Parameters!$I$7*ISNUMBER(R35)+(Parameters!$F$8=Parameters!$E$17)*Parameters!$I$8*ISNUMBER(S35)+(Parameters!$F$9=Parameters!$E$17)*Parameters!$I$9*ISNUMBER(T35)+(Parameters!$F$10=Parameters!$E$17)*Parameters!$I$10*ISNUMBER(U35)+(Parameters!$F$11=Parameters!$E$17)*Parameters!$I$11*ISNUMBER(V35)+(Parameters!$F$12=Parameters!$E$17)*Parameters!$I$12*ISNUMBER(W35)),""))</f>
        <v>1</v>
      </c>
      <c r="AC35" s="17" t="n">
        <f aca="false">Parameters!$I$5*ISNUMBER(P35)+Parameters!$I$6*ISNUMBER(Q35)+Parameters!$I$7*ISNUMBER(R35)+Parameters!$I$8*ISNUMBER(S35)+Parameters!$I$9*ISNUMBER(T35)+Parameters!$I$10*ISNUMBER(U35)+Parameters!$I$11*ISNUMBER(V35)+Parameters!$I$12*ISNUMBER(W35)</f>
        <v>95</v>
      </c>
      <c r="AD35" s="17" t="n">
        <f aca="false">Parameters!$I$5*1+Parameters!$I$6*1+Parameters!$I$7*1+Parameters!$I$8*1+Parameters!$I$9*1+Parameters!$I$10*1+Parameters!$I$11*X35+Parameters!$I$12*Y35</f>
        <v>95</v>
      </c>
      <c r="AE35" s="18" t="n">
        <f aca="false">IF(AD35=0,"",AC35/AD35)</f>
        <v>1</v>
      </c>
      <c r="AF35" s="17" t="str">
        <f aca="false">IF(ISNUMBER(Z35),"M","")&amp;IF(ISNUMBER(AA35),"I","")&amp;IF(ISNUMBER(AB35),"O","")</f>
        <v>MIO</v>
      </c>
      <c r="AG35" s="19" t="n">
        <f aca="false">IF(AND(ISNUMBER(AE35),ISNUMBER(Z35)+ISNUMBER(AA35)+ISNUMBER(AB35)&gt;=Parameters!$B$37),IF(AE35&gt;=Parameters!$B$35,100*(Parameters!$F$15*N(Z35)+Parameters!$F$16*N(AA35)+Parameters!$F$17*N(AB35))/(Parameters!$F$15*ISNUMBER(Z35)+Parameters!$F$16*ISNUMBER(AA35)+Parameters!$F$17*ISNUMBER(AB35)),""),"")</f>
        <v>92</v>
      </c>
      <c r="AH35" s="17" t="n">
        <f aca="false">IF(ISNUMBER(AG35),RANK(AG35,$AG$2:$AG$113),"")</f>
        <v>17</v>
      </c>
    </row>
    <row r="36" customFormat="false" ht="15" hidden="false" customHeight="false" outlineLevel="0" collapsed="false">
      <c r="A36" s="5" t="s">
        <v>268</v>
      </c>
      <c r="B36" s="5" t="s">
        <v>263</v>
      </c>
      <c r="C36" s="5" t="s">
        <v>269</v>
      </c>
      <c r="D36" s="5" t="s">
        <v>31</v>
      </c>
      <c r="E36" s="5" t="s">
        <v>44</v>
      </c>
      <c r="F36" s="5" t="s">
        <v>265</v>
      </c>
      <c r="G36" s="15" t="s">
        <v>270</v>
      </c>
      <c r="H36" s="8" t="n">
        <v>1</v>
      </c>
      <c r="I36" s="5" t="s">
        <v>57</v>
      </c>
      <c r="J36" s="5" t="s">
        <v>70</v>
      </c>
      <c r="K36" s="15" t="s">
        <v>267</v>
      </c>
      <c r="L36" s="5" t="s">
        <v>79</v>
      </c>
      <c r="M36" s="5" t="s">
        <v>141</v>
      </c>
      <c r="N36" s="5" t="s">
        <v>142</v>
      </c>
      <c r="O36" s="5" t="s">
        <v>142</v>
      </c>
      <c r="P36" s="16" t="n">
        <f aca="false">IFERROR(IF(ISNUMBER(INDEX(Parameters!$B$5:$B$23,MATCH(D36,Parameters!$A$5:$A$23,0))),INDEX(Parameters!$B$5:$B$23,MATCH(D36,Parameters!$A$5:$A$23,0)),""),"")</f>
        <v>1</v>
      </c>
      <c r="Q36" s="16" t="n">
        <f aca="false">IFERROR(IF(ISNUMBER(INDEX(Parameters!$B$5:$B$23,MATCH(E36,Parameters!$A$5:$A$23,0))),INDEX(Parameters!$B$5:$B$23,MATCH(E36,Parameters!$A$5:$A$23,0)),""),"")</f>
        <v>1</v>
      </c>
      <c r="R36" s="16" t="n">
        <f aca="false">IF(F36="","",IFERROR(MIN(Parameters!$B$33,MAX(0,Parameters!$B$32-VALUE(LEFT(F36,4))))/Parameters!$B$33,""))</f>
        <v>0.6</v>
      </c>
      <c r="S36" s="16" t="n">
        <f aca="false">IF(ISNUMBER(H36),H36,IF(G36="",IF(ISNUMBER(Parameters!$B$34),Parameters!$B$34,""),""))</f>
        <v>1</v>
      </c>
      <c r="T36" s="16" t="n">
        <f aca="false">IFERROR(IF(ISNUMBER(INDEX(Parameters!$B$5:$B$23,MATCH(I36,Parameters!$A$5:$A$23,0))),INDEX(Parameters!$B$5:$B$23,MATCH(I36,Parameters!$A$5:$A$23,0)),""),"")</f>
        <v>0</v>
      </c>
      <c r="U36" s="16" t="n">
        <f aca="false">IFERROR(IF(ISNUMBER(INDEX(Parameters!$B$5:$B$23,MATCH(L36,Parameters!$A$5:$A$23,0))),INDEX(Parameters!$B$5:$B$23,MATCH(L36,Parameters!$A$5:$A$23,0)),""),"")</f>
        <v>1</v>
      </c>
      <c r="V36" s="16" t="n">
        <f aca="false">IFERROR(IF(ISNUMBER(INDEX(Parameters!$B$5:$B$23,MATCH(J36,Parameters!$A$5:$A$23,0))),INDEX(Parameters!$B$5:$B$23,MATCH(J36,Parameters!$A$5:$A$23,0)),""),"")</f>
        <v>1</v>
      </c>
      <c r="W36" s="16" t="n">
        <f aca="false">IF(K36&lt;&gt;"",1,IF(COUNTIF(Parameters!$A$27:$A$28,J36)&gt;0,0,""))</f>
        <v>1</v>
      </c>
      <c r="X36" s="17" t="n">
        <f aca="false">IF(J36="Not applicable",0,1)</f>
        <v>1</v>
      </c>
      <c r="Y36" s="17" t="n">
        <f aca="false">IF(OR(K36&lt;&gt;"",COUNTIF(Parameters!$A$27:$A$28,J36)&gt;0),1,0)</f>
        <v>1</v>
      </c>
      <c r="Z36"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36+(Parameters!$F$12=Parameters!$E$15)*Parameters!$I$12*Y36)=0,"",IF(AND(((Parameters!$F$5=Parameters!$E$15)*Parameters!$I$5*ISNUMBER(P36)+(Parameters!$F$6=Parameters!$E$15)*Parameters!$I$6*ISNUMBER(Q36)+(Parameters!$F$7=Parameters!$E$15)*Parameters!$I$7*ISNUMBER(R36)+(Parameters!$F$8=Parameters!$E$15)*Parameters!$I$8*ISNUMBER(S36)+(Parameters!$F$9=Parameters!$E$15)*Parameters!$I$9*ISNUMBER(T36)+(Parameters!$F$10=Parameters!$E$15)*Parameters!$I$10*ISNUMBER(U36)+(Parameters!$F$11=Parameters!$E$15)*Parameters!$I$11*ISNUMBER(V36)+(Parameters!$F$12=Parameters!$E$15)*Parameters!$I$12*ISNUMBER(W36))&gt;0,((Parameters!$F$5=Parameters!$E$15)*Parameters!$I$5*ISNUMBER(P36)+(Parameters!$F$6=Parameters!$E$15)*Parameters!$I$6*ISNUMBER(Q36)+(Parameters!$F$7=Parameters!$E$15)*Parameters!$I$7*ISNUMBER(R36)+(Parameters!$F$8=Parameters!$E$15)*Parameters!$I$8*ISNUMBER(S36)+(Parameters!$F$9=Parameters!$E$15)*Parameters!$I$9*ISNUMBER(T36)+(Parameters!$F$10=Parameters!$E$15)*Parameters!$I$10*ISNUMBER(U36)+(Parameters!$F$11=Parameters!$E$15)*Parameters!$I$11*ISNUMBER(V36)+(Parameters!$F$12=Parameters!$E$15)*Parameters!$I$12*ISNUMBER(W36))/((Parameters!$F$5=Parameters!$E$15)*Parameters!$I$5*1+(Parameters!$F$6=Parameters!$E$15)*Parameters!$I$6*1+(Parameters!$F$7=Parameters!$E$15)*Parameters!$I$7*1+(Parameters!$F$8=Parameters!$E$15)*Parameters!$I$8*1+(Parameters!$F$9=Parameters!$E$15)*Parameters!$I$9*1+(Parameters!$F$10=Parameters!$E$15)*Parameters!$I$10*1+(Parameters!$F$11=Parameters!$E$15)*Parameters!$I$11*X36+(Parameters!$F$12=Parameters!$E$15)*Parameters!$I$12*Y36)&gt;=Parameters!$B$36),((Parameters!$F$5=Parameters!$E$15)*Parameters!$I$5*N(P36)+(Parameters!$F$6=Parameters!$E$15)*Parameters!$I$6*N(Q36)+(Parameters!$F$7=Parameters!$E$15)*Parameters!$I$7*N(R36)+(Parameters!$F$8=Parameters!$E$15)*Parameters!$I$8*N(S36)+(Parameters!$F$9=Parameters!$E$15)*Parameters!$I$9*N(T36)+(Parameters!$F$10=Parameters!$E$15)*Parameters!$I$10*N(U36)+(Parameters!$F$11=Parameters!$E$15)*Parameters!$I$11*N(V36)+(Parameters!$F$12=Parameters!$E$15)*Parameters!$I$12*N(W36))/((Parameters!$F$5=Parameters!$E$15)*Parameters!$I$5*ISNUMBER(P36)+(Parameters!$F$6=Parameters!$E$15)*Parameters!$I$6*ISNUMBER(Q36)+(Parameters!$F$7=Parameters!$E$15)*Parameters!$I$7*ISNUMBER(R36)+(Parameters!$F$8=Parameters!$E$15)*Parameters!$I$8*ISNUMBER(S36)+(Parameters!$F$9=Parameters!$E$15)*Parameters!$I$9*ISNUMBER(T36)+(Parameters!$F$10=Parameters!$E$15)*Parameters!$I$10*ISNUMBER(U36)+(Parameters!$F$11=Parameters!$E$15)*Parameters!$I$11*ISNUMBER(V36)+(Parameters!$F$12=Parameters!$E$15)*Parameters!$I$12*ISNUMBER(W36)),""))</f>
        <v>0.96</v>
      </c>
      <c r="AA36"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36+(Parameters!$F$12=Parameters!$E$16)*Parameters!$I$12*Y36)=0,"",IF(AND(((Parameters!$F$5=Parameters!$E$16)*Parameters!$I$5*ISNUMBER(P36)+(Parameters!$F$6=Parameters!$E$16)*Parameters!$I$6*ISNUMBER(Q36)+(Parameters!$F$7=Parameters!$E$16)*Parameters!$I$7*ISNUMBER(R36)+(Parameters!$F$8=Parameters!$E$16)*Parameters!$I$8*ISNUMBER(S36)+(Parameters!$F$9=Parameters!$E$16)*Parameters!$I$9*ISNUMBER(T36)+(Parameters!$F$10=Parameters!$E$16)*Parameters!$I$10*ISNUMBER(U36)+(Parameters!$F$11=Parameters!$E$16)*Parameters!$I$11*ISNUMBER(V36)+(Parameters!$F$12=Parameters!$E$16)*Parameters!$I$12*ISNUMBER(W36))&gt;0,((Parameters!$F$5=Parameters!$E$16)*Parameters!$I$5*ISNUMBER(P36)+(Parameters!$F$6=Parameters!$E$16)*Parameters!$I$6*ISNUMBER(Q36)+(Parameters!$F$7=Parameters!$E$16)*Parameters!$I$7*ISNUMBER(R36)+(Parameters!$F$8=Parameters!$E$16)*Parameters!$I$8*ISNUMBER(S36)+(Parameters!$F$9=Parameters!$E$16)*Parameters!$I$9*ISNUMBER(T36)+(Parameters!$F$10=Parameters!$E$16)*Parameters!$I$10*ISNUMBER(U36)+(Parameters!$F$11=Parameters!$E$16)*Parameters!$I$11*ISNUMBER(V36)+(Parameters!$F$12=Parameters!$E$16)*Parameters!$I$12*ISNUMBER(W36))/((Parameters!$F$5=Parameters!$E$16)*Parameters!$I$5*1+(Parameters!$F$6=Parameters!$E$16)*Parameters!$I$6*1+(Parameters!$F$7=Parameters!$E$16)*Parameters!$I$7*1+(Parameters!$F$8=Parameters!$E$16)*Parameters!$I$8*1+(Parameters!$F$9=Parameters!$E$16)*Parameters!$I$9*1+(Parameters!$F$10=Parameters!$E$16)*Parameters!$I$10*1+(Parameters!$F$11=Parameters!$E$16)*Parameters!$I$11*X36+(Parameters!$F$12=Parameters!$E$16)*Parameters!$I$12*Y36)&gt;=Parameters!$B$36),((Parameters!$F$5=Parameters!$E$16)*Parameters!$I$5*N(P36)+(Parameters!$F$6=Parameters!$E$16)*Parameters!$I$6*N(Q36)+(Parameters!$F$7=Parameters!$E$16)*Parameters!$I$7*N(R36)+(Parameters!$F$8=Parameters!$E$16)*Parameters!$I$8*N(S36)+(Parameters!$F$9=Parameters!$E$16)*Parameters!$I$9*N(T36)+(Parameters!$F$10=Parameters!$E$16)*Parameters!$I$10*N(U36)+(Parameters!$F$11=Parameters!$E$16)*Parameters!$I$11*N(V36)+(Parameters!$F$12=Parameters!$E$16)*Parameters!$I$12*N(W36))/((Parameters!$F$5=Parameters!$E$16)*Parameters!$I$5*ISNUMBER(P36)+(Parameters!$F$6=Parameters!$E$16)*Parameters!$I$6*ISNUMBER(Q36)+(Parameters!$F$7=Parameters!$E$16)*Parameters!$I$7*ISNUMBER(R36)+(Parameters!$F$8=Parameters!$E$16)*Parameters!$I$8*ISNUMBER(S36)+(Parameters!$F$9=Parameters!$E$16)*Parameters!$I$9*ISNUMBER(T36)+(Parameters!$F$10=Parameters!$E$16)*Parameters!$I$10*ISNUMBER(U36)+(Parameters!$F$11=Parameters!$E$16)*Parameters!$I$11*ISNUMBER(V36)+(Parameters!$F$12=Parameters!$E$16)*Parameters!$I$12*ISNUMBER(W36)),""))</f>
        <v>0.8</v>
      </c>
      <c r="AB36"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36+(Parameters!$F$12=Parameters!$E$17)*Parameters!$I$12*Y36)=0,"",IF(AND(((Parameters!$F$5=Parameters!$E$17)*Parameters!$I$5*ISNUMBER(P36)+(Parameters!$F$6=Parameters!$E$17)*Parameters!$I$6*ISNUMBER(Q36)+(Parameters!$F$7=Parameters!$E$17)*Parameters!$I$7*ISNUMBER(R36)+(Parameters!$F$8=Parameters!$E$17)*Parameters!$I$8*ISNUMBER(S36)+(Parameters!$F$9=Parameters!$E$17)*Parameters!$I$9*ISNUMBER(T36)+(Parameters!$F$10=Parameters!$E$17)*Parameters!$I$10*ISNUMBER(U36)+(Parameters!$F$11=Parameters!$E$17)*Parameters!$I$11*ISNUMBER(V36)+(Parameters!$F$12=Parameters!$E$17)*Parameters!$I$12*ISNUMBER(W36))&gt;0,((Parameters!$F$5=Parameters!$E$17)*Parameters!$I$5*ISNUMBER(P36)+(Parameters!$F$6=Parameters!$E$17)*Parameters!$I$6*ISNUMBER(Q36)+(Parameters!$F$7=Parameters!$E$17)*Parameters!$I$7*ISNUMBER(R36)+(Parameters!$F$8=Parameters!$E$17)*Parameters!$I$8*ISNUMBER(S36)+(Parameters!$F$9=Parameters!$E$17)*Parameters!$I$9*ISNUMBER(T36)+(Parameters!$F$10=Parameters!$E$17)*Parameters!$I$10*ISNUMBER(U36)+(Parameters!$F$11=Parameters!$E$17)*Parameters!$I$11*ISNUMBER(V36)+(Parameters!$F$12=Parameters!$E$17)*Parameters!$I$12*ISNUMBER(W36))/((Parameters!$F$5=Parameters!$E$17)*Parameters!$I$5*1+(Parameters!$F$6=Parameters!$E$17)*Parameters!$I$6*1+(Parameters!$F$7=Parameters!$E$17)*Parameters!$I$7*1+(Parameters!$F$8=Parameters!$E$17)*Parameters!$I$8*1+(Parameters!$F$9=Parameters!$E$17)*Parameters!$I$9*1+(Parameters!$F$10=Parameters!$E$17)*Parameters!$I$10*1+(Parameters!$F$11=Parameters!$E$17)*Parameters!$I$11*X36+(Parameters!$F$12=Parameters!$E$17)*Parameters!$I$12*Y36)&gt;=Parameters!$B$36),((Parameters!$F$5=Parameters!$E$17)*Parameters!$I$5*N(P36)+(Parameters!$F$6=Parameters!$E$17)*Parameters!$I$6*N(Q36)+(Parameters!$F$7=Parameters!$E$17)*Parameters!$I$7*N(R36)+(Parameters!$F$8=Parameters!$E$17)*Parameters!$I$8*N(S36)+(Parameters!$F$9=Parameters!$E$17)*Parameters!$I$9*N(T36)+(Parameters!$F$10=Parameters!$E$17)*Parameters!$I$10*N(U36)+(Parameters!$F$11=Parameters!$E$17)*Parameters!$I$11*N(V36)+(Parameters!$F$12=Parameters!$E$17)*Parameters!$I$12*N(W36))/((Parameters!$F$5=Parameters!$E$17)*Parameters!$I$5*ISNUMBER(P36)+(Parameters!$F$6=Parameters!$E$17)*Parameters!$I$6*ISNUMBER(Q36)+(Parameters!$F$7=Parameters!$E$17)*Parameters!$I$7*ISNUMBER(R36)+(Parameters!$F$8=Parameters!$E$17)*Parameters!$I$8*ISNUMBER(S36)+(Parameters!$F$9=Parameters!$E$17)*Parameters!$I$9*ISNUMBER(T36)+(Parameters!$F$10=Parameters!$E$17)*Parameters!$I$10*ISNUMBER(U36)+(Parameters!$F$11=Parameters!$E$17)*Parameters!$I$11*ISNUMBER(V36)+(Parameters!$F$12=Parameters!$E$17)*Parameters!$I$12*ISNUMBER(W36)),""))</f>
        <v>1</v>
      </c>
      <c r="AC36" s="17" t="n">
        <f aca="false">Parameters!$I$5*ISNUMBER(P36)+Parameters!$I$6*ISNUMBER(Q36)+Parameters!$I$7*ISNUMBER(R36)+Parameters!$I$8*ISNUMBER(S36)+Parameters!$I$9*ISNUMBER(T36)+Parameters!$I$10*ISNUMBER(U36)+Parameters!$I$11*ISNUMBER(V36)+Parameters!$I$12*ISNUMBER(W36)</f>
        <v>95</v>
      </c>
      <c r="AD36" s="17" t="n">
        <f aca="false">Parameters!$I$5*1+Parameters!$I$6*1+Parameters!$I$7*1+Parameters!$I$8*1+Parameters!$I$9*1+Parameters!$I$10*1+Parameters!$I$11*X36+Parameters!$I$12*Y36</f>
        <v>95</v>
      </c>
      <c r="AE36" s="18" t="n">
        <f aca="false">IF(AD36=0,"",AC36/AD36)</f>
        <v>1</v>
      </c>
      <c r="AF36" s="17" t="str">
        <f aca="false">IF(ISNUMBER(Z36),"M","")&amp;IF(ISNUMBER(AA36),"I","")&amp;IF(ISNUMBER(AB36),"O","")</f>
        <v>MIO</v>
      </c>
      <c r="AG36" s="19" t="n">
        <f aca="false">IF(AND(ISNUMBER(AE36),ISNUMBER(Z36)+ISNUMBER(AA36)+ISNUMBER(AB36)&gt;=Parameters!$B$37),IF(AE36&gt;=Parameters!$B$35,100*(Parameters!$F$15*N(Z36)+Parameters!$F$16*N(AA36)+Parameters!$F$17*N(AB36))/(Parameters!$F$15*ISNUMBER(Z36)+Parameters!$F$16*ISNUMBER(AA36)+Parameters!$F$17*ISNUMBER(AB36)),""),"")</f>
        <v>92</v>
      </c>
      <c r="AH36" s="17" t="n">
        <f aca="false">IF(ISNUMBER(AG36),RANK(AG36,$AG$2:$AG$113),"")</f>
        <v>17</v>
      </c>
    </row>
    <row r="37" customFormat="false" ht="15" hidden="false" customHeight="false" outlineLevel="0" collapsed="false">
      <c r="A37" s="5" t="s">
        <v>271</v>
      </c>
      <c r="B37" s="5" t="s">
        <v>272</v>
      </c>
      <c r="C37" s="5" t="s">
        <v>150</v>
      </c>
      <c r="D37" s="5" t="s">
        <v>31</v>
      </c>
      <c r="E37" s="5" t="s">
        <v>44</v>
      </c>
      <c r="F37" s="5" t="s">
        <v>273</v>
      </c>
      <c r="G37" s="15"/>
      <c r="H37" s="8"/>
      <c r="I37" s="5" t="s">
        <v>57</v>
      </c>
      <c r="J37" s="5" t="s">
        <v>66</v>
      </c>
      <c r="K37" s="15"/>
      <c r="L37" s="5" t="s">
        <v>79</v>
      </c>
      <c r="M37" s="5" t="s">
        <v>157</v>
      </c>
      <c r="N37" s="5" t="s">
        <v>142</v>
      </c>
      <c r="O37" s="5" t="s">
        <v>197</v>
      </c>
      <c r="P37" s="16" t="n">
        <f aca="false">IFERROR(IF(ISNUMBER(INDEX(Parameters!$B$5:$B$23,MATCH(D37,Parameters!$A$5:$A$23,0))),INDEX(Parameters!$B$5:$B$23,MATCH(D37,Parameters!$A$5:$A$23,0)),""),"")</f>
        <v>1</v>
      </c>
      <c r="Q37" s="16" t="n">
        <f aca="false">IFERROR(IF(ISNUMBER(INDEX(Parameters!$B$5:$B$23,MATCH(E37,Parameters!$A$5:$A$23,0))),INDEX(Parameters!$B$5:$B$23,MATCH(E37,Parameters!$A$5:$A$23,0)),""),"")</f>
        <v>1</v>
      </c>
      <c r="R37" s="16" t="n">
        <f aca="false">IF(F37="","",IFERROR(MIN(Parameters!$B$33,MAX(0,Parameters!$B$32-VALUE(LEFT(F37,4))))/Parameters!$B$33,""))</f>
        <v>1</v>
      </c>
      <c r="S37" s="16" t="str">
        <f aca="false">IF(ISNUMBER(H37),H37,IF(G37="",IF(ISNUMBER(Parameters!$B$34),Parameters!$B$34,""),""))</f>
        <v/>
      </c>
      <c r="T37" s="16" t="n">
        <f aca="false">IFERROR(IF(ISNUMBER(INDEX(Parameters!$B$5:$B$23,MATCH(I37,Parameters!$A$5:$A$23,0))),INDEX(Parameters!$B$5:$B$23,MATCH(I37,Parameters!$A$5:$A$23,0)),""),"")</f>
        <v>0</v>
      </c>
      <c r="U37" s="16" t="n">
        <f aca="false">IFERROR(IF(ISNUMBER(INDEX(Parameters!$B$5:$B$23,MATCH(L37,Parameters!$A$5:$A$23,0))),INDEX(Parameters!$B$5:$B$23,MATCH(L37,Parameters!$A$5:$A$23,0)),""),"")</f>
        <v>1</v>
      </c>
      <c r="V37" s="16" t="n">
        <f aca="false">IFERROR(IF(ISNUMBER(INDEX(Parameters!$B$5:$B$23,MATCH(J37,Parameters!$A$5:$A$23,0))),INDEX(Parameters!$B$5:$B$23,MATCH(J37,Parameters!$A$5:$A$23,0)),""),"")</f>
        <v>1</v>
      </c>
      <c r="W37" s="16" t="str">
        <f aca="false">IF(K37&lt;&gt;"",1,IF(COUNTIF(Parameters!$A$27:$A$28,J37)&gt;0,0,""))</f>
        <v/>
      </c>
      <c r="X37" s="17" t="n">
        <f aca="false">IF(J37="Not applicable",0,1)</f>
        <v>1</v>
      </c>
      <c r="Y37" s="17" t="n">
        <f aca="false">IF(OR(K37&lt;&gt;"",COUNTIF(Parameters!$A$27:$A$28,J37)&gt;0),1,0)</f>
        <v>0</v>
      </c>
      <c r="Z37"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37+(Parameters!$F$12=Parameters!$E$15)*Parameters!$I$12*Y37)=0,"",IF(AND(((Parameters!$F$5=Parameters!$E$15)*Parameters!$I$5*ISNUMBER(P37)+(Parameters!$F$6=Parameters!$E$15)*Parameters!$I$6*ISNUMBER(Q37)+(Parameters!$F$7=Parameters!$E$15)*Parameters!$I$7*ISNUMBER(R37)+(Parameters!$F$8=Parameters!$E$15)*Parameters!$I$8*ISNUMBER(S37)+(Parameters!$F$9=Parameters!$E$15)*Parameters!$I$9*ISNUMBER(T37)+(Parameters!$F$10=Parameters!$E$15)*Parameters!$I$10*ISNUMBER(U37)+(Parameters!$F$11=Parameters!$E$15)*Parameters!$I$11*ISNUMBER(V37)+(Parameters!$F$12=Parameters!$E$15)*Parameters!$I$12*ISNUMBER(W37))&gt;0,((Parameters!$F$5=Parameters!$E$15)*Parameters!$I$5*ISNUMBER(P37)+(Parameters!$F$6=Parameters!$E$15)*Parameters!$I$6*ISNUMBER(Q37)+(Parameters!$F$7=Parameters!$E$15)*Parameters!$I$7*ISNUMBER(R37)+(Parameters!$F$8=Parameters!$E$15)*Parameters!$I$8*ISNUMBER(S37)+(Parameters!$F$9=Parameters!$E$15)*Parameters!$I$9*ISNUMBER(T37)+(Parameters!$F$10=Parameters!$E$15)*Parameters!$I$10*ISNUMBER(U37)+(Parameters!$F$11=Parameters!$E$15)*Parameters!$I$11*ISNUMBER(V37)+(Parameters!$F$12=Parameters!$E$15)*Parameters!$I$12*ISNUMBER(W37))/((Parameters!$F$5=Parameters!$E$15)*Parameters!$I$5*1+(Parameters!$F$6=Parameters!$E$15)*Parameters!$I$6*1+(Parameters!$F$7=Parameters!$E$15)*Parameters!$I$7*1+(Parameters!$F$8=Parameters!$E$15)*Parameters!$I$8*1+(Parameters!$F$9=Parameters!$E$15)*Parameters!$I$9*1+(Parameters!$F$10=Parameters!$E$15)*Parameters!$I$10*1+(Parameters!$F$11=Parameters!$E$15)*Parameters!$I$11*X37+(Parameters!$F$12=Parameters!$E$15)*Parameters!$I$12*Y37)&gt;=Parameters!$B$36),((Parameters!$F$5=Parameters!$E$15)*Parameters!$I$5*N(P37)+(Parameters!$F$6=Parameters!$E$15)*Parameters!$I$6*N(Q37)+(Parameters!$F$7=Parameters!$E$15)*Parameters!$I$7*N(R37)+(Parameters!$F$8=Parameters!$E$15)*Parameters!$I$8*N(S37)+(Parameters!$F$9=Parameters!$E$15)*Parameters!$I$9*N(T37)+(Parameters!$F$10=Parameters!$E$15)*Parameters!$I$10*N(U37)+(Parameters!$F$11=Parameters!$E$15)*Parameters!$I$11*N(V37)+(Parameters!$F$12=Parameters!$E$15)*Parameters!$I$12*N(W37))/((Parameters!$F$5=Parameters!$E$15)*Parameters!$I$5*ISNUMBER(P37)+(Parameters!$F$6=Parameters!$E$15)*Parameters!$I$6*ISNUMBER(Q37)+(Parameters!$F$7=Parameters!$E$15)*Parameters!$I$7*ISNUMBER(R37)+(Parameters!$F$8=Parameters!$E$15)*Parameters!$I$8*ISNUMBER(S37)+(Parameters!$F$9=Parameters!$E$15)*Parameters!$I$9*ISNUMBER(T37)+(Parameters!$F$10=Parameters!$E$15)*Parameters!$I$10*ISNUMBER(U37)+(Parameters!$F$11=Parameters!$E$15)*Parameters!$I$11*ISNUMBER(V37)+(Parameters!$F$12=Parameters!$E$15)*Parameters!$I$12*ISNUMBER(W37)),""))</f>
        <v>1</v>
      </c>
      <c r="AA37"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37+(Parameters!$F$12=Parameters!$E$16)*Parameters!$I$12*Y37)=0,"",IF(AND(((Parameters!$F$5=Parameters!$E$16)*Parameters!$I$5*ISNUMBER(P37)+(Parameters!$F$6=Parameters!$E$16)*Parameters!$I$6*ISNUMBER(Q37)+(Parameters!$F$7=Parameters!$E$16)*Parameters!$I$7*ISNUMBER(R37)+(Parameters!$F$8=Parameters!$E$16)*Parameters!$I$8*ISNUMBER(S37)+(Parameters!$F$9=Parameters!$E$16)*Parameters!$I$9*ISNUMBER(T37)+(Parameters!$F$10=Parameters!$E$16)*Parameters!$I$10*ISNUMBER(U37)+(Parameters!$F$11=Parameters!$E$16)*Parameters!$I$11*ISNUMBER(V37)+(Parameters!$F$12=Parameters!$E$16)*Parameters!$I$12*ISNUMBER(W37))&gt;0,((Parameters!$F$5=Parameters!$E$16)*Parameters!$I$5*ISNUMBER(P37)+(Parameters!$F$6=Parameters!$E$16)*Parameters!$I$6*ISNUMBER(Q37)+(Parameters!$F$7=Parameters!$E$16)*Parameters!$I$7*ISNUMBER(R37)+(Parameters!$F$8=Parameters!$E$16)*Parameters!$I$8*ISNUMBER(S37)+(Parameters!$F$9=Parameters!$E$16)*Parameters!$I$9*ISNUMBER(T37)+(Parameters!$F$10=Parameters!$E$16)*Parameters!$I$10*ISNUMBER(U37)+(Parameters!$F$11=Parameters!$E$16)*Parameters!$I$11*ISNUMBER(V37)+(Parameters!$F$12=Parameters!$E$16)*Parameters!$I$12*ISNUMBER(W37))/((Parameters!$F$5=Parameters!$E$16)*Parameters!$I$5*1+(Parameters!$F$6=Parameters!$E$16)*Parameters!$I$6*1+(Parameters!$F$7=Parameters!$E$16)*Parameters!$I$7*1+(Parameters!$F$8=Parameters!$E$16)*Parameters!$I$8*1+(Parameters!$F$9=Parameters!$E$16)*Parameters!$I$9*1+(Parameters!$F$10=Parameters!$E$16)*Parameters!$I$10*1+(Parameters!$F$11=Parameters!$E$16)*Parameters!$I$11*X37+(Parameters!$F$12=Parameters!$E$16)*Parameters!$I$12*Y37)&gt;=Parameters!$B$36),((Parameters!$F$5=Parameters!$E$16)*Parameters!$I$5*N(P37)+(Parameters!$F$6=Parameters!$E$16)*Parameters!$I$6*N(Q37)+(Parameters!$F$7=Parameters!$E$16)*Parameters!$I$7*N(R37)+(Parameters!$F$8=Parameters!$E$16)*Parameters!$I$8*N(S37)+(Parameters!$F$9=Parameters!$E$16)*Parameters!$I$9*N(T37)+(Parameters!$F$10=Parameters!$E$16)*Parameters!$I$10*N(U37)+(Parameters!$F$11=Parameters!$E$16)*Parameters!$I$11*N(V37)+(Parameters!$F$12=Parameters!$E$16)*Parameters!$I$12*N(W37))/((Parameters!$F$5=Parameters!$E$16)*Parameters!$I$5*ISNUMBER(P37)+(Parameters!$F$6=Parameters!$E$16)*Parameters!$I$6*ISNUMBER(Q37)+(Parameters!$F$7=Parameters!$E$16)*Parameters!$I$7*ISNUMBER(R37)+(Parameters!$F$8=Parameters!$E$16)*Parameters!$I$8*ISNUMBER(S37)+(Parameters!$F$9=Parameters!$E$16)*Parameters!$I$9*ISNUMBER(T37)+(Parameters!$F$10=Parameters!$E$16)*Parameters!$I$10*ISNUMBER(U37)+(Parameters!$F$11=Parameters!$E$16)*Parameters!$I$11*ISNUMBER(V37)+(Parameters!$F$12=Parameters!$E$16)*Parameters!$I$12*ISNUMBER(W37)),""))</f>
        <v>0.666666666666667</v>
      </c>
      <c r="AB37"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37+(Parameters!$F$12=Parameters!$E$17)*Parameters!$I$12*Y37)=0,"",IF(AND(((Parameters!$F$5=Parameters!$E$17)*Parameters!$I$5*ISNUMBER(P37)+(Parameters!$F$6=Parameters!$E$17)*Parameters!$I$6*ISNUMBER(Q37)+(Parameters!$F$7=Parameters!$E$17)*Parameters!$I$7*ISNUMBER(R37)+(Parameters!$F$8=Parameters!$E$17)*Parameters!$I$8*ISNUMBER(S37)+(Parameters!$F$9=Parameters!$E$17)*Parameters!$I$9*ISNUMBER(T37)+(Parameters!$F$10=Parameters!$E$17)*Parameters!$I$10*ISNUMBER(U37)+(Parameters!$F$11=Parameters!$E$17)*Parameters!$I$11*ISNUMBER(V37)+(Parameters!$F$12=Parameters!$E$17)*Parameters!$I$12*ISNUMBER(W37))&gt;0,((Parameters!$F$5=Parameters!$E$17)*Parameters!$I$5*ISNUMBER(P37)+(Parameters!$F$6=Parameters!$E$17)*Parameters!$I$6*ISNUMBER(Q37)+(Parameters!$F$7=Parameters!$E$17)*Parameters!$I$7*ISNUMBER(R37)+(Parameters!$F$8=Parameters!$E$17)*Parameters!$I$8*ISNUMBER(S37)+(Parameters!$F$9=Parameters!$E$17)*Parameters!$I$9*ISNUMBER(T37)+(Parameters!$F$10=Parameters!$E$17)*Parameters!$I$10*ISNUMBER(U37)+(Parameters!$F$11=Parameters!$E$17)*Parameters!$I$11*ISNUMBER(V37)+(Parameters!$F$12=Parameters!$E$17)*Parameters!$I$12*ISNUMBER(W37))/((Parameters!$F$5=Parameters!$E$17)*Parameters!$I$5*1+(Parameters!$F$6=Parameters!$E$17)*Parameters!$I$6*1+(Parameters!$F$7=Parameters!$E$17)*Parameters!$I$7*1+(Parameters!$F$8=Parameters!$E$17)*Parameters!$I$8*1+(Parameters!$F$9=Parameters!$E$17)*Parameters!$I$9*1+(Parameters!$F$10=Parameters!$E$17)*Parameters!$I$10*1+(Parameters!$F$11=Parameters!$E$17)*Parameters!$I$11*X37+(Parameters!$F$12=Parameters!$E$17)*Parameters!$I$12*Y37)&gt;=Parameters!$B$36),((Parameters!$F$5=Parameters!$E$17)*Parameters!$I$5*N(P37)+(Parameters!$F$6=Parameters!$E$17)*Parameters!$I$6*N(Q37)+(Parameters!$F$7=Parameters!$E$17)*Parameters!$I$7*N(R37)+(Parameters!$F$8=Parameters!$E$17)*Parameters!$I$8*N(S37)+(Parameters!$F$9=Parameters!$E$17)*Parameters!$I$9*N(T37)+(Parameters!$F$10=Parameters!$E$17)*Parameters!$I$10*N(U37)+(Parameters!$F$11=Parameters!$E$17)*Parameters!$I$11*N(V37)+(Parameters!$F$12=Parameters!$E$17)*Parameters!$I$12*N(W37))/((Parameters!$F$5=Parameters!$E$17)*Parameters!$I$5*ISNUMBER(P37)+(Parameters!$F$6=Parameters!$E$17)*Parameters!$I$6*ISNUMBER(Q37)+(Parameters!$F$7=Parameters!$E$17)*Parameters!$I$7*ISNUMBER(R37)+(Parameters!$F$8=Parameters!$E$17)*Parameters!$I$8*ISNUMBER(S37)+(Parameters!$F$9=Parameters!$E$17)*Parameters!$I$9*ISNUMBER(T37)+(Parameters!$F$10=Parameters!$E$17)*Parameters!$I$10*ISNUMBER(U37)+(Parameters!$F$11=Parameters!$E$17)*Parameters!$I$11*ISNUMBER(V37)+(Parameters!$F$12=Parameters!$E$17)*Parameters!$I$12*ISNUMBER(W37)),""))</f>
        <v>1</v>
      </c>
      <c r="AC37" s="17" t="n">
        <f aca="false">Parameters!$I$5*ISNUMBER(P37)+Parameters!$I$6*ISNUMBER(Q37)+Parameters!$I$7*ISNUMBER(R37)+Parameters!$I$8*ISNUMBER(S37)+Parameters!$I$9*ISNUMBER(T37)+Parameters!$I$10*ISNUMBER(U37)+Parameters!$I$11*ISNUMBER(V37)+Parameters!$I$12*ISNUMBER(W37)</f>
        <v>75</v>
      </c>
      <c r="AD37" s="17" t="n">
        <f aca="false">Parameters!$I$5*1+Parameters!$I$6*1+Parameters!$I$7*1+Parameters!$I$8*1+Parameters!$I$9*1+Parameters!$I$10*1+Parameters!$I$11*X37+Parameters!$I$12*Y37</f>
        <v>85</v>
      </c>
      <c r="AE37" s="18" t="n">
        <f aca="false">IF(AD37=0,"",AC37/AD37)</f>
        <v>0.882352941176471</v>
      </c>
      <c r="AF37" s="17" t="str">
        <f aca="false">IF(ISNUMBER(Z37),"M","")&amp;IF(ISNUMBER(AA37),"I","")&amp;IF(ISNUMBER(AB37),"O","")</f>
        <v>MIO</v>
      </c>
      <c r="AG37" s="19" t="n">
        <f aca="false">IF(AND(ISNUMBER(AE37),ISNUMBER(Z37)+ISNUMBER(AA37)+ISNUMBER(AB37)&gt;=Parameters!$B$37),IF(AE37&gt;=Parameters!$B$35,100*(Parameters!$F$15*N(Z37)+Parameters!$F$16*N(AA37)+Parameters!$F$17*N(AB37))/(Parameters!$F$15*ISNUMBER(Z37)+Parameters!$F$16*ISNUMBER(AA37)+Parameters!$F$17*ISNUMBER(AB37)),""),"")</f>
        <v>90</v>
      </c>
      <c r="AH37" s="17" t="n">
        <f aca="false">IF(ISNUMBER(AG37),RANK(AG37,$AG$2:$AG$113),"")</f>
        <v>25</v>
      </c>
    </row>
    <row r="38" customFormat="false" ht="15" hidden="false" customHeight="false" outlineLevel="0" collapsed="false">
      <c r="A38" s="5" t="s">
        <v>274</v>
      </c>
      <c r="B38" s="5" t="s">
        <v>275</v>
      </c>
      <c r="C38" s="5" t="s">
        <v>276</v>
      </c>
      <c r="D38" s="5" t="s">
        <v>31</v>
      </c>
      <c r="E38" s="5" t="s">
        <v>44</v>
      </c>
      <c r="F38" s="5" t="s">
        <v>223</v>
      </c>
      <c r="G38" s="15"/>
      <c r="H38" s="8"/>
      <c r="I38" s="5" t="s">
        <v>53</v>
      </c>
      <c r="J38" s="5" t="s">
        <v>74</v>
      </c>
      <c r="K38" s="15"/>
      <c r="L38" s="5" t="s">
        <v>76</v>
      </c>
      <c r="M38" s="5" t="s">
        <v>136</v>
      </c>
      <c r="N38" s="5"/>
      <c r="O38" s="5"/>
      <c r="P38" s="16" t="n">
        <f aca="false">IFERROR(IF(ISNUMBER(INDEX(Parameters!$B$5:$B$23,MATCH(D38,Parameters!$A$5:$A$23,0))),INDEX(Parameters!$B$5:$B$23,MATCH(D38,Parameters!$A$5:$A$23,0)),""),"")</f>
        <v>1</v>
      </c>
      <c r="Q38" s="16" t="n">
        <f aca="false">IFERROR(IF(ISNUMBER(INDEX(Parameters!$B$5:$B$23,MATCH(E38,Parameters!$A$5:$A$23,0))),INDEX(Parameters!$B$5:$B$23,MATCH(E38,Parameters!$A$5:$A$23,0)),""),"")</f>
        <v>1</v>
      </c>
      <c r="R38" s="16" t="n">
        <f aca="false">IF(F38="","",IFERROR(MIN(Parameters!$B$33,MAX(0,Parameters!$B$32-VALUE(LEFT(F38,4))))/Parameters!$B$33,""))</f>
        <v>1</v>
      </c>
      <c r="S38" s="16" t="str">
        <f aca="false">IF(ISNUMBER(H38),H38,IF(G38="",IF(ISNUMBER(Parameters!$B$34),Parameters!$B$34,""),""))</f>
        <v/>
      </c>
      <c r="T38" s="16" t="n">
        <f aca="false">IFERROR(IF(ISNUMBER(INDEX(Parameters!$B$5:$B$23,MATCH(I38,Parameters!$A$5:$A$23,0))),INDEX(Parameters!$B$5:$B$23,MATCH(I38,Parameters!$A$5:$A$23,0)),""),"")</f>
        <v>1</v>
      </c>
      <c r="U38" s="16" t="n">
        <f aca="false">IFERROR(IF(ISNUMBER(INDEX(Parameters!$B$5:$B$23,MATCH(L38,Parameters!$A$5:$A$23,0))),INDEX(Parameters!$B$5:$B$23,MATCH(L38,Parameters!$A$5:$A$23,0)),""),"")</f>
        <v>1</v>
      </c>
      <c r="V38" s="16" t="str">
        <f aca="false">IFERROR(IF(ISNUMBER(INDEX(Parameters!$B$5:$B$23,MATCH(J38,Parameters!$A$5:$A$23,0))),INDEX(Parameters!$B$5:$B$23,MATCH(J38,Parameters!$A$5:$A$23,0)),""),"")</f>
        <v/>
      </c>
      <c r="W38" s="16" t="str">
        <f aca="false">IF(K38&lt;&gt;"",1,IF(COUNTIF(Parameters!$A$27:$A$28,J38)&gt;0,0,""))</f>
        <v/>
      </c>
      <c r="X38" s="17" t="n">
        <f aca="false">IF(J38="Not applicable",0,1)</f>
        <v>0</v>
      </c>
      <c r="Y38" s="17" t="n">
        <f aca="false">IF(OR(K38&lt;&gt;"",COUNTIF(Parameters!$A$27:$A$28,J38)&gt;0),1,0)</f>
        <v>0</v>
      </c>
      <c r="Z38"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38+(Parameters!$F$12=Parameters!$E$15)*Parameters!$I$12*Y38)=0,"",IF(AND(((Parameters!$F$5=Parameters!$E$15)*Parameters!$I$5*ISNUMBER(P38)+(Parameters!$F$6=Parameters!$E$15)*Parameters!$I$6*ISNUMBER(Q38)+(Parameters!$F$7=Parameters!$E$15)*Parameters!$I$7*ISNUMBER(R38)+(Parameters!$F$8=Parameters!$E$15)*Parameters!$I$8*ISNUMBER(S38)+(Parameters!$F$9=Parameters!$E$15)*Parameters!$I$9*ISNUMBER(T38)+(Parameters!$F$10=Parameters!$E$15)*Parameters!$I$10*ISNUMBER(U38)+(Parameters!$F$11=Parameters!$E$15)*Parameters!$I$11*ISNUMBER(V38)+(Parameters!$F$12=Parameters!$E$15)*Parameters!$I$12*ISNUMBER(W38))&gt;0,((Parameters!$F$5=Parameters!$E$15)*Parameters!$I$5*ISNUMBER(P38)+(Parameters!$F$6=Parameters!$E$15)*Parameters!$I$6*ISNUMBER(Q38)+(Parameters!$F$7=Parameters!$E$15)*Parameters!$I$7*ISNUMBER(R38)+(Parameters!$F$8=Parameters!$E$15)*Parameters!$I$8*ISNUMBER(S38)+(Parameters!$F$9=Parameters!$E$15)*Parameters!$I$9*ISNUMBER(T38)+(Parameters!$F$10=Parameters!$E$15)*Parameters!$I$10*ISNUMBER(U38)+(Parameters!$F$11=Parameters!$E$15)*Parameters!$I$11*ISNUMBER(V38)+(Parameters!$F$12=Parameters!$E$15)*Parameters!$I$12*ISNUMBER(W38))/((Parameters!$F$5=Parameters!$E$15)*Parameters!$I$5*1+(Parameters!$F$6=Parameters!$E$15)*Parameters!$I$6*1+(Parameters!$F$7=Parameters!$E$15)*Parameters!$I$7*1+(Parameters!$F$8=Parameters!$E$15)*Parameters!$I$8*1+(Parameters!$F$9=Parameters!$E$15)*Parameters!$I$9*1+(Parameters!$F$10=Parameters!$E$15)*Parameters!$I$10*1+(Parameters!$F$11=Parameters!$E$15)*Parameters!$I$11*X38+(Parameters!$F$12=Parameters!$E$15)*Parameters!$I$12*Y38)&gt;=Parameters!$B$36),((Parameters!$F$5=Parameters!$E$15)*Parameters!$I$5*N(P38)+(Parameters!$F$6=Parameters!$E$15)*Parameters!$I$6*N(Q38)+(Parameters!$F$7=Parameters!$E$15)*Parameters!$I$7*N(R38)+(Parameters!$F$8=Parameters!$E$15)*Parameters!$I$8*N(S38)+(Parameters!$F$9=Parameters!$E$15)*Parameters!$I$9*N(T38)+(Parameters!$F$10=Parameters!$E$15)*Parameters!$I$10*N(U38)+(Parameters!$F$11=Parameters!$E$15)*Parameters!$I$11*N(V38)+(Parameters!$F$12=Parameters!$E$15)*Parameters!$I$12*N(W38))/((Parameters!$F$5=Parameters!$E$15)*Parameters!$I$5*ISNUMBER(P38)+(Parameters!$F$6=Parameters!$E$15)*Parameters!$I$6*ISNUMBER(Q38)+(Parameters!$F$7=Parameters!$E$15)*Parameters!$I$7*ISNUMBER(R38)+(Parameters!$F$8=Parameters!$E$15)*Parameters!$I$8*ISNUMBER(S38)+(Parameters!$F$9=Parameters!$E$15)*Parameters!$I$9*ISNUMBER(T38)+(Parameters!$F$10=Parameters!$E$15)*Parameters!$I$10*ISNUMBER(U38)+(Parameters!$F$11=Parameters!$E$15)*Parameters!$I$11*ISNUMBER(V38)+(Parameters!$F$12=Parameters!$E$15)*Parameters!$I$12*ISNUMBER(W38)),""))</f>
        <v>1</v>
      </c>
      <c r="AA38"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38+(Parameters!$F$12=Parameters!$E$16)*Parameters!$I$12*Y38)=0,"",IF(AND(((Parameters!$F$5=Parameters!$E$16)*Parameters!$I$5*ISNUMBER(P38)+(Parameters!$F$6=Parameters!$E$16)*Parameters!$I$6*ISNUMBER(Q38)+(Parameters!$F$7=Parameters!$E$16)*Parameters!$I$7*ISNUMBER(R38)+(Parameters!$F$8=Parameters!$E$16)*Parameters!$I$8*ISNUMBER(S38)+(Parameters!$F$9=Parameters!$E$16)*Parameters!$I$9*ISNUMBER(T38)+(Parameters!$F$10=Parameters!$E$16)*Parameters!$I$10*ISNUMBER(U38)+(Parameters!$F$11=Parameters!$E$16)*Parameters!$I$11*ISNUMBER(V38)+(Parameters!$F$12=Parameters!$E$16)*Parameters!$I$12*ISNUMBER(W38))&gt;0,((Parameters!$F$5=Parameters!$E$16)*Parameters!$I$5*ISNUMBER(P38)+(Parameters!$F$6=Parameters!$E$16)*Parameters!$I$6*ISNUMBER(Q38)+(Parameters!$F$7=Parameters!$E$16)*Parameters!$I$7*ISNUMBER(R38)+(Parameters!$F$8=Parameters!$E$16)*Parameters!$I$8*ISNUMBER(S38)+(Parameters!$F$9=Parameters!$E$16)*Parameters!$I$9*ISNUMBER(T38)+(Parameters!$F$10=Parameters!$E$16)*Parameters!$I$10*ISNUMBER(U38)+(Parameters!$F$11=Parameters!$E$16)*Parameters!$I$11*ISNUMBER(V38)+(Parameters!$F$12=Parameters!$E$16)*Parameters!$I$12*ISNUMBER(W38))/((Parameters!$F$5=Parameters!$E$16)*Parameters!$I$5*1+(Parameters!$F$6=Parameters!$E$16)*Parameters!$I$6*1+(Parameters!$F$7=Parameters!$E$16)*Parameters!$I$7*1+(Parameters!$F$8=Parameters!$E$16)*Parameters!$I$8*1+(Parameters!$F$9=Parameters!$E$16)*Parameters!$I$9*1+(Parameters!$F$10=Parameters!$E$16)*Parameters!$I$10*1+(Parameters!$F$11=Parameters!$E$16)*Parameters!$I$11*X38+(Parameters!$F$12=Parameters!$E$16)*Parameters!$I$12*Y38)&gt;=Parameters!$B$36),((Parameters!$F$5=Parameters!$E$16)*Parameters!$I$5*N(P38)+(Parameters!$F$6=Parameters!$E$16)*Parameters!$I$6*N(Q38)+(Parameters!$F$7=Parameters!$E$16)*Parameters!$I$7*N(R38)+(Parameters!$F$8=Parameters!$E$16)*Parameters!$I$8*N(S38)+(Parameters!$F$9=Parameters!$E$16)*Parameters!$I$9*N(T38)+(Parameters!$F$10=Parameters!$E$16)*Parameters!$I$10*N(U38)+(Parameters!$F$11=Parameters!$E$16)*Parameters!$I$11*N(V38)+(Parameters!$F$12=Parameters!$E$16)*Parameters!$I$12*N(W38))/((Parameters!$F$5=Parameters!$E$16)*Parameters!$I$5*ISNUMBER(P38)+(Parameters!$F$6=Parameters!$E$16)*Parameters!$I$6*ISNUMBER(Q38)+(Parameters!$F$7=Parameters!$E$16)*Parameters!$I$7*ISNUMBER(R38)+(Parameters!$F$8=Parameters!$E$16)*Parameters!$I$8*ISNUMBER(S38)+(Parameters!$F$9=Parameters!$E$16)*Parameters!$I$9*ISNUMBER(T38)+(Parameters!$F$10=Parameters!$E$16)*Parameters!$I$10*ISNUMBER(U38)+(Parameters!$F$11=Parameters!$E$16)*Parameters!$I$11*ISNUMBER(V38)+(Parameters!$F$12=Parameters!$E$16)*Parameters!$I$12*ISNUMBER(W38)),""))</f>
        <v>1</v>
      </c>
      <c r="AB38"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38+(Parameters!$F$12=Parameters!$E$17)*Parameters!$I$12*Y38)=0,"",IF(AND(((Parameters!$F$5=Parameters!$E$17)*Parameters!$I$5*ISNUMBER(P38)+(Parameters!$F$6=Parameters!$E$17)*Parameters!$I$6*ISNUMBER(Q38)+(Parameters!$F$7=Parameters!$E$17)*Parameters!$I$7*ISNUMBER(R38)+(Parameters!$F$8=Parameters!$E$17)*Parameters!$I$8*ISNUMBER(S38)+(Parameters!$F$9=Parameters!$E$17)*Parameters!$I$9*ISNUMBER(T38)+(Parameters!$F$10=Parameters!$E$17)*Parameters!$I$10*ISNUMBER(U38)+(Parameters!$F$11=Parameters!$E$17)*Parameters!$I$11*ISNUMBER(V38)+(Parameters!$F$12=Parameters!$E$17)*Parameters!$I$12*ISNUMBER(W38))&gt;0,((Parameters!$F$5=Parameters!$E$17)*Parameters!$I$5*ISNUMBER(P38)+(Parameters!$F$6=Parameters!$E$17)*Parameters!$I$6*ISNUMBER(Q38)+(Parameters!$F$7=Parameters!$E$17)*Parameters!$I$7*ISNUMBER(R38)+(Parameters!$F$8=Parameters!$E$17)*Parameters!$I$8*ISNUMBER(S38)+(Parameters!$F$9=Parameters!$E$17)*Parameters!$I$9*ISNUMBER(T38)+(Parameters!$F$10=Parameters!$E$17)*Parameters!$I$10*ISNUMBER(U38)+(Parameters!$F$11=Parameters!$E$17)*Parameters!$I$11*ISNUMBER(V38)+(Parameters!$F$12=Parameters!$E$17)*Parameters!$I$12*ISNUMBER(W38))/((Parameters!$F$5=Parameters!$E$17)*Parameters!$I$5*1+(Parameters!$F$6=Parameters!$E$17)*Parameters!$I$6*1+(Parameters!$F$7=Parameters!$E$17)*Parameters!$I$7*1+(Parameters!$F$8=Parameters!$E$17)*Parameters!$I$8*1+(Parameters!$F$9=Parameters!$E$17)*Parameters!$I$9*1+(Parameters!$F$10=Parameters!$E$17)*Parameters!$I$10*1+(Parameters!$F$11=Parameters!$E$17)*Parameters!$I$11*X38+(Parameters!$F$12=Parameters!$E$17)*Parameters!$I$12*Y38)&gt;=Parameters!$B$36),((Parameters!$F$5=Parameters!$E$17)*Parameters!$I$5*N(P38)+(Parameters!$F$6=Parameters!$E$17)*Parameters!$I$6*N(Q38)+(Parameters!$F$7=Parameters!$E$17)*Parameters!$I$7*N(R38)+(Parameters!$F$8=Parameters!$E$17)*Parameters!$I$8*N(S38)+(Parameters!$F$9=Parameters!$E$17)*Parameters!$I$9*N(T38)+(Parameters!$F$10=Parameters!$E$17)*Parameters!$I$10*N(U38)+(Parameters!$F$11=Parameters!$E$17)*Parameters!$I$11*N(V38)+(Parameters!$F$12=Parameters!$E$17)*Parameters!$I$12*N(W38))/((Parameters!$F$5=Parameters!$E$17)*Parameters!$I$5*ISNUMBER(P38)+(Parameters!$F$6=Parameters!$E$17)*Parameters!$I$6*ISNUMBER(Q38)+(Parameters!$F$7=Parameters!$E$17)*Parameters!$I$7*ISNUMBER(R38)+(Parameters!$F$8=Parameters!$E$17)*Parameters!$I$8*ISNUMBER(S38)+(Parameters!$F$9=Parameters!$E$17)*Parameters!$I$9*ISNUMBER(T38)+(Parameters!$F$10=Parameters!$E$17)*Parameters!$I$10*ISNUMBER(U38)+(Parameters!$F$11=Parameters!$E$17)*Parameters!$I$11*ISNUMBER(V38)+(Parameters!$F$12=Parameters!$E$17)*Parameters!$I$12*ISNUMBER(W38)),""))</f>
        <v/>
      </c>
      <c r="AC38" s="17" t="n">
        <f aca="false">Parameters!$I$5*ISNUMBER(P38)+Parameters!$I$6*ISNUMBER(Q38)+Parameters!$I$7*ISNUMBER(R38)+Parameters!$I$8*ISNUMBER(S38)+Parameters!$I$9*ISNUMBER(T38)+Parameters!$I$10*ISNUMBER(U38)+Parameters!$I$11*ISNUMBER(V38)+Parameters!$I$12*ISNUMBER(W38)</f>
        <v>65</v>
      </c>
      <c r="AD38" s="17" t="n">
        <f aca="false">Parameters!$I$5*1+Parameters!$I$6*1+Parameters!$I$7*1+Parameters!$I$8*1+Parameters!$I$9*1+Parameters!$I$10*1+Parameters!$I$11*X38+Parameters!$I$12*Y38</f>
        <v>75</v>
      </c>
      <c r="AE38" s="18" t="n">
        <f aca="false">IF(AD38=0,"",AC38/AD38)</f>
        <v>0.866666666666667</v>
      </c>
      <c r="AF38" s="17" t="str">
        <f aca="false">IF(ISNUMBER(Z38),"M","")&amp;IF(ISNUMBER(AA38),"I","")&amp;IF(ISNUMBER(AB38),"O","")</f>
        <v>MI</v>
      </c>
      <c r="AG38" s="19" t="n">
        <f aca="false">IF(AND(ISNUMBER(AE38),ISNUMBER(Z38)+ISNUMBER(AA38)+ISNUMBER(AB38)&gt;=Parameters!$B$37),IF(AE38&gt;=Parameters!$B$35,100*(Parameters!$F$15*N(Z38)+Parameters!$F$16*N(AA38)+Parameters!$F$17*N(AB38))/(Parameters!$F$15*ISNUMBER(Z38)+Parameters!$F$16*ISNUMBER(AA38)+Parameters!$F$17*ISNUMBER(AB38)),""),"")</f>
        <v>100</v>
      </c>
      <c r="AH38" s="17" t="n">
        <f aca="false">IF(ISNUMBER(AG38),RANK(AG38,$AG$2:$AG$113),"")</f>
        <v>1</v>
      </c>
    </row>
    <row r="39" customFormat="false" ht="15" hidden="false" customHeight="false" outlineLevel="0" collapsed="false">
      <c r="A39" s="5" t="s">
        <v>277</v>
      </c>
      <c r="B39" s="5" t="s">
        <v>277</v>
      </c>
      <c r="C39" s="5" t="s">
        <v>278</v>
      </c>
      <c r="D39" s="5" t="s">
        <v>40</v>
      </c>
      <c r="E39" s="5" t="s">
        <v>44</v>
      </c>
      <c r="F39" s="5" t="s">
        <v>279</v>
      </c>
      <c r="G39" s="15"/>
      <c r="H39" s="8"/>
      <c r="I39" s="5" t="s">
        <v>57</v>
      </c>
      <c r="J39" s="5" t="s">
        <v>71</v>
      </c>
      <c r="K39" s="15"/>
      <c r="L39" s="5" t="s">
        <v>87</v>
      </c>
      <c r="M39" s="5" t="s">
        <v>136</v>
      </c>
      <c r="N39" s="5"/>
      <c r="O39" s="5"/>
      <c r="P39" s="16" t="n">
        <f aca="false">IFERROR(IF(ISNUMBER(INDEX(Parameters!$B$5:$B$23,MATCH(D39,Parameters!$A$5:$A$23,0))),INDEX(Parameters!$B$5:$B$23,MATCH(D39,Parameters!$A$5:$A$23,0)),""),"")</f>
        <v>0.555555555555556</v>
      </c>
      <c r="Q39" s="16" t="n">
        <f aca="false">IFERROR(IF(ISNUMBER(INDEX(Parameters!$B$5:$B$23,MATCH(E39,Parameters!$A$5:$A$23,0))),INDEX(Parameters!$B$5:$B$23,MATCH(E39,Parameters!$A$5:$A$23,0)),""),"")</f>
        <v>1</v>
      </c>
      <c r="R39" s="16" t="n">
        <f aca="false">IF(F39="","",IFERROR(MIN(Parameters!$B$33,MAX(0,Parameters!$B$32-VALUE(LEFT(F39,4))))/Parameters!$B$33,""))</f>
        <v>0.733333333333333</v>
      </c>
      <c r="S39" s="16" t="str">
        <f aca="false">IF(ISNUMBER(H39),H39,IF(G39="",IF(ISNUMBER(Parameters!$B$34),Parameters!$B$34,""),""))</f>
        <v/>
      </c>
      <c r="T39" s="16" t="n">
        <f aca="false">IFERROR(IF(ISNUMBER(INDEX(Parameters!$B$5:$B$23,MATCH(I39,Parameters!$A$5:$A$23,0))),INDEX(Parameters!$B$5:$B$23,MATCH(I39,Parameters!$A$5:$A$23,0)),""),"")</f>
        <v>0</v>
      </c>
      <c r="U39" s="16" t="n">
        <f aca="false">IFERROR(IF(ISNUMBER(INDEX(Parameters!$B$5:$B$23,MATCH(L39,Parameters!$A$5:$A$23,0))),INDEX(Parameters!$B$5:$B$23,MATCH(L39,Parameters!$A$5:$A$23,0)),""),"")</f>
        <v>0</v>
      </c>
      <c r="V39" s="16" t="str">
        <f aca="false">IFERROR(IF(ISNUMBER(INDEX(Parameters!$B$5:$B$23,MATCH(J39,Parameters!$A$5:$A$23,0))),INDEX(Parameters!$B$5:$B$23,MATCH(J39,Parameters!$A$5:$A$23,0)),""),"")</f>
        <v/>
      </c>
      <c r="W39" s="16" t="str">
        <f aca="false">IF(K39&lt;&gt;"",1,IF(COUNTIF(Parameters!$A$27:$A$28,J39)&gt;0,0,""))</f>
        <v/>
      </c>
      <c r="X39" s="17" t="n">
        <f aca="false">IF(J39="Not applicable",0,1)</f>
        <v>1</v>
      </c>
      <c r="Y39" s="17" t="n">
        <f aca="false">IF(OR(K39&lt;&gt;"",COUNTIF(Parameters!$A$27:$A$28,J39)&gt;0),1,0)</f>
        <v>0</v>
      </c>
      <c r="Z39"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39+(Parameters!$F$12=Parameters!$E$15)*Parameters!$I$12*Y39)=0,"",IF(AND(((Parameters!$F$5=Parameters!$E$15)*Parameters!$I$5*ISNUMBER(P39)+(Parameters!$F$6=Parameters!$E$15)*Parameters!$I$6*ISNUMBER(Q39)+(Parameters!$F$7=Parameters!$E$15)*Parameters!$I$7*ISNUMBER(R39)+(Parameters!$F$8=Parameters!$E$15)*Parameters!$I$8*ISNUMBER(S39)+(Parameters!$F$9=Parameters!$E$15)*Parameters!$I$9*ISNUMBER(T39)+(Parameters!$F$10=Parameters!$E$15)*Parameters!$I$10*ISNUMBER(U39)+(Parameters!$F$11=Parameters!$E$15)*Parameters!$I$11*ISNUMBER(V39)+(Parameters!$F$12=Parameters!$E$15)*Parameters!$I$12*ISNUMBER(W39))&gt;0,((Parameters!$F$5=Parameters!$E$15)*Parameters!$I$5*ISNUMBER(P39)+(Parameters!$F$6=Parameters!$E$15)*Parameters!$I$6*ISNUMBER(Q39)+(Parameters!$F$7=Parameters!$E$15)*Parameters!$I$7*ISNUMBER(R39)+(Parameters!$F$8=Parameters!$E$15)*Parameters!$I$8*ISNUMBER(S39)+(Parameters!$F$9=Parameters!$E$15)*Parameters!$I$9*ISNUMBER(T39)+(Parameters!$F$10=Parameters!$E$15)*Parameters!$I$10*ISNUMBER(U39)+(Parameters!$F$11=Parameters!$E$15)*Parameters!$I$11*ISNUMBER(V39)+(Parameters!$F$12=Parameters!$E$15)*Parameters!$I$12*ISNUMBER(W39))/((Parameters!$F$5=Parameters!$E$15)*Parameters!$I$5*1+(Parameters!$F$6=Parameters!$E$15)*Parameters!$I$6*1+(Parameters!$F$7=Parameters!$E$15)*Parameters!$I$7*1+(Parameters!$F$8=Parameters!$E$15)*Parameters!$I$8*1+(Parameters!$F$9=Parameters!$E$15)*Parameters!$I$9*1+(Parameters!$F$10=Parameters!$E$15)*Parameters!$I$10*1+(Parameters!$F$11=Parameters!$E$15)*Parameters!$I$11*X39+(Parameters!$F$12=Parameters!$E$15)*Parameters!$I$12*Y39)&gt;=Parameters!$B$36),((Parameters!$F$5=Parameters!$E$15)*Parameters!$I$5*N(P39)+(Parameters!$F$6=Parameters!$E$15)*Parameters!$I$6*N(Q39)+(Parameters!$F$7=Parameters!$E$15)*Parameters!$I$7*N(R39)+(Parameters!$F$8=Parameters!$E$15)*Parameters!$I$8*N(S39)+(Parameters!$F$9=Parameters!$E$15)*Parameters!$I$9*N(T39)+(Parameters!$F$10=Parameters!$E$15)*Parameters!$I$10*N(U39)+(Parameters!$F$11=Parameters!$E$15)*Parameters!$I$11*N(V39)+(Parameters!$F$12=Parameters!$E$15)*Parameters!$I$12*N(W39))/((Parameters!$F$5=Parameters!$E$15)*Parameters!$I$5*ISNUMBER(P39)+(Parameters!$F$6=Parameters!$E$15)*Parameters!$I$6*ISNUMBER(Q39)+(Parameters!$F$7=Parameters!$E$15)*Parameters!$I$7*ISNUMBER(R39)+(Parameters!$F$8=Parameters!$E$15)*Parameters!$I$8*ISNUMBER(S39)+(Parameters!$F$9=Parameters!$E$15)*Parameters!$I$9*ISNUMBER(T39)+(Parameters!$F$10=Parameters!$E$15)*Parameters!$I$10*ISNUMBER(U39)+(Parameters!$F$11=Parameters!$E$15)*Parameters!$I$11*ISNUMBER(V39)+(Parameters!$F$12=Parameters!$E$15)*Parameters!$I$12*ISNUMBER(W39)),""))</f>
        <v>0.795555555555556</v>
      </c>
      <c r="AA39"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39+(Parameters!$F$12=Parameters!$E$16)*Parameters!$I$12*Y39)=0,"",IF(AND(((Parameters!$F$5=Parameters!$E$16)*Parameters!$I$5*ISNUMBER(P39)+(Parameters!$F$6=Parameters!$E$16)*Parameters!$I$6*ISNUMBER(Q39)+(Parameters!$F$7=Parameters!$E$16)*Parameters!$I$7*ISNUMBER(R39)+(Parameters!$F$8=Parameters!$E$16)*Parameters!$I$8*ISNUMBER(S39)+(Parameters!$F$9=Parameters!$E$16)*Parameters!$I$9*ISNUMBER(T39)+(Parameters!$F$10=Parameters!$E$16)*Parameters!$I$10*ISNUMBER(U39)+(Parameters!$F$11=Parameters!$E$16)*Parameters!$I$11*ISNUMBER(V39)+(Parameters!$F$12=Parameters!$E$16)*Parameters!$I$12*ISNUMBER(W39))&gt;0,((Parameters!$F$5=Parameters!$E$16)*Parameters!$I$5*ISNUMBER(P39)+(Parameters!$F$6=Parameters!$E$16)*Parameters!$I$6*ISNUMBER(Q39)+(Parameters!$F$7=Parameters!$E$16)*Parameters!$I$7*ISNUMBER(R39)+(Parameters!$F$8=Parameters!$E$16)*Parameters!$I$8*ISNUMBER(S39)+(Parameters!$F$9=Parameters!$E$16)*Parameters!$I$9*ISNUMBER(T39)+(Parameters!$F$10=Parameters!$E$16)*Parameters!$I$10*ISNUMBER(U39)+(Parameters!$F$11=Parameters!$E$16)*Parameters!$I$11*ISNUMBER(V39)+(Parameters!$F$12=Parameters!$E$16)*Parameters!$I$12*ISNUMBER(W39))/((Parameters!$F$5=Parameters!$E$16)*Parameters!$I$5*1+(Parameters!$F$6=Parameters!$E$16)*Parameters!$I$6*1+(Parameters!$F$7=Parameters!$E$16)*Parameters!$I$7*1+(Parameters!$F$8=Parameters!$E$16)*Parameters!$I$8*1+(Parameters!$F$9=Parameters!$E$16)*Parameters!$I$9*1+(Parameters!$F$10=Parameters!$E$16)*Parameters!$I$10*1+(Parameters!$F$11=Parameters!$E$16)*Parameters!$I$11*X39+(Parameters!$F$12=Parameters!$E$16)*Parameters!$I$12*Y39)&gt;=Parameters!$B$36),((Parameters!$F$5=Parameters!$E$16)*Parameters!$I$5*N(P39)+(Parameters!$F$6=Parameters!$E$16)*Parameters!$I$6*N(Q39)+(Parameters!$F$7=Parameters!$E$16)*Parameters!$I$7*N(R39)+(Parameters!$F$8=Parameters!$E$16)*Parameters!$I$8*N(S39)+(Parameters!$F$9=Parameters!$E$16)*Parameters!$I$9*N(T39)+(Parameters!$F$10=Parameters!$E$16)*Parameters!$I$10*N(U39)+(Parameters!$F$11=Parameters!$E$16)*Parameters!$I$11*N(V39)+(Parameters!$F$12=Parameters!$E$16)*Parameters!$I$12*N(W39))/((Parameters!$F$5=Parameters!$E$16)*Parameters!$I$5*ISNUMBER(P39)+(Parameters!$F$6=Parameters!$E$16)*Parameters!$I$6*ISNUMBER(Q39)+(Parameters!$F$7=Parameters!$E$16)*Parameters!$I$7*ISNUMBER(R39)+(Parameters!$F$8=Parameters!$E$16)*Parameters!$I$8*ISNUMBER(S39)+(Parameters!$F$9=Parameters!$E$16)*Parameters!$I$9*ISNUMBER(T39)+(Parameters!$F$10=Parameters!$E$16)*Parameters!$I$10*ISNUMBER(U39)+(Parameters!$F$11=Parameters!$E$16)*Parameters!$I$11*ISNUMBER(V39)+(Parameters!$F$12=Parameters!$E$16)*Parameters!$I$12*ISNUMBER(W39)),""))</f>
        <v>0</v>
      </c>
      <c r="AB39"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39+(Parameters!$F$12=Parameters!$E$17)*Parameters!$I$12*Y39)=0,"",IF(AND(((Parameters!$F$5=Parameters!$E$17)*Parameters!$I$5*ISNUMBER(P39)+(Parameters!$F$6=Parameters!$E$17)*Parameters!$I$6*ISNUMBER(Q39)+(Parameters!$F$7=Parameters!$E$17)*Parameters!$I$7*ISNUMBER(R39)+(Parameters!$F$8=Parameters!$E$17)*Parameters!$I$8*ISNUMBER(S39)+(Parameters!$F$9=Parameters!$E$17)*Parameters!$I$9*ISNUMBER(T39)+(Parameters!$F$10=Parameters!$E$17)*Parameters!$I$10*ISNUMBER(U39)+(Parameters!$F$11=Parameters!$E$17)*Parameters!$I$11*ISNUMBER(V39)+(Parameters!$F$12=Parameters!$E$17)*Parameters!$I$12*ISNUMBER(W39))&gt;0,((Parameters!$F$5=Parameters!$E$17)*Parameters!$I$5*ISNUMBER(P39)+(Parameters!$F$6=Parameters!$E$17)*Parameters!$I$6*ISNUMBER(Q39)+(Parameters!$F$7=Parameters!$E$17)*Parameters!$I$7*ISNUMBER(R39)+(Parameters!$F$8=Parameters!$E$17)*Parameters!$I$8*ISNUMBER(S39)+(Parameters!$F$9=Parameters!$E$17)*Parameters!$I$9*ISNUMBER(T39)+(Parameters!$F$10=Parameters!$E$17)*Parameters!$I$10*ISNUMBER(U39)+(Parameters!$F$11=Parameters!$E$17)*Parameters!$I$11*ISNUMBER(V39)+(Parameters!$F$12=Parameters!$E$17)*Parameters!$I$12*ISNUMBER(W39))/((Parameters!$F$5=Parameters!$E$17)*Parameters!$I$5*1+(Parameters!$F$6=Parameters!$E$17)*Parameters!$I$6*1+(Parameters!$F$7=Parameters!$E$17)*Parameters!$I$7*1+(Parameters!$F$8=Parameters!$E$17)*Parameters!$I$8*1+(Parameters!$F$9=Parameters!$E$17)*Parameters!$I$9*1+(Parameters!$F$10=Parameters!$E$17)*Parameters!$I$10*1+(Parameters!$F$11=Parameters!$E$17)*Parameters!$I$11*X39+(Parameters!$F$12=Parameters!$E$17)*Parameters!$I$12*Y39)&gt;=Parameters!$B$36),((Parameters!$F$5=Parameters!$E$17)*Parameters!$I$5*N(P39)+(Parameters!$F$6=Parameters!$E$17)*Parameters!$I$6*N(Q39)+(Parameters!$F$7=Parameters!$E$17)*Parameters!$I$7*N(R39)+(Parameters!$F$8=Parameters!$E$17)*Parameters!$I$8*N(S39)+(Parameters!$F$9=Parameters!$E$17)*Parameters!$I$9*N(T39)+(Parameters!$F$10=Parameters!$E$17)*Parameters!$I$10*N(U39)+(Parameters!$F$11=Parameters!$E$17)*Parameters!$I$11*N(V39)+(Parameters!$F$12=Parameters!$E$17)*Parameters!$I$12*N(W39))/((Parameters!$F$5=Parameters!$E$17)*Parameters!$I$5*ISNUMBER(P39)+(Parameters!$F$6=Parameters!$E$17)*Parameters!$I$6*ISNUMBER(Q39)+(Parameters!$F$7=Parameters!$E$17)*Parameters!$I$7*ISNUMBER(R39)+(Parameters!$F$8=Parameters!$E$17)*Parameters!$I$8*ISNUMBER(S39)+(Parameters!$F$9=Parameters!$E$17)*Parameters!$I$9*ISNUMBER(T39)+(Parameters!$F$10=Parameters!$E$17)*Parameters!$I$10*ISNUMBER(U39)+(Parameters!$F$11=Parameters!$E$17)*Parameters!$I$11*ISNUMBER(V39)+(Parameters!$F$12=Parameters!$E$17)*Parameters!$I$12*ISNUMBER(W39)),""))</f>
        <v/>
      </c>
      <c r="AC39" s="17" t="n">
        <f aca="false">Parameters!$I$5*ISNUMBER(P39)+Parameters!$I$6*ISNUMBER(Q39)+Parameters!$I$7*ISNUMBER(R39)+Parameters!$I$8*ISNUMBER(S39)+Parameters!$I$9*ISNUMBER(T39)+Parameters!$I$10*ISNUMBER(U39)+Parameters!$I$11*ISNUMBER(V39)+Parameters!$I$12*ISNUMBER(W39)</f>
        <v>65</v>
      </c>
      <c r="AD39" s="17" t="n">
        <f aca="false">Parameters!$I$5*1+Parameters!$I$6*1+Parameters!$I$7*1+Parameters!$I$8*1+Parameters!$I$9*1+Parameters!$I$10*1+Parameters!$I$11*X39+Parameters!$I$12*Y39</f>
        <v>85</v>
      </c>
      <c r="AE39" s="18" t="n">
        <f aca="false">IF(AD39=0,"",AC39/AD39)</f>
        <v>0.764705882352941</v>
      </c>
      <c r="AF39" s="17" t="str">
        <f aca="false">IF(ISNUMBER(Z39),"M","")&amp;IF(ISNUMBER(AA39),"I","")&amp;IF(ISNUMBER(AB39),"O","")</f>
        <v>MI</v>
      </c>
      <c r="AG39" s="19" t="n">
        <f aca="false">IF(AND(ISNUMBER(AE39),ISNUMBER(Z39)+ISNUMBER(AA39)+ISNUMBER(AB39)&gt;=Parameters!$B$37),IF(AE39&gt;=Parameters!$B$35,100*(Parameters!$F$15*N(Z39)+Parameters!$F$16*N(AA39)+Parameters!$F$17*N(AB39))/(Parameters!$F$15*ISNUMBER(Z39)+Parameters!$F$16*ISNUMBER(AA39)+Parameters!$F$17*ISNUMBER(AB39)),""),"")</f>
        <v>49.7222222222222</v>
      </c>
      <c r="AH39" s="17" t="n">
        <f aca="false">IF(ISNUMBER(AG39),RANK(AG39,$AG$2:$AG$113),"")</f>
        <v>108</v>
      </c>
    </row>
    <row r="40" customFormat="false" ht="15" hidden="false" customHeight="false" outlineLevel="0" collapsed="false">
      <c r="A40" s="5" t="s">
        <v>280</v>
      </c>
      <c r="B40" s="5" t="s">
        <v>280</v>
      </c>
      <c r="C40" s="5" t="s">
        <v>145</v>
      </c>
      <c r="D40" s="5" t="s">
        <v>31</v>
      </c>
      <c r="E40" s="5" t="s">
        <v>44</v>
      </c>
      <c r="F40" s="5" t="s">
        <v>211</v>
      </c>
      <c r="G40" s="15"/>
      <c r="H40" s="8"/>
      <c r="I40" s="5" t="s">
        <v>57</v>
      </c>
      <c r="J40" s="5" t="s">
        <v>74</v>
      </c>
      <c r="K40" s="15"/>
      <c r="L40" s="5" t="s">
        <v>76</v>
      </c>
      <c r="M40" s="5" t="s">
        <v>141</v>
      </c>
      <c r="N40" s="5"/>
      <c r="O40" s="5"/>
      <c r="P40" s="16" t="n">
        <f aca="false">IFERROR(IF(ISNUMBER(INDEX(Parameters!$B$5:$B$23,MATCH(D40,Parameters!$A$5:$A$23,0))),INDEX(Parameters!$B$5:$B$23,MATCH(D40,Parameters!$A$5:$A$23,0)),""),"")</f>
        <v>1</v>
      </c>
      <c r="Q40" s="16" t="n">
        <f aca="false">IFERROR(IF(ISNUMBER(INDEX(Parameters!$B$5:$B$23,MATCH(E40,Parameters!$A$5:$A$23,0))),INDEX(Parameters!$B$5:$B$23,MATCH(E40,Parameters!$A$5:$A$23,0)),""),"")</f>
        <v>1</v>
      </c>
      <c r="R40" s="16" t="n">
        <f aca="false">IF(F40="","",IFERROR(MIN(Parameters!$B$33,MAX(0,Parameters!$B$32-VALUE(LEFT(F40,4))))/Parameters!$B$33,""))</f>
        <v>1</v>
      </c>
      <c r="S40" s="16" t="str">
        <f aca="false">IF(ISNUMBER(H40),H40,IF(G40="",IF(ISNUMBER(Parameters!$B$34),Parameters!$B$34,""),""))</f>
        <v/>
      </c>
      <c r="T40" s="16" t="n">
        <f aca="false">IFERROR(IF(ISNUMBER(INDEX(Parameters!$B$5:$B$23,MATCH(I40,Parameters!$A$5:$A$23,0))),INDEX(Parameters!$B$5:$B$23,MATCH(I40,Parameters!$A$5:$A$23,0)),""),"")</f>
        <v>0</v>
      </c>
      <c r="U40" s="16" t="n">
        <f aca="false">IFERROR(IF(ISNUMBER(INDEX(Parameters!$B$5:$B$23,MATCH(L40,Parameters!$A$5:$A$23,0))),INDEX(Parameters!$B$5:$B$23,MATCH(L40,Parameters!$A$5:$A$23,0)),""),"")</f>
        <v>1</v>
      </c>
      <c r="V40" s="16" t="str">
        <f aca="false">IFERROR(IF(ISNUMBER(INDEX(Parameters!$B$5:$B$23,MATCH(J40,Parameters!$A$5:$A$23,0))),INDEX(Parameters!$B$5:$B$23,MATCH(J40,Parameters!$A$5:$A$23,0)),""),"")</f>
        <v/>
      </c>
      <c r="W40" s="16" t="str">
        <f aca="false">IF(K40&lt;&gt;"",1,IF(COUNTIF(Parameters!$A$27:$A$28,J40)&gt;0,0,""))</f>
        <v/>
      </c>
      <c r="X40" s="17" t="n">
        <f aca="false">IF(J40="Not applicable",0,1)</f>
        <v>0</v>
      </c>
      <c r="Y40" s="17" t="n">
        <f aca="false">IF(OR(K40&lt;&gt;"",COUNTIF(Parameters!$A$27:$A$28,J40)&gt;0),1,0)</f>
        <v>0</v>
      </c>
      <c r="Z40"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40+(Parameters!$F$12=Parameters!$E$15)*Parameters!$I$12*Y40)=0,"",IF(AND(((Parameters!$F$5=Parameters!$E$15)*Parameters!$I$5*ISNUMBER(P40)+(Parameters!$F$6=Parameters!$E$15)*Parameters!$I$6*ISNUMBER(Q40)+(Parameters!$F$7=Parameters!$E$15)*Parameters!$I$7*ISNUMBER(R40)+(Parameters!$F$8=Parameters!$E$15)*Parameters!$I$8*ISNUMBER(S40)+(Parameters!$F$9=Parameters!$E$15)*Parameters!$I$9*ISNUMBER(T40)+(Parameters!$F$10=Parameters!$E$15)*Parameters!$I$10*ISNUMBER(U40)+(Parameters!$F$11=Parameters!$E$15)*Parameters!$I$11*ISNUMBER(V40)+(Parameters!$F$12=Parameters!$E$15)*Parameters!$I$12*ISNUMBER(W40))&gt;0,((Parameters!$F$5=Parameters!$E$15)*Parameters!$I$5*ISNUMBER(P40)+(Parameters!$F$6=Parameters!$E$15)*Parameters!$I$6*ISNUMBER(Q40)+(Parameters!$F$7=Parameters!$E$15)*Parameters!$I$7*ISNUMBER(R40)+(Parameters!$F$8=Parameters!$E$15)*Parameters!$I$8*ISNUMBER(S40)+(Parameters!$F$9=Parameters!$E$15)*Parameters!$I$9*ISNUMBER(T40)+(Parameters!$F$10=Parameters!$E$15)*Parameters!$I$10*ISNUMBER(U40)+(Parameters!$F$11=Parameters!$E$15)*Parameters!$I$11*ISNUMBER(V40)+(Parameters!$F$12=Parameters!$E$15)*Parameters!$I$12*ISNUMBER(W40))/((Parameters!$F$5=Parameters!$E$15)*Parameters!$I$5*1+(Parameters!$F$6=Parameters!$E$15)*Parameters!$I$6*1+(Parameters!$F$7=Parameters!$E$15)*Parameters!$I$7*1+(Parameters!$F$8=Parameters!$E$15)*Parameters!$I$8*1+(Parameters!$F$9=Parameters!$E$15)*Parameters!$I$9*1+(Parameters!$F$10=Parameters!$E$15)*Parameters!$I$10*1+(Parameters!$F$11=Parameters!$E$15)*Parameters!$I$11*X40+(Parameters!$F$12=Parameters!$E$15)*Parameters!$I$12*Y40)&gt;=Parameters!$B$36),((Parameters!$F$5=Parameters!$E$15)*Parameters!$I$5*N(P40)+(Parameters!$F$6=Parameters!$E$15)*Parameters!$I$6*N(Q40)+(Parameters!$F$7=Parameters!$E$15)*Parameters!$I$7*N(R40)+(Parameters!$F$8=Parameters!$E$15)*Parameters!$I$8*N(S40)+(Parameters!$F$9=Parameters!$E$15)*Parameters!$I$9*N(T40)+(Parameters!$F$10=Parameters!$E$15)*Parameters!$I$10*N(U40)+(Parameters!$F$11=Parameters!$E$15)*Parameters!$I$11*N(V40)+(Parameters!$F$12=Parameters!$E$15)*Parameters!$I$12*N(W40))/((Parameters!$F$5=Parameters!$E$15)*Parameters!$I$5*ISNUMBER(P40)+(Parameters!$F$6=Parameters!$E$15)*Parameters!$I$6*ISNUMBER(Q40)+(Parameters!$F$7=Parameters!$E$15)*Parameters!$I$7*ISNUMBER(R40)+(Parameters!$F$8=Parameters!$E$15)*Parameters!$I$8*ISNUMBER(S40)+(Parameters!$F$9=Parameters!$E$15)*Parameters!$I$9*ISNUMBER(T40)+(Parameters!$F$10=Parameters!$E$15)*Parameters!$I$10*ISNUMBER(U40)+(Parameters!$F$11=Parameters!$E$15)*Parameters!$I$11*ISNUMBER(V40)+(Parameters!$F$12=Parameters!$E$15)*Parameters!$I$12*ISNUMBER(W40)),""))</f>
        <v>1</v>
      </c>
      <c r="AA40"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40+(Parameters!$F$12=Parameters!$E$16)*Parameters!$I$12*Y40)=0,"",IF(AND(((Parameters!$F$5=Parameters!$E$16)*Parameters!$I$5*ISNUMBER(P40)+(Parameters!$F$6=Parameters!$E$16)*Parameters!$I$6*ISNUMBER(Q40)+(Parameters!$F$7=Parameters!$E$16)*Parameters!$I$7*ISNUMBER(R40)+(Parameters!$F$8=Parameters!$E$16)*Parameters!$I$8*ISNUMBER(S40)+(Parameters!$F$9=Parameters!$E$16)*Parameters!$I$9*ISNUMBER(T40)+(Parameters!$F$10=Parameters!$E$16)*Parameters!$I$10*ISNUMBER(U40)+(Parameters!$F$11=Parameters!$E$16)*Parameters!$I$11*ISNUMBER(V40)+(Parameters!$F$12=Parameters!$E$16)*Parameters!$I$12*ISNUMBER(W40))&gt;0,((Parameters!$F$5=Parameters!$E$16)*Parameters!$I$5*ISNUMBER(P40)+(Parameters!$F$6=Parameters!$E$16)*Parameters!$I$6*ISNUMBER(Q40)+(Parameters!$F$7=Parameters!$E$16)*Parameters!$I$7*ISNUMBER(R40)+(Parameters!$F$8=Parameters!$E$16)*Parameters!$I$8*ISNUMBER(S40)+(Parameters!$F$9=Parameters!$E$16)*Parameters!$I$9*ISNUMBER(T40)+(Parameters!$F$10=Parameters!$E$16)*Parameters!$I$10*ISNUMBER(U40)+(Parameters!$F$11=Parameters!$E$16)*Parameters!$I$11*ISNUMBER(V40)+(Parameters!$F$12=Parameters!$E$16)*Parameters!$I$12*ISNUMBER(W40))/((Parameters!$F$5=Parameters!$E$16)*Parameters!$I$5*1+(Parameters!$F$6=Parameters!$E$16)*Parameters!$I$6*1+(Parameters!$F$7=Parameters!$E$16)*Parameters!$I$7*1+(Parameters!$F$8=Parameters!$E$16)*Parameters!$I$8*1+(Parameters!$F$9=Parameters!$E$16)*Parameters!$I$9*1+(Parameters!$F$10=Parameters!$E$16)*Parameters!$I$10*1+(Parameters!$F$11=Parameters!$E$16)*Parameters!$I$11*X40+(Parameters!$F$12=Parameters!$E$16)*Parameters!$I$12*Y40)&gt;=Parameters!$B$36),((Parameters!$F$5=Parameters!$E$16)*Parameters!$I$5*N(P40)+(Parameters!$F$6=Parameters!$E$16)*Parameters!$I$6*N(Q40)+(Parameters!$F$7=Parameters!$E$16)*Parameters!$I$7*N(R40)+(Parameters!$F$8=Parameters!$E$16)*Parameters!$I$8*N(S40)+(Parameters!$F$9=Parameters!$E$16)*Parameters!$I$9*N(T40)+(Parameters!$F$10=Parameters!$E$16)*Parameters!$I$10*N(U40)+(Parameters!$F$11=Parameters!$E$16)*Parameters!$I$11*N(V40)+(Parameters!$F$12=Parameters!$E$16)*Parameters!$I$12*N(W40))/((Parameters!$F$5=Parameters!$E$16)*Parameters!$I$5*ISNUMBER(P40)+(Parameters!$F$6=Parameters!$E$16)*Parameters!$I$6*ISNUMBER(Q40)+(Parameters!$F$7=Parameters!$E$16)*Parameters!$I$7*ISNUMBER(R40)+(Parameters!$F$8=Parameters!$E$16)*Parameters!$I$8*ISNUMBER(S40)+(Parameters!$F$9=Parameters!$E$16)*Parameters!$I$9*ISNUMBER(T40)+(Parameters!$F$10=Parameters!$E$16)*Parameters!$I$10*ISNUMBER(U40)+(Parameters!$F$11=Parameters!$E$16)*Parameters!$I$11*ISNUMBER(V40)+(Parameters!$F$12=Parameters!$E$16)*Parameters!$I$12*ISNUMBER(W40)),""))</f>
        <v>0.666666666666667</v>
      </c>
      <c r="AB40"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40+(Parameters!$F$12=Parameters!$E$17)*Parameters!$I$12*Y40)=0,"",IF(AND(((Parameters!$F$5=Parameters!$E$17)*Parameters!$I$5*ISNUMBER(P40)+(Parameters!$F$6=Parameters!$E$17)*Parameters!$I$6*ISNUMBER(Q40)+(Parameters!$F$7=Parameters!$E$17)*Parameters!$I$7*ISNUMBER(R40)+(Parameters!$F$8=Parameters!$E$17)*Parameters!$I$8*ISNUMBER(S40)+(Parameters!$F$9=Parameters!$E$17)*Parameters!$I$9*ISNUMBER(T40)+(Parameters!$F$10=Parameters!$E$17)*Parameters!$I$10*ISNUMBER(U40)+(Parameters!$F$11=Parameters!$E$17)*Parameters!$I$11*ISNUMBER(V40)+(Parameters!$F$12=Parameters!$E$17)*Parameters!$I$12*ISNUMBER(W40))&gt;0,((Parameters!$F$5=Parameters!$E$17)*Parameters!$I$5*ISNUMBER(P40)+(Parameters!$F$6=Parameters!$E$17)*Parameters!$I$6*ISNUMBER(Q40)+(Parameters!$F$7=Parameters!$E$17)*Parameters!$I$7*ISNUMBER(R40)+(Parameters!$F$8=Parameters!$E$17)*Parameters!$I$8*ISNUMBER(S40)+(Parameters!$F$9=Parameters!$E$17)*Parameters!$I$9*ISNUMBER(T40)+(Parameters!$F$10=Parameters!$E$17)*Parameters!$I$10*ISNUMBER(U40)+(Parameters!$F$11=Parameters!$E$17)*Parameters!$I$11*ISNUMBER(V40)+(Parameters!$F$12=Parameters!$E$17)*Parameters!$I$12*ISNUMBER(W40))/((Parameters!$F$5=Parameters!$E$17)*Parameters!$I$5*1+(Parameters!$F$6=Parameters!$E$17)*Parameters!$I$6*1+(Parameters!$F$7=Parameters!$E$17)*Parameters!$I$7*1+(Parameters!$F$8=Parameters!$E$17)*Parameters!$I$8*1+(Parameters!$F$9=Parameters!$E$17)*Parameters!$I$9*1+(Parameters!$F$10=Parameters!$E$17)*Parameters!$I$10*1+(Parameters!$F$11=Parameters!$E$17)*Parameters!$I$11*X40+(Parameters!$F$12=Parameters!$E$17)*Parameters!$I$12*Y40)&gt;=Parameters!$B$36),((Parameters!$F$5=Parameters!$E$17)*Parameters!$I$5*N(P40)+(Parameters!$F$6=Parameters!$E$17)*Parameters!$I$6*N(Q40)+(Parameters!$F$7=Parameters!$E$17)*Parameters!$I$7*N(R40)+(Parameters!$F$8=Parameters!$E$17)*Parameters!$I$8*N(S40)+(Parameters!$F$9=Parameters!$E$17)*Parameters!$I$9*N(T40)+(Parameters!$F$10=Parameters!$E$17)*Parameters!$I$10*N(U40)+(Parameters!$F$11=Parameters!$E$17)*Parameters!$I$11*N(V40)+(Parameters!$F$12=Parameters!$E$17)*Parameters!$I$12*N(W40))/((Parameters!$F$5=Parameters!$E$17)*Parameters!$I$5*ISNUMBER(P40)+(Parameters!$F$6=Parameters!$E$17)*Parameters!$I$6*ISNUMBER(Q40)+(Parameters!$F$7=Parameters!$E$17)*Parameters!$I$7*ISNUMBER(R40)+(Parameters!$F$8=Parameters!$E$17)*Parameters!$I$8*ISNUMBER(S40)+(Parameters!$F$9=Parameters!$E$17)*Parameters!$I$9*ISNUMBER(T40)+(Parameters!$F$10=Parameters!$E$17)*Parameters!$I$10*ISNUMBER(U40)+(Parameters!$F$11=Parameters!$E$17)*Parameters!$I$11*ISNUMBER(V40)+(Parameters!$F$12=Parameters!$E$17)*Parameters!$I$12*ISNUMBER(W40)),""))</f>
        <v/>
      </c>
      <c r="AC40" s="17" t="n">
        <f aca="false">Parameters!$I$5*ISNUMBER(P40)+Parameters!$I$6*ISNUMBER(Q40)+Parameters!$I$7*ISNUMBER(R40)+Parameters!$I$8*ISNUMBER(S40)+Parameters!$I$9*ISNUMBER(T40)+Parameters!$I$10*ISNUMBER(U40)+Parameters!$I$11*ISNUMBER(V40)+Parameters!$I$12*ISNUMBER(W40)</f>
        <v>65</v>
      </c>
      <c r="AD40" s="17" t="n">
        <f aca="false">Parameters!$I$5*1+Parameters!$I$6*1+Parameters!$I$7*1+Parameters!$I$8*1+Parameters!$I$9*1+Parameters!$I$10*1+Parameters!$I$11*X40+Parameters!$I$12*Y40</f>
        <v>75</v>
      </c>
      <c r="AE40" s="18" t="n">
        <f aca="false">IF(AD40=0,"",AC40/AD40)</f>
        <v>0.866666666666667</v>
      </c>
      <c r="AF40" s="17" t="str">
        <f aca="false">IF(ISNUMBER(Z40),"M","")&amp;IF(ISNUMBER(AA40),"I","")&amp;IF(ISNUMBER(AB40),"O","")</f>
        <v>MI</v>
      </c>
      <c r="AG40" s="19" t="n">
        <f aca="false">IF(AND(ISNUMBER(AE40),ISNUMBER(Z40)+ISNUMBER(AA40)+ISNUMBER(AB40)&gt;=Parameters!$B$37),IF(AE40&gt;=Parameters!$B$35,100*(Parameters!$F$15*N(Z40)+Parameters!$F$16*N(AA40)+Parameters!$F$17*N(AB40))/(Parameters!$F$15*ISNUMBER(Z40)+Parameters!$F$16*ISNUMBER(AA40)+Parameters!$F$17*ISNUMBER(AB40)),""),"")</f>
        <v>87.5</v>
      </c>
      <c r="AH40" s="17" t="n">
        <f aca="false">IF(ISNUMBER(AG40),RANK(AG40,$AG$2:$AG$113),"")</f>
        <v>40</v>
      </c>
    </row>
    <row r="41" customFormat="false" ht="15" hidden="false" customHeight="false" outlineLevel="0" collapsed="false">
      <c r="A41" s="5" t="s">
        <v>281</v>
      </c>
      <c r="B41" s="5" t="s">
        <v>282</v>
      </c>
      <c r="C41" s="5" t="s">
        <v>261</v>
      </c>
      <c r="D41" s="5" t="s">
        <v>31</v>
      </c>
      <c r="E41" s="5" t="s">
        <v>44</v>
      </c>
      <c r="F41" s="5" t="s">
        <v>245</v>
      </c>
      <c r="G41" s="15"/>
      <c r="H41" s="8"/>
      <c r="I41" s="5" t="s">
        <v>53</v>
      </c>
      <c r="J41" s="5" t="s">
        <v>68</v>
      </c>
      <c r="K41" s="15"/>
      <c r="L41" s="5" t="s">
        <v>157</v>
      </c>
      <c r="M41" s="5" t="s">
        <v>157</v>
      </c>
      <c r="N41" s="5" t="s">
        <v>142</v>
      </c>
      <c r="O41" s="5" t="s">
        <v>71</v>
      </c>
      <c r="P41" s="16" t="n">
        <f aca="false">IFERROR(IF(ISNUMBER(INDEX(Parameters!$B$5:$B$23,MATCH(D41,Parameters!$A$5:$A$23,0))),INDEX(Parameters!$B$5:$B$23,MATCH(D41,Parameters!$A$5:$A$23,0)),""),"")</f>
        <v>1</v>
      </c>
      <c r="Q41" s="16" t="n">
        <f aca="false">IFERROR(IF(ISNUMBER(INDEX(Parameters!$B$5:$B$23,MATCH(E41,Parameters!$A$5:$A$23,0))),INDEX(Parameters!$B$5:$B$23,MATCH(E41,Parameters!$A$5:$A$23,0)),""),"")</f>
        <v>1</v>
      </c>
      <c r="R41" s="16" t="n">
        <f aca="false">IF(F41="","",IFERROR(MIN(Parameters!$B$33,MAX(0,Parameters!$B$32-VALUE(LEFT(F41,4))))/Parameters!$B$33,""))</f>
        <v>1</v>
      </c>
      <c r="S41" s="16" t="str">
        <f aca="false">IF(ISNUMBER(H41),H41,IF(G41="",IF(ISNUMBER(Parameters!$B$34),Parameters!$B$34,""),""))</f>
        <v/>
      </c>
      <c r="T41" s="16" t="n">
        <f aca="false">IFERROR(IF(ISNUMBER(INDEX(Parameters!$B$5:$B$23,MATCH(I41,Parameters!$A$5:$A$23,0))),INDEX(Parameters!$B$5:$B$23,MATCH(I41,Parameters!$A$5:$A$23,0)),""),"")</f>
        <v>1</v>
      </c>
      <c r="U41" s="16" t="str">
        <f aca="false">IFERROR(IF(ISNUMBER(INDEX(Parameters!$B$5:$B$23,MATCH(L41,Parameters!$A$5:$A$23,0))),INDEX(Parameters!$B$5:$B$23,MATCH(L41,Parameters!$A$5:$A$23,0)),""),"")</f>
        <v/>
      </c>
      <c r="V41" s="16" t="n">
        <f aca="false">IFERROR(IF(ISNUMBER(INDEX(Parameters!$B$5:$B$23,MATCH(J41,Parameters!$A$5:$A$23,0))),INDEX(Parameters!$B$5:$B$23,MATCH(J41,Parameters!$A$5:$A$23,0)),""),"")</f>
        <v>1</v>
      </c>
      <c r="W41" s="16" t="n">
        <f aca="false">IF(K41&lt;&gt;"",1,IF(COUNTIF(Parameters!$A$27:$A$28,J41)&gt;0,0,""))</f>
        <v>0</v>
      </c>
      <c r="X41" s="17" t="n">
        <f aca="false">IF(J41="Not applicable",0,1)</f>
        <v>1</v>
      </c>
      <c r="Y41" s="17" t="n">
        <f aca="false">IF(OR(K41&lt;&gt;"",COUNTIF(Parameters!$A$27:$A$28,J41)&gt;0),1,0)</f>
        <v>1</v>
      </c>
      <c r="Z41"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41+(Parameters!$F$12=Parameters!$E$15)*Parameters!$I$12*Y41)=0,"",IF(AND(((Parameters!$F$5=Parameters!$E$15)*Parameters!$I$5*ISNUMBER(P41)+(Parameters!$F$6=Parameters!$E$15)*Parameters!$I$6*ISNUMBER(Q41)+(Parameters!$F$7=Parameters!$E$15)*Parameters!$I$7*ISNUMBER(R41)+(Parameters!$F$8=Parameters!$E$15)*Parameters!$I$8*ISNUMBER(S41)+(Parameters!$F$9=Parameters!$E$15)*Parameters!$I$9*ISNUMBER(T41)+(Parameters!$F$10=Parameters!$E$15)*Parameters!$I$10*ISNUMBER(U41)+(Parameters!$F$11=Parameters!$E$15)*Parameters!$I$11*ISNUMBER(V41)+(Parameters!$F$12=Parameters!$E$15)*Parameters!$I$12*ISNUMBER(W41))&gt;0,((Parameters!$F$5=Parameters!$E$15)*Parameters!$I$5*ISNUMBER(P41)+(Parameters!$F$6=Parameters!$E$15)*Parameters!$I$6*ISNUMBER(Q41)+(Parameters!$F$7=Parameters!$E$15)*Parameters!$I$7*ISNUMBER(R41)+(Parameters!$F$8=Parameters!$E$15)*Parameters!$I$8*ISNUMBER(S41)+(Parameters!$F$9=Parameters!$E$15)*Parameters!$I$9*ISNUMBER(T41)+(Parameters!$F$10=Parameters!$E$15)*Parameters!$I$10*ISNUMBER(U41)+(Parameters!$F$11=Parameters!$E$15)*Parameters!$I$11*ISNUMBER(V41)+(Parameters!$F$12=Parameters!$E$15)*Parameters!$I$12*ISNUMBER(W41))/((Parameters!$F$5=Parameters!$E$15)*Parameters!$I$5*1+(Parameters!$F$6=Parameters!$E$15)*Parameters!$I$6*1+(Parameters!$F$7=Parameters!$E$15)*Parameters!$I$7*1+(Parameters!$F$8=Parameters!$E$15)*Parameters!$I$8*1+(Parameters!$F$9=Parameters!$E$15)*Parameters!$I$9*1+(Parameters!$F$10=Parameters!$E$15)*Parameters!$I$10*1+(Parameters!$F$11=Parameters!$E$15)*Parameters!$I$11*X41+(Parameters!$F$12=Parameters!$E$15)*Parameters!$I$12*Y41)&gt;=Parameters!$B$36),((Parameters!$F$5=Parameters!$E$15)*Parameters!$I$5*N(P41)+(Parameters!$F$6=Parameters!$E$15)*Parameters!$I$6*N(Q41)+(Parameters!$F$7=Parameters!$E$15)*Parameters!$I$7*N(R41)+(Parameters!$F$8=Parameters!$E$15)*Parameters!$I$8*N(S41)+(Parameters!$F$9=Parameters!$E$15)*Parameters!$I$9*N(T41)+(Parameters!$F$10=Parameters!$E$15)*Parameters!$I$10*N(U41)+(Parameters!$F$11=Parameters!$E$15)*Parameters!$I$11*N(V41)+(Parameters!$F$12=Parameters!$E$15)*Parameters!$I$12*N(W41))/((Parameters!$F$5=Parameters!$E$15)*Parameters!$I$5*ISNUMBER(P41)+(Parameters!$F$6=Parameters!$E$15)*Parameters!$I$6*ISNUMBER(Q41)+(Parameters!$F$7=Parameters!$E$15)*Parameters!$I$7*ISNUMBER(R41)+(Parameters!$F$8=Parameters!$E$15)*Parameters!$I$8*ISNUMBER(S41)+(Parameters!$F$9=Parameters!$E$15)*Parameters!$I$9*ISNUMBER(T41)+(Parameters!$F$10=Parameters!$E$15)*Parameters!$I$10*ISNUMBER(U41)+(Parameters!$F$11=Parameters!$E$15)*Parameters!$I$11*ISNUMBER(V41)+(Parameters!$F$12=Parameters!$E$15)*Parameters!$I$12*ISNUMBER(W41)),""))</f>
        <v>1</v>
      </c>
      <c r="AA41" s="16" t="str">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41+(Parameters!$F$12=Parameters!$E$16)*Parameters!$I$12*Y41)=0,"",IF(AND(((Parameters!$F$5=Parameters!$E$16)*Parameters!$I$5*ISNUMBER(P41)+(Parameters!$F$6=Parameters!$E$16)*Parameters!$I$6*ISNUMBER(Q41)+(Parameters!$F$7=Parameters!$E$16)*Parameters!$I$7*ISNUMBER(R41)+(Parameters!$F$8=Parameters!$E$16)*Parameters!$I$8*ISNUMBER(S41)+(Parameters!$F$9=Parameters!$E$16)*Parameters!$I$9*ISNUMBER(T41)+(Parameters!$F$10=Parameters!$E$16)*Parameters!$I$10*ISNUMBER(U41)+(Parameters!$F$11=Parameters!$E$16)*Parameters!$I$11*ISNUMBER(V41)+(Parameters!$F$12=Parameters!$E$16)*Parameters!$I$12*ISNUMBER(W41))&gt;0,((Parameters!$F$5=Parameters!$E$16)*Parameters!$I$5*ISNUMBER(P41)+(Parameters!$F$6=Parameters!$E$16)*Parameters!$I$6*ISNUMBER(Q41)+(Parameters!$F$7=Parameters!$E$16)*Parameters!$I$7*ISNUMBER(R41)+(Parameters!$F$8=Parameters!$E$16)*Parameters!$I$8*ISNUMBER(S41)+(Parameters!$F$9=Parameters!$E$16)*Parameters!$I$9*ISNUMBER(T41)+(Parameters!$F$10=Parameters!$E$16)*Parameters!$I$10*ISNUMBER(U41)+(Parameters!$F$11=Parameters!$E$16)*Parameters!$I$11*ISNUMBER(V41)+(Parameters!$F$12=Parameters!$E$16)*Parameters!$I$12*ISNUMBER(W41))/((Parameters!$F$5=Parameters!$E$16)*Parameters!$I$5*1+(Parameters!$F$6=Parameters!$E$16)*Parameters!$I$6*1+(Parameters!$F$7=Parameters!$E$16)*Parameters!$I$7*1+(Parameters!$F$8=Parameters!$E$16)*Parameters!$I$8*1+(Parameters!$F$9=Parameters!$E$16)*Parameters!$I$9*1+(Parameters!$F$10=Parameters!$E$16)*Parameters!$I$10*1+(Parameters!$F$11=Parameters!$E$16)*Parameters!$I$11*X41+(Parameters!$F$12=Parameters!$E$16)*Parameters!$I$12*Y41)&gt;=Parameters!$B$36),((Parameters!$F$5=Parameters!$E$16)*Parameters!$I$5*N(P41)+(Parameters!$F$6=Parameters!$E$16)*Parameters!$I$6*N(Q41)+(Parameters!$F$7=Parameters!$E$16)*Parameters!$I$7*N(R41)+(Parameters!$F$8=Parameters!$E$16)*Parameters!$I$8*N(S41)+(Parameters!$F$9=Parameters!$E$16)*Parameters!$I$9*N(T41)+(Parameters!$F$10=Parameters!$E$16)*Parameters!$I$10*N(U41)+(Parameters!$F$11=Parameters!$E$16)*Parameters!$I$11*N(V41)+(Parameters!$F$12=Parameters!$E$16)*Parameters!$I$12*N(W41))/((Parameters!$F$5=Parameters!$E$16)*Parameters!$I$5*ISNUMBER(P41)+(Parameters!$F$6=Parameters!$E$16)*Parameters!$I$6*ISNUMBER(Q41)+(Parameters!$F$7=Parameters!$E$16)*Parameters!$I$7*ISNUMBER(R41)+(Parameters!$F$8=Parameters!$E$16)*Parameters!$I$8*ISNUMBER(S41)+(Parameters!$F$9=Parameters!$E$16)*Parameters!$I$9*ISNUMBER(T41)+(Parameters!$F$10=Parameters!$E$16)*Parameters!$I$10*ISNUMBER(U41)+(Parameters!$F$11=Parameters!$E$16)*Parameters!$I$11*ISNUMBER(V41)+(Parameters!$F$12=Parameters!$E$16)*Parameters!$I$12*ISNUMBER(W41)),""))</f>
        <v/>
      </c>
      <c r="AB41"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41+(Parameters!$F$12=Parameters!$E$17)*Parameters!$I$12*Y41)=0,"",IF(AND(((Parameters!$F$5=Parameters!$E$17)*Parameters!$I$5*ISNUMBER(P41)+(Parameters!$F$6=Parameters!$E$17)*Parameters!$I$6*ISNUMBER(Q41)+(Parameters!$F$7=Parameters!$E$17)*Parameters!$I$7*ISNUMBER(R41)+(Parameters!$F$8=Parameters!$E$17)*Parameters!$I$8*ISNUMBER(S41)+(Parameters!$F$9=Parameters!$E$17)*Parameters!$I$9*ISNUMBER(T41)+(Parameters!$F$10=Parameters!$E$17)*Parameters!$I$10*ISNUMBER(U41)+(Parameters!$F$11=Parameters!$E$17)*Parameters!$I$11*ISNUMBER(V41)+(Parameters!$F$12=Parameters!$E$17)*Parameters!$I$12*ISNUMBER(W41))&gt;0,((Parameters!$F$5=Parameters!$E$17)*Parameters!$I$5*ISNUMBER(P41)+(Parameters!$F$6=Parameters!$E$17)*Parameters!$I$6*ISNUMBER(Q41)+(Parameters!$F$7=Parameters!$E$17)*Parameters!$I$7*ISNUMBER(R41)+(Parameters!$F$8=Parameters!$E$17)*Parameters!$I$8*ISNUMBER(S41)+(Parameters!$F$9=Parameters!$E$17)*Parameters!$I$9*ISNUMBER(T41)+(Parameters!$F$10=Parameters!$E$17)*Parameters!$I$10*ISNUMBER(U41)+(Parameters!$F$11=Parameters!$E$17)*Parameters!$I$11*ISNUMBER(V41)+(Parameters!$F$12=Parameters!$E$17)*Parameters!$I$12*ISNUMBER(W41))/((Parameters!$F$5=Parameters!$E$17)*Parameters!$I$5*1+(Parameters!$F$6=Parameters!$E$17)*Parameters!$I$6*1+(Parameters!$F$7=Parameters!$E$17)*Parameters!$I$7*1+(Parameters!$F$8=Parameters!$E$17)*Parameters!$I$8*1+(Parameters!$F$9=Parameters!$E$17)*Parameters!$I$9*1+(Parameters!$F$10=Parameters!$E$17)*Parameters!$I$10*1+(Parameters!$F$11=Parameters!$E$17)*Parameters!$I$11*X41+(Parameters!$F$12=Parameters!$E$17)*Parameters!$I$12*Y41)&gt;=Parameters!$B$36),((Parameters!$F$5=Parameters!$E$17)*Parameters!$I$5*N(P41)+(Parameters!$F$6=Parameters!$E$17)*Parameters!$I$6*N(Q41)+(Parameters!$F$7=Parameters!$E$17)*Parameters!$I$7*N(R41)+(Parameters!$F$8=Parameters!$E$17)*Parameters!$I$8*N(S41)+(Parameters!$F$9=Parameters!$E$17)*Parameters!$I$9*N(T41)+(Parameters!$F$10=Parameters!$E$17)*Parameters!$I$10*N(U41)+(Parameters!$F$11=Parameters!$E$17)*Parameters!$I$11*N(V41)+(Parameters!$F$12=Parameters!$E$17)*Parameters!$I$12*N(W41))/((Parameters!$F$5=Parameters!$E$17)*Parameters!$I$5*ISNUMBER(P41)+(Parameters!$F$6=Parameters!$E$17)*Parameters!$I$6*ISNUMBER(Q41)+(Parameters!$F$7=Parameters!$E$17)*Parameters!$I$7*ISNUMBER(R41)+(Parameters!$F$8=Parameters!$E$17)*Parameters!$I$8*ISNUMBER(S41)+(Parameters!$F$9=Parameters!$E$17)*Parameters!$I$9*ISNUMBER(T41)+(Parameters!$F$10=Parameters!$E$17)*Parameters!$I$10*ISNUMBER(U41)+(Parameters!$F$11=Parameters!$E$17)*Parameters!$I$11*ISNUMBER(V41)+(Parameters!$F$12=Parameters!$E$17)*Parameters!$I$12*ISNUMBER(W41)),""))</f>
        <v>0.5</v>
      </c>
      <c r="AC41" s="17" t="n">
        <f aca="false">Parameters!$I$5*ISNUMBER(P41)+Parameters!$I$6*ISNUMBER(Q41)+Parameters!$I$7*ISNUMBER(R41)+Parameters!$I$8*ISNUMBER(S41)+Parameters!$I$9*ISNUMBER(T41)+Parameters!$I$10*ISNUMBER(U41)+Parameters!$I$11*ISNUMBER(V41)+Parameters!$I$12*ISNUMBER(W41)</f>
        <v>75</v>
      </c>
      <c r="AD41" s="17" t="n">
        <f aca="false">Parameters!$I$5*1+Parameters!$I$6*1+Parameters!$I$7*1+Parameters!$I$8*1+Parameters!$I$9*1+Parameters!$I$10*1+Parameters!$I$11*X41+Parameters!$I$12*Y41</f>
        <v>95</v>
      </c>
      <c r="AE41" s="18" t="n">
        <f aca="false">IF(AD41=0,"",AC41/AD41)</f>
        <v>0.789473684210526</v>
      </c>
      <c r="AF41" s="17" t="str">
        <f aca="false">IF(ISNUMBER(Z41),"M","")&amp;IF(ISNUMBER(AA41),"I","")&amp;IF(ISNUMBER(AB41),"O","")</f>
        <v>MO</v>
      </c>
      <c r="AG41" s="19" t="n">
        <f aca="false">IF(AND(ISNUMBER(AE41),ISNUMBER(Z41)+ISNUMBER(AA41)+ISNUMBER(AB41)&gt;=Parameters!$B$37),IF(AE41&gt;=Parameters!$B$35,100*(Parameters!$F$15*N(Z41)+Parameters!$F$16*N(AA41)+Parameters!$F$17*N(AB41))/(Parameters!$F$15*ISNUMBER(Z41)+Parameters!$F$16*ISNUMBER(AA41)+Parameters!$F$17*ISNUMBER(AB41)),""),"")</f>
        <v>85.7142857142857</v>
      </c>
      <c r="AH41" s="17" t="n">
        <f aca="false">IF(ISNUMBER(AG41),RANK(AG41,$AG$2:$AG$113),"")</f>
        <v>56</v>
      </c>
    </row>
    <row r="42" customFormat="false" ht="15" hidden="false" customHeight="false" outlineLevel="0" collapsed="false">
      <c r="A42" s="5" t="s">
        <v>283</v>
      </c>
      <c r="B42" s="5" t="s">
        <v>282</v>
      </c>
      <c r="C42" s="5" t="s">
        <v>284</v>
      </c>
      <c r="D42" s="5" t="s">
        <v>31</v>
      </c>
      <c r="E42" s="5" t="s">
        <v>44</v>
      </c>
      <c r="F42" s="5" t="s">
        <v>165</v>
      </c>
      <c r="G42" s="15"/>
      <c r="H42" s="8"/>
      <c r="I42" s="5" t="s">
        <v>57</v>
      </c>
      <c r="J42" s="5" t="s">
        <v>66</v>
      </c>
      <c r="K42" s="15"/>
      <c r="L42" s="5" t="s">
        <v>81</v>
      </c>
      <c r="M42" s="5" t="s">
        <v>141</v>
      </c>
      <c r="N42" s="5"/>
      <c r="O42" s="5"/>
      <c r="P42" s="16" t="n">
        <f aca="false">IFERROR(IF(ISNUMBER(INDEX(Parameters!$B$5:$B$23,MATCH(D42,Parameters!$A$5:$A$23,0))),INDEX(Parameters!$B$5:$B$23,MATCH(D42,Parameters!$A$5:$A$23,0)),""),"")</f>
        <v>1</v>
      </c>
      <c r="Q42" s="16" t="n">
        <f aca="false">IFERROR(IF(ISNUMBER(INDEX(Parameters!$B$5:$B$23,MATCH(E42,Parameters!$A$5:$A$23,0))),INDEX(Parameters!$B$5:$B$23,MATCH(E42,Parameters!$A$5:$A$23,0)),""),"")</f>
        <v>1</v>
      </c>
      <c r="R42" s="16" t="n">
        <f aca="false">IF(F42="","",IFERROR(MIN(Parameters!$B$33,MAX(0,Parameters!$B$32-VALUE(LEFT(F42,4))))/Parameters!$B$33,""))</f>
        <v>1</v>
      </c>
      <c r="S42" s="16" t="str">
        <f aca="false">IF(ISNUMBER(H42),H42,IF(G42="",IF(ISNUMBER(Parameters!$B$34),Parameters!$B$34,""),""))</f>
        <v/>
      </c>
      <c r="T42" s="16" t="n">
        <f aca="false">IFERROR(IF(ISNUMBER(INDEX(Parameters!$B$5:$B$23,MATCH(I42,Parameters!$A$5:$A$23,0))),INDEX(Parameters!$B$5:$B$23,MATCH(I42,Parameters!$A$5:$A$23,0)),""),"")</f>
        <v>0</v>
      </c>
      <c r="U42" s="16" t="n">
        <f aca="false">IFERROR(IF(ISNUMBER(INDEX(Parameters!$B$5:$B$23,MATCH(L42,Parameters!$A$5:$A$23,0))),INDEX(Parameters!$B$5:$B$23,MATCH(L42,Parameters!$A$5:$A$23,0)),""),"")</f>
        <v>1</v>
      </c>
      <c r="V42" s="16" t="n">
        <f aca="false">IFERROR(IF(ISNUMBER(INDEX(Parameters!$B$5:$B$23,MATCH(J42,Parameters!$A$5:$A$23,0))),INDEX(Parameters!$B$5:$B$23,MATCH(J42,Parameters!$A$5:$A$23,0)),""),"")</f>
        <v>1</v>
      </c>
      <c r="W42" s="16" t="str">
        <f aca="false">IF(K42&lt;&gt;"",1,IF(COUNTIF(Parameters!$A$27:$A$28,J42)&gt;0,0,""))</f>
        <v/>
      </c>
      <c r="X42" s="17" t="n">
        <f aca="false">IF(J42="Not applicable",0,1)</f>
        <v>1</v>
      </c>
      <c r="Y42" s="17" t="n">
        <f aca="false">IF(OR(K42&lt;&gt;"",COUNTIF(Parameters!$A$27:$A$28,J42)&gt;0),1,0)</f>
        <v>0</v>
      </c>
      <c r="Z42"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42+(Parameters!$F$12=Parameters!$E$15)*Parameters!$I$12*Y42)=0,"",IF(AND(((Parameters!$F$5=Parameters!$E$15)*Parameters!$I$5*ISNUMBER(P42)+(Parameters!$F$6=Parameters!$E$15)*Parameters!$I$6*ISNUMBER(Q42)+(Parameters!$F$7=Parameters!$E$15)*Parameters!$I$7*ISNUMBER(R42)+(Parameters!$F$8=Parameters!$E$15)*Parameters!$I$8*ISNUMBER(S42)+(Parameters!$F$9=Parameters!$E$15)*Parameters!$I$9*ISNUMBER(T42)+(Parameters!$F$10=Parameters!$E$15)*Parameters!$I$10*ISNUMBER(U42)+(Parameters!$F$11=Parameters!$E$15)*Parameters!$I$11*ISNUMBER(V42)+(Parameters!$F$12=Parameters!$E$15)*Parameters!$I$12*ISNUMBER(W42))&gt;0,((Parameters!$F$5=Parameters!$E$15)*Parameters!$I$5*ISNUMBER(P42)+(Parameters!$F$6=Parameters!$E$15)*Parameters!$I$6*ISNUMBER(Q42)+(Parameters!$F$7=Parameters!$E$15)*Parameters!$I$7*ISNUMBER(R42)+(Parameters!$F$8=Parameters!$E$15)*Parameters!$I$8*ISNUMBER(S42)+(Parameters!$F$9=Parameters!$E$15)*Parameters!$I$9*ISNUMBER(T42)+(Parameters!$F$10=Parameters!$E$15)*Parameters!$I$10*ISNUMBER(U42)+(Parameters!$F$11=Parameters!$E$15)*Parameters!$I$11*ISNUMBER(V42)+(Parameters!$F$12=Parameters!$E$15)*Parameters!$I$12*ISNUMBER(W42))/((Parameters!$F$5=Parameters!$E$15)*Parameters!$I$5*1+(Parameters!$F$6=Parameters!$E$15)*Parameters!$I$6*1+(Parameters!$F$7=Parameters!$E$15)*Parameters!$I$7*1+(Parameters!$F$8=Parameters!$E$15)*Parameters!$I$8*1+(Parameters!$F$9=Parameters!$E$15)*Parameters!$I$9*1+(Parameters!$F$10=Parameters!$E$15)*Parameters!$I$10*1+(Parameters!$F$11=Parameters!$E$15)*Parameters!$I$11*X42+(Parameters!$F$12=Parameters!$E$15)*Parameters!$I$12*Y42)&gt;=Parameters!$B$36),((Parameters!$F$5=Parameters!$E$15)*Parameters!$I$5*N(P42)+(Parameters!$F$6=Parameters!$E$15)*Parameters!$I$6*N(Q42)+(Parameters!$F$7=Parameters!$E$15)*Parameters!$I$7*N(R42)+(Parameters!$F$8=Parameters!$E$15)*Parameters!$I$8*N(S42)+(Parameters!$F$9=Parameters!$E$15)*Parameters!$I$9*N(T42)+(Parameters!$F$10=Parameters!$E$15)*Parameters!$I$10*N(U42)+(Parameters!$F$11=Parameters!$E$15)*Parameters!$I$11*N(V42)+(Parameters!$F$12=Parameters!$E$15)*Parameters!$I$12*N(W42))/((Parameters!$F$5=Parameters!$E$15)*Parameters!$I$5*ISNUMBER(P42)+(Parameters!$F$6=Parameters!$E$15)*Parameters!$I$6*ISNUMBER(Q42)+(Parameters!$F$7=Parameters!$E$15)*Parameters!$I$7*ISNUMBER(R42)+(Parameters!$F$8=Parameters!$E$15)*Parameters!$I$8*ISNUMBER(S42)+(Parameters!$F$9=Parameters!$E$15)*Parameters!$I$9*ISNUMBER(T42)+(Parameters!$F$10=Parameters!$E$15)*Parameters!$I$10*ISNUMBER(U42)+(Parameters!$F$11=Parameters!$E$15)*Parameters!$I$11*ISNUMBER(V42)+(Parameters!$F$12=Parameters!$E$15)*Parameters!$I$12*ISNUMBER(W42)),""))</f>
        <v>1</v>
      </c>
      <c r="AA42"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42+(Parameters!$F$12=Parameters!$E$16)*Parameters!$I$12*Y42)=0,"",IF(AND(((Parameters!$F$5=Parameters!$E$16)*Parameters!$I$5*ISNUMBER(P42)+(Parameters!$F$6=Parameters!$E$16)*Parameters!$I$6*ISNUMBER(Q42)+(Parameters!$F$7=Parameters!$E$16)*Parameters!$I$7*ISNUMBER(R42)+(Parameters!$F$8=Parameters!$E$16)*Parameters!$I$8*ISNUMBER(S42)+(Parameters!$F$9=Parameters!$E$16)*Parameters!$I$9*ISNUMBER(T42)+(Parameters!$F$10=Parameters!$E$16)*Parameters!$I$10*ISNUMBER(U42)+(Parameters!$F$11=Parameters!$E$16)*Parameters!$I$11*ISNUMBER(V42)+(Parameters!$F$12=Parameters!$E$16)*Parameters!$I$12*ISNUMBER(W42))&gt;0,((Parameters!$F$5=Parameters!$E$16)*Parameters!$I$5*ISNUMBER(P42)+(Parameters!$F$6=Parameters!$E$16)*Parameters!$I$6*ISNUMBER(Q42)+(Parameters!$F$7=Parameters!$E$16)*Parameters!$I$7*ISNUMBER(R42)+(Parameters!$F$8=Parameters!$E$16)*Parameters!$I$8*ISNUMBER(S42)+(Parameters!$F$9=Parameters!$E$16)*Parameters!$I$9*ISNUMBER(T42)+(Parameters!$F$10=Parameters!$E$16)*Parameters!$I$10*ISNUMBER(U42)+(Parameters!$F$11=Parameters!$E$16)*Parameters!$I$11*ISNUMBER(V42)+(Parameters!$F$12=Parameters!$E$16)*Parameters!$I$12*ISNUMBER(W42))/((Parameters!$F$5=Parameters!$E$16)*Parameters!$I$5*1+(Parameters!$F$6=Parameters!$E$16)*Parameters!$I$6*1+(Parameters!$F$7=Parameters!$E$16)*Parameters!$I$7*1+(Parameters!$F$8=Parameters!$E$16)*Parameters!$I$8*1+(Parameters!$F$9=Parameters!$E$16)*Parameters!$I$9*1+(Parameters!$F$10=Parameters!$E$16)*Parameters!$I$10*1+(Parameters!$F$11=Parameters!$E$16)*Parameters!$I$11*X42+(Parameters!$F$12=Parameters!$E$16)*Parameters!$I$12*Y42)&gt;=Parameters!$B$36),((Parameters!$F$5=Parameters!$E$16)*Parameters!$I$5*N(P42)+(Parameters!$F$6=Parameters!$E$16)*Parameters!$I$6*N(Q42)+(Parameters!$F$7=Parameters!$E$16)*Parameters!$I$7*N(R42)+(Parameters!$F$8=Parameters!$E$16)*Parameters!$I$8*N(S42)+(Parameters!$F$9=Parameters!$E$16)*Parameters!$I$9*N(T42)+(Parameters!$F$10=Parameters!$E$16)*Parameters!$I$10*N(U42)+(Parameters!$F$11=Parameters!$E$16)*Parameters!$I$11*N(V42)+(Parameters!$F$12=Parameters!$E$16)*Parameters!$I$12*N(W42))/((Parameters!$F$5=Parameters!$E$16)*Parameters!$I$5*ISNUMBER(P42)+(Parameters!$F$6=Parameters!$E$16)*Parameters!$I$6*ISNUMBER(Q42)+(Parameters!$F$7=Parameters!$E$16)*Parameters!$I$7*ISNUMBER(R42)+(Parameters!$F$8=Parameters!$E$16)*Parameters!$I$8*ISNUMBER(S42)+(Parameters!$F$9=Parameters!$E$16)*Parameters!$I$9*ISNUMBER(T42)+(Parameters!$F$10=Parameters!$E$16)*Parameters!$I$10*ISNUMBER(U42)+(Parameters!$F$11=Parameters!$E$16)*Parameters!$I$11*ISNUMBER(V42)+(Parameters!$F$12=Parameters!$E$16)*Parameters!$I$12*ISNUMBER(W42)),""))</f>
        <v>0.666666666666667</v>
      </c>
      <c r="AB42"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42+(Parameters!$F$12=Parameters!$E$17)*Parameters!$I$12*Y42)=0,"",IF(AND(((Parameters!$F$5=Parameters!$E$17)*Parameters!$I$5*ISNUMBER(P42)+(Parameters!$F$6=Parameters!$E$17)*Parameters!$I$6*ISNUMBER(Q42)+(Parameters!$F$7=Parameters!$E$17)*Parameters!$I$7*ISNUMBER(R42)+(Parameters!$F$8=Parameters!$E$17)*Parameters!$I$8*ISNUMBER(S42)+(Parameters!$F$9=Parameters!$E$17)*Parameters!$I$9*ISNUMBER(T42)+(Parameters!$F$10=Parameters!$E$17)*Parameters!$I$10*ISNUMBER(U42)+(Parameters!$F$11=Parameters!$E$17)*Parameters!$I$11*ISNUMBER(V42)+(Parameters!$F$12=Parameters!$E$17)*Parameters!$I$12*ISNUMBER(W42))&gt;0,((Parameters!$F$5=Parameters!$E$17)*Parameters!$I$5*ISNUMBER(P42)+(Parameters!$F$6=Parameters!$E$17)*Parameters!$I$6*ISNUMBER(Q42)+(Parameters!$F$7=Parameters!$E$17)*Parameters!$I$7*ISNUMBER(R42)+(Parameters!$F$8=Parameters!$E$17)*Parameters!$I$8*ISNUMBER(S42)+(Parameters!$F$9=Parameters!$E$17)*Parameters!$I$9*ISNUMBER(T42)+(Parameters!$F$10=Parameters!$E$17)*Parameters!$I$10*ISNUMBER(U42)+(Parameters!$F$11=Parameters!$E$17)*Parameters!$I$11*ISNUMBER(V42)+(Parameters!$F$12=Parameters!$E$17)*Parameters!$I$12*ISNUMBER(W42))/((Parameters!$F$5=Parameters!$E$17)*Parameters!$I$5*1+(Parameters!$F$6=Parameters!$E$17)*Parameters!$I$6*1+(Parameters!$F$7=Parameters!$E$17)*Parameters!$I$7*1+(Parameters!$F$8=Parameters!$E$17)*Parameters!$I$8*1+(Parameters!$F$9=Parameters!$E$17)*Parameters!$I$9*1+(Parameters!$F$10=Parameters!$E$17)*Parameters!$I$10*1+(Parameters!$F$11=Parameters!$E$17)*Parameters!$I$11*X42+(Parameters!$F$12=Parameters!$E$17)*Parameters!$I$12*Y42)&gt;=Parameters!$B$36),((Parameters!$F$5=Parameters!$E$17)*Parameters!$I$5*N(P42)+(Parameters!$F$6=Parameters!$E$17)*Parameters!$I$6*N(Q42)+(Parameters!$F$7=Parameters!$E$17)*Parameters!$I$7*N(R42)+(Parameters!$F$8=Parameters!$E$17)*Parameters!$I$8*N(S42)+(Parameters!$F$9=Parameters!$E$17)*Parameters!$I$9*N(T42)+(Parameters!$F$10=Parameters!$E$17)*Parameters!$I$10*N(U42)+(Parameters!$F$11=Parameters!$E$17)*Parameters!$I$11*N(V42)+(Parameters!$F$12=Parameters!$E$17)*Parameters!$I$12*N(W42))/((Parameters!$F$5=Parameters!$E$17)*Parameters!$I$5*ISNUMBER(P42)+(Parameters!$F$6=Parameters!$E$17)*Parameters!$I$6*ISNUMBER(Q42)+(Parameters!$F$7=Parameters!$E$17)*Parameters!$I$7*ISNUMBER(R42)+(Parameters!$F$8=Parameters!$E$17)*Parameters!$I$8*ISNUMBER(S42)+(Parameters!$F$9=Parameters!$E$17)*Parameters!$I$9*ISNUMBER(T42)+(Parameters!$F$10=Parameters!$E$17)*Parameters!$I$10*ISNUMBER(U42)+(Parameters!$F$11=Parameters!$E$17)*Parameters!$I$11*ISNUMBER(V42)+(Parameters!$F$12=Parameters!$E$17)*Parameters!$I$12*ISNUMBER(W42)),""))</f>
        <v>1</v>
      </c>
      <c r="AC42" s="17" t="n">
        <f aca="false">Parameters!$I$5*ISNUMBER(P42)+Parameters!$I$6*ISNUMBER(Q42)+Parameters!$I$7*ISNUMBER(R42)+Parameters!$I$8*ISNUMBER(S42)+Parameters!$I$9*ISNUMBER(T42)+Parameters!$I$10*ISNUMBER(U42)+Parameters!$I$11*ISNUMBER(V42)+Parameters!$I$12*ISNUMBER(W42)</f>
        <v>75</v>
      </c>
      <c r="AD42" s="17" t="n">
        <f aca="false">Parameters!$I$5*1+Parameters!$I$6*1+Parameters!$I$7*1+Parameters!$I$8*1+Parameters!$I$9*1+Parameters!$I$10*1+Parameters!$I$11*X42+Parameters!$I$12*Y42</f>
        <v>85</v>
      </c>
      <c r="AE42" s="18" t="n">
        <f aca="false">IF(AD42=0,"",AC42/AD42)</f>
        <v>0.882352941176471</v>
      </c>
      <c r="AF42" s="17" t="str">
        <f aca="false">IF(ISNUMBER(Z42),"M","")&amp;IF(ISNUMBER(AA42),"I","")&amp;IF(ISNUMBER(AB42),"O","")</f>
        <v>MIO</v>
      </c>
      <c r="AG42" s="19" t="n">
        <f aca="false">IF(AND(ISNUMBER(AE42),ISNUMBER(Z42)+ISNUMBER(AA42)+ISNUMBER(AB42)&gt;=Parameters!$B$37),IF(AE42&gt;=Parameters!$B$35,100*(Parameters!$F$15*N(Z42)+Parameters!$F$16*N(AA42)+Parameters!$F$17*N(AB42))/(Parameters!$F$15*ISNUMBER(Z42)+Parameters!$F$16*ISNUMBER(AA42)+Parameters!$F$17*ISNUMBER(AB42)),""),"")</f>
        <v>90</v>
      </c>
      <c r="AH42" s="17" t="n">
        <f aca="false">IF(ISNUMBER(AG42),RANK(AG42,$AG$2:$AG$113),"")</f>
        <v>25</v>
      </c>
    </row>
    <row r="43" customFormat="false" ht="15" hidden="false" customHeight="false" outlineLevel="0" collapsed="false">
      <c r="A43" s="5" t="s">
        <v>285</v>
      </c>
      <c r="B43" s="5" t="s">
        <v>286</v>
      </c>
      <c r="C43" s="5" t="s">
        <v>287</v>
      </c>
      <c r="D43" s="5" t="s">
        <v>31</v>
      </c>
      <c r="E43" s="5" t="s">
        <v>44</v>
      </c>
      <c r="F43" s="5" t="s">
        <v>151</v>
      </c>
      <c r="G43" s="20" t="s">
        <v>288</v>
      </c>
      <c r="H43" s="8" t="n">
        <v>1</v>
      </c>
      <c r="I43" s="5" t="s">
        <v>53</v>
      </c>
      <c r="J43" s="5" t="s">
        <v>74</v>
      </c>
      <c r="K43" s="15"/>
      <c r="L43" s="5" t="s">
        <v>79</v>
      </c>
      <c r="M43" s="5" t="s">
        <v>136</v>
      </c>
      <c r="N43" s="5" t="s">
        <v>142</v>
      </c>
      <c r="O43" s="5" t="s">
        <v>168</v>
      </c>
      <c r="P43" s="16" t="n">
        <f aca="false">IFERROR(IF(ISNUMBER(INDEX(Parameters!$B$5:$B$23,MATCH(D43,Parameters!$A$5:$A$23,0))),INDEX(Parameters!$B$5:$B$23,MATCH(D43,Parameters!$A$5:$A$23,0)),""),"")</f>
        <v>1</v>
      </c>
      <c r="Q43" s="16" t="n">
        <f aca="false">IFERROR(IF(ISNUMBER(INDEX(Parameters!$B$5:$B$23,MATCH(E43,Parameters!$A$5:$A$23,0))),INDEX(Parameters!$B$5:$B$23,MATCH(E43,Parameters!$A$5:$A$23,0)),""),"")</f>
        <v>1</v>
      </c>
      <c r="R43" s="16" t="n">
        <f aca="false">IF(F43="","",IFERROR(MIN(Parameters!$B$33,MAX(0,Parameters!$B$32-VALUE(LEFT(F43,4))))/Parameters!$B$33,""))</f>
        <v>0.866666666666667</v>
      </c>
      <c r="S43" s="16" t="n">
        <f aca="false">IF(ISNUMBER(H43),H43,IF(G43="",IF(ISNUMBER(Parameters!$B$34),Parameters!$B$34,""),""))</f>
        <v>1</v>
      </c>
      <c r="T43" s="16" t="n">
        <f aca="false">IFERROR(IF(ISNUMBER(INDEX(Parameters!$B$5:$B$23,MATCH(I43,Parameters!$A$5:$A$23,0))),INDEX(Parameters!$B$5:$B$23,MATCH(I43,Parameters!$A$5:$A$23,0)),""),"")</f>
        <v>1</v>
      </c>
      <c r="U43" s="16" t="n">
        <f aca="false">IFERROR(IF(ISNUMBER(INDEX(Parameters!$B$5:$B$23,MATCH(L43,Parameters!$A$5:$A$23,0))),INDEX(Parameters!$B$5:$B$23,MATCH(L43,Parameters!$A$5:$A$23,0)),""),"")</f>
        <v>1</v>
      </c>
      <c r="V43" s="16" t="str">
        <f aca="false">IFERROR(IF(ISNUMBER(INDEX(Parameters!$B$5:$B$23,MATCH(J43,Parameters!$A$5:$A$23,0))),INDEX(Parameters!$B$5:$B$23,MATCH(J43,Parameters!$A$5:$A$23,0)),""),"")</f>
        <v/>
      </c>
      <c r="W43" s="16" t="str">
        <f aca="false">IF(K43&lt;&gt;"",1,IF(COUNTIF(Parameters!$A$27:$A$28,J43)&gt;0,0,""))</f>
        <v/>
      </c>
      <c r="X43" s="17" t="n">
        <f aca="false">IF(J43="Not applicable",0,1)</f>
        <v>0</v>
      </c>
      <c r="Y43" s="17" t="n">
        <f aca="false">IF(OR(K43&lt;&gt;"",COUNTIF(Parameters!$A$27:$A$28,J43)&gt;0),1,0)</f>
        <v>0</v>
      </c>
      <c r="Z43"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43+(Parameters!$F$12=Parameters!$E$15)*Parameters!$I$12*Y43)=0,"",IF(AND(((Parameters!$F$5=Parameters!$E$15)*Parameters!$I$5*ISNUMBER(P43)+(Parameters!$F$6=Parameters!$E$15)*Parameters!$I$6*ISNUMBER(Q43)+(Parameters!$F$7=Parameters!$E$15)*Parameters!$I$7*ISNUMBER(R43)+(Parameters!$F$8=Parameters!$E$15)*Parameters!$I$8*ISNUMBER(S43)+(Parameters!$F$9=Parameters!$E$15)*Parameters!$I$9*ISNUMBER(T43)+(Parameters!$F$10=Parameters!$E$15)*Parameters!$I$10*ISNUMBER(U43)+(Parameters!$F$11=Parameters!$E$15)*Parameters!$I$11*ISNUMBER(V43)+(Parameters!$F$12=Parameters!$E$15)*Parameters!$I$12*ISNUMBER(W43))&gt;0,((Parameters!$F$5=Parameters!$E$15)*Parameters!$I$5*ISNUMBER(P43)+(Parameters!$F$6=Parameters!$E$15)*Parameters!$I$6*ISNUMBER(Q43)+(Parameters!$F$7=Parameters!$E$15)*Parameters!$I$7*ISNUMBER(R43)+(Parameters!$F$8=Parameters!$E$15)*Parameters!$I$8*ISNUMBER(S43)+(Parameters!$F$9=Parameters!$E$15)*Parameters!$I$9*ISNUMBER(T43)+(Parameters!$F$10=Parameters!$E$15)*Parameters!$I$10*ISNUMBER(U43)+(Parameters!$F$11=Parameters!$E$15)*Parameters!$I$11*ISNUMBER(V43)+(Parameters!$F$12=Parameters!$E$15)*Parameters!$I$12*ISNUMBER(W43))/((Parameters!$F$5=Parameters!$E$15)*Parameters!$I$5*1+(Parameters!$F$6=Parameters!$E$15)*Parameters!$I$6*1+(Parameters!$F$7=Parameters!$E$15)*Parameters!$I$7*1+(Parameters!$F$8=Parameters!$E$15)*Parameters!$I$8*1+(Parameters!$F$9=Parameters!$E$15)*Parameters!$I$9*1+(Parameters!$F$10=Parameters!$E$15)*Parameters!$I$10*1+(Parameters!$F$11=Parameters!$E$15)*Parameters!$I$11*X43+(Parameters!$F$12=Parameters!$E$15)*Parameters!$I$12*Y43)&gt;=Parameters!$B$36),((Parameters!$F$5=Parameters!$E$15)*Parameters!$I$5*N(P43)+(Parameters!$F$6=Parameters!$E$15)*Parameters!$I$6*N(Q43)+(Parameters!$F$7=Parameters!$E$15)*Parameters!$I$7*N(R43)+(Parameters!$F$8=Parameters!$E$15)*Parameters!$I$8*N(S43)+(Parameters!$F$9=Parameters!$E$15)*Parameters!$I$9*N(T43)+(Parameters!$F$10=Parameters!$E$15)*Parameters!$I$10*N(U43)+(Parameters!$F$11=Parameters!$E$15)*Parameters!$I$11*N(V43)+(Parameters!$F$12=Parameters!$E$15)*Parameters!$I$12*N(W43))/((Parameters!$F$5=Parameters!$E$15)*Parameters!$I$5*ISNUMBER(P43)+(Parameters!$F$6=Parameters!$E$15)*Parameters!$I$6*ISNUMBER(Q43)+(Parameters!$F$7=Parameters!$E$15)*Parameters!$I$7*ISNUMBER(R43)+(Parameters!$F$8=Parameters!$E$15)*Parameters!$I$8*ISNUMBER(S43)+(Parameters!$F$9=Parameters!$E$15)*Parameters!$I$9*ISNUMBER(T43)+(Parameters!$F$10=Parameters!$E$15)*Parameters!$I$10*ISNUMBER(U43)+(Parameters!$F$11=Parameters!$E$15)*Parameters!$I$11*ISNUMBER(V43)+(Parameters!$F$12=Parameters!$E$15)*Parameters!$I$12*ISNUMBER(W43)),""))</f>
        <v>0.986666666666667</v>
      </c>
      <c r="AA43"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43+(Parameters!$F$12=Parameters!$E$16)*Parameters!$I$12*Y43)=0,"",IF(AND(((Parameters!$F$5=Parameters!$E$16)*Parameters!$I$5*ISNUMBER(P43)+(Parameters!$F$6=Parameters!$E$16)*Parameters!$I$6*ISNUMBER(Q43)+(Parameters!$F$7=Parameters!$E$16)*Parameters!$I$7*ISNUMBER(R43)+(Parameters!$F$8=Parameters!$E$16)*Parameters!$I$8*ISNUMBER(S43)+(Parameters!$F$9=Parameters!$E$16)*Parameters!$I$9*ISNUMBER(T43)+(Parameters!$F$10=Parameters!$E$16)*Parameters!$I$10*ISNUMBER(U43)+(Parameters!$F$11=Parameters!$E$16)*Parameters!$I$11*ISNUMBER(V43)+(Parameters!$F$12=Parameters!$E$16)*Parameters!$I$12*ISNUMBER(W43))&gt;0,((Parameters!$F$5=Parameters!$E$16)*Parameters!$I$5*ISNUMBER(P43)+(Parameters!$F$6=Parameters!$E$16)*Parameters!$I$6*ISNUMBER(Q43)+(Parameters!$F$7=Parameters!$E$16)*Parameters!$I$7*ISNUMBER(R43)+(Parameters!$F$8=Parameters!$E$16)*Parameters!$I$8*ISNUMBER(S43)+(Parameters!$F$9=Parameters!$E$16)*Parameters!$I$9*ISNUMBER(T43)+(Parameters!$F$10=Parameters!$E$16)*Parameters!$I$10*ISNUMBER(U43)+(Parameters!$F$11=Parameters!$E$16)*Parameters!$I$11*ISNUMBER(V43)+(Parameters!$F$12=Parameters!$E$16)*Parameters!$I$12*ISNUMBER(W43))/((Parameters!$F$5=Parameters!$E$16)*Parameters!$I$5*1+(Parameters!$F$6=Parameters!$E$16)*Parameters!$I$6*1+(Parameters!$F$7=Parameters!$E$16)*Parameters!$I$7*1+(Parameters!$F$8=Parameters!$E$16)*Parameters!$I$8*1+(Parameters!$F$9=Parameters!$E$16)*Parameters!$I$9*1+(Parameters!$F$10=Parameters!$E$16)*Parameters!$I$10*1+(Parameters!$F$11=Parameters!$E$16)*Parameters!$I$11*X43+(Parameters!$F$12=Parameters!$E$16)*Parameters!$I$12*Y43)&gt;=Parameters!$B$36),((Parameters!$F$5=Parameters!$E$16)*Parameters!$I$5*N(P43)+(Parameters!$F$6=Parameters!$E$16)*Parameters!$I$6*N(Q43)+(Parameters!$F$7=Parameters!$E$16)*Parameters!$I$7*N(R43)+(Parameters!$F$8=Parameters!$E$16)*Parameters!$I$8*N(S43)+(Parameters!$F$9=Parameters!$E$16)*Parameters!$I$9*N(T43)+(Parameters!$F$10=Parameters!$E$16)*Parameters!$I$10*N(U43)+(Parameters!$F$11=Parameters!$E$16)*Parameters!$I$11*N(V43)+(Parameters!$F$12=Parameters!$E$16)*Parameters!$I$12*N(W43))/((Parameters!$F$5=Parameters!$E$16)*Parameters!$I$5*ISNUMBER(P43)+(Parameters!$F$6=Parameters!$E$16)*Parameters!$I$6*ISNUMBER(Q43)+(Parameters!$F$7=Parameters!$E$16)*Parameters!$I$7*ISNUMBER(R43)+(Parameters!$F$8=Parameters!$E$16)*Parameters!$I$8*ISNUMBER(S43)+(Parameters!$F$9=Parameters!$E$16)*Parameters!$I$9*ISNUMBER(T43)+(Parameters!$F$10=Parameters!$E$16)*Parameters!$I$10*ISNUMBER(U43)+(Parameters!$F$11=Parameters!$E$16)*Parameters!$I$11*ISNUMBER(V43)+(Parameters!$F$12=Parameters!$E$16)*Parameters!$I$12*ISNUMBER(W43)),""))</f>
        <v>1</v>
      </c>
      <c r="AB43"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43+(Parameters!$F$12=Parameters!$E$17)*Parameters!$I$12*Y43)=0,"",IF(AND(((Parameters!$F$5=Parameters!$E$17)*Parameters!$I$5*ISNUMBER(P43)+(Parameters!$F$6=Parameters!$E$17)*Parameters!$I$6*ISNUMBER(Q43)+(Parameters!$F$7=Parameters!$E$17)*Parameters!$I$7*ISNUMBER(R43)+(Parameters!$F$8=Parameters!$E$17)*Parameters!$I$8*ISNUMBER(S43)+(Parameters!$F$9=Parameters!$E$17)*Parameters!$I$9*ISNUMBER(T43)+(Parameters!$F$10=Parameters!$E$17)*Parameters!$I$10*ISNUMBER(U43)+(Parameters!$F$11=Parameters!$E$17)*Parameters!$I$11*ISNUMBER(V43)+(Parameters!$F$12=Parameters!$E$17)*Parameters!$I$12*ISNUMBER(W43))&gt;0,((Parameters!$F$5=Parameters!$E$17)*Parameters!$I$5*ISNUMBER(P43)+(Parameters!$F$6=Parameters!$E$17)*Parameters!$I$6*ISNUMBER(Q43)+(Parameters!$F$7=Parameters!$E$17)*Parameters!$I$7*ISNUMBER(R43)+(Parameters!$F$8=Parameters!$E$17)*Parameters!$I$8*ISNUMBER(S43)+(Parameters!$F$9=Parameters!$E$17)*Parameters!$I$9*ISNUMBER(T43)+(Parameters!$F$10=Parameters!$E$17)*Parameters!$I$10*ISNUMBER(U43)+(Parameters!$F$11=Parameters!$E$17)*Parameters!$I$11*ISNUMBER(V43)+(Parameters!$F$12=Parameters!$E$17)*Parameters!$I$12*ISNUMBER(W43))/((Parameters!$F$5=Parameters!$E$17)*Parameters!$I$5*1+(Parameters!$F$6=Parameters!$E$17)*Parameters!$I$6*1+(Parameters!$F$7=Parameters!$E$17)*Parameters!$I$7*1+(Parameters!$F$8=Parameters!$E$17)*Parameters!$I$8*1+(Parameters!$F$9=Parameters!$E$17)*Parameters!$I$9*1+(Parameters!$F$10=Parameters!$E$17)*Parameters!$I$10*1+(Parameters!$F$11=Parameters!$E$17)*Parameters!$I$11*X43+(Parameters!$F$12=Parameters!$E$17)*Parameters!$I$12*Y43)&gt;=Parameters!$B$36),((Parameters!$F$5=Parameters!$E$17)*Parameters!$I$5*N(P43)+(Parameters!$F$6=Parameters!$E$17)*Parameters!$I$6*N(Q43)+(Parameters!$F$7=Parameters!$E$17)*Parameters!$I$7*N(R43)+(Parameters!$F$8=Parameters!$E$17)*Parameters!$I$8*N(S43)+(Parameters!$F$9=Parameters!$E$17)*Parameters!$I$9*N(T43)+(Parameters!$F$10=Parameters!$E$17)*Parameters!$I$10*N(U43)+(Parameters!$F$11=Parameters!$E$17)*Parameters!$I$11*N(V43)+(Parameters!$F$12=Parameters!$E$17)*Parameters!$I$12*N(W43))/((Parameters!$F$5=Parameters!$E$17)*Parameters!$I$5*ISNUMBER(P43)+(Parameters!$F$6=Parameters!$E$17)*Parameters!$I$6*ISNUMBER(Q43)+(Parameters!$F$7=Parameters!$E$17)*Parameters!$I$7*ISNUMBER(R43)+(Parameters!$F$8=Parameters!$E$17)*Parameters!$I$8*ISNUMBER(S43)+(Parameters!$F$9=Parameters!$E$17)*Parameters!$I$9*ISNUMBER(T43)+(Parameters!$F$10=Parameters!$E$17)*Parameters!$I$10*ISNUMBER(U43)+(Parameters!$F$11=Parameters!$E$17)*Parameters!$I$11*ISNUMBER(V43)+(Parameters!$F$12=Parameters!$E$17)*Parameters!$I$12*ISNUMBER(W43)),""))</f>
        <v/>
      </c>
      <c r="AC43" s="17" t="n">
        <f aca="false">Parameters!$I$5*ISNUMBER(P43)+Parameters!$I$6*ISNUMBER(Q43)+Parameters!$I$7*ISNUMBER(R43)+Parameters!$I$8*ISNUMBER(S43)+Parameters!$I$9*ISNUMBER(T43)+Parameters!$I$10*ISNUMBER(U43)+Parameters!$I$11*ISNUMBER(V43)+Parameters!$I$12*ISNUMBER(W43)</f>
        <v>75</v>
      </c>
      <c r="AD43" s="17" t="n">
        <f aca="false">Parameters!$I$5*1+Parameters!$I$6*1+Parameters!$I$7*1+Parameters!$I$8*1+Parameters!$I$9*1+Parameters!$I$10*1+Parameters!$I$11*X43+Parameters!$I$12*Y43</f>
        <v>75</v>
      </c>
      <c r="AE43" s="18" t="n">
        <f aca="false">IF(AD43=0,"",AC43/AD43)</f>
        <v>1</v>
      </c>
      <c r="AF43" s="17" t="str">
        <f aca="false">IF(ISNUMBER(Z43),"M","")&amp;IF(ISNUMBER(AA43),"I","")&amp;IF(ISNUMBER(AB43),"O","")</f>
        <v>MI</v>
      </c>
      <c r="AG43" s="19" t="n">
        <f aca="false">IF(AND(ISNUMBER(AE43),ISNUMBER(Z43)+ISNUMBER(AA43)+ISNUMBER(AB43)&gt;=Parameters!$B$37),IF(AE43&gt;=Parameters!$B$35,100*(Parameters!$F$15*N(Z43)+Parameters!$F$16*N(AA43)+Parameters!$F$17*N(AB43))/(Parameters!$F$15*ISNUMBER(Z43)+Parameters!$F$16*ISNUMBER(AA43)+Parameters!$F$17*ISNUMBER(AB43)),""),"")</f>
        <v>99.1666666666667</v>
      </c>
      <c r="AH43" s="17" t="n">
        <f aca="false">IF(ISNUMBER(AG43),RANK(AG43,$AG$2:$AG$113),"")</f>
        <v>3</v>
      </c>
    </row>
    <row r="44" customFormat="false" ht="15" hidden="false" customHeight="false" outlineLevel="0" collapsed="false">
      <c r="A44" s="5" t="s">
        <v>289</v>
      </c>
      <c r="B44" s="5" t="s">
        <v>290</v>
      </c>
      <c r="C44" s="5" t="s">
        <v>261</v>
      </c>
      <c r="D44" s="5" t="s">
        <v>31</v>
      </c>
      <c r="E44" s="5" t="s">
        <v>44</v>
      </c>
      <c r="F44" s="5" t="s">
        <v>235</v>
      </c>
      <c r="G44" s="15" t="s">
        <v>291</v>
      </c>
      <c r="H44" s="8" t="n">
        <v>1</v>
      </c>
      <c r="I44" s="5" t="s">
        <v>57</v>
      </c>
      <c r="J44" s="5" t="s">
        <v>66</v>
      </c>
      <c r="K44" s="15"/>
      <c r="L44" s="5" t="s">
        <v>79</v>
      </c>
      <c r="M44" s="5" t="s">
        <v>141</v>
      </c>
      <c r="N44" s="5"/>
      <c r="O44" s="5"/>
      <c r="P44" s="16" t="n">
        <f aca="false">IFERROR(IF(ISNUMBER(INDEX(Parameters!$B$5:$B$23,MATCH(D44,Parameters!$A$5:$A$23,0))),INDEX(Parameters!$B$5:$B$23,MATCH(D44,Parameters!$A$5:$A$23,0)),""),"")</f>
        <v>1</v>
      </c>
      <c r="Q44" s="16" t="n">
        <f aca="false">IFERROR(IF(ISNUMBER(INDEX(Parameters!$B$5:$B$23,MATCH(E44,Parameters!$A$5:$A$23,0))),INDEX(Parameters!$B$5:$B$23,MATCH(E44,Parameters!$A$5:$A$23,0)),""),"")</f>
        <v>1</v>
      </c>
      <c r="R44" s="16" t="n">
        <f aca="false">IF(F44="","",IFERROR(MIN(Parameters!$B$33,MAX(0,Parameters!$B$32-VALUE(LEFT(F44,4))))/Parameters!$B$33,""))</f>
        <v>1</v>
      </c>
      <c r="S44" s="16" t="n">
        <f aca="false">IF(ISNUMBER(H44),H44,IF(G44="",IF(ISNUMBER(Parameters!$B$34),Parameters!$B$34,""),""))</f>
        <v>1</v>
      </c>
      <c r="T44" s="16" t="n">
        <f aca="false">IFERROR(IF(ISNUMBER(INDEX(Parameters!$B$5:$B$23,MATCH(I44,Parameters!$A$5:$A$23,0))),INDEX(Parameters!$B$5:$B$23,MATCH(I44,Parameters!$A$5:$A$23,0)),""),"")</f>
        <v>0</v>
      </c>
      <c r="U44" s="16" t="n">
        <f aca="false">IFERROR(IF(ISNUMBER(INDEX(Parameters!$B$5:$B$23,MATCH(L44,Parameters!$A$5:$A$23,0))),INDEX(Parameters!$B$5:$B$23,MATCH(L44,Parameters!$A$5:$A$23,0)),""),"")</f>
        <v>1</v>
      </c>
      <c r="V44" s="16" t="n">
        <f aca="false">IFERROR(IF(ISNUMBER(INDEX(Parameters!$B$5:$B$23,MATCH(J44,Parameters!$A$5:$A$23,0))),INDEX(Parameters!$B$5:$B$23,MATCH(J44,Parameters!$A$5:$A$23,0)),""),"")</f>
        <v>1</v>
      </c>
      <c r="W44" s="16" t="str">
        <f aca="false">IF(K44&lt;&gt;"",1,IF(COUNTIF(Parameters!$A$27:$A$28,J44)&gt;0,0,""))</f>
        <v/>
      </c>
      <c r="X44" s="17" t="n">
        <f aca="false">IF(J44="Not applicable",0,1)</f>
        <v>1</v>
      </c>
      <c r="Y44" s="17" t="n">
        <f aca="false">IF(OR(K44&lt;&gt;"",COUNTIF(Parameters!$A$27:$A$28,J44)&gt;0),1,0)</f>
        <v>0</v>
      </c>
      <c r="Z44"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44+(Parameters!$F$12=Parameters!$E$15)*Parameters!$I$12*Y44)=0,"",IF(AND(((Parameters!$F$5=Parameters!$E$15)*Parameters!$I$5*ISNUMBER(P44)+(Parameters!$F$6=Parameters!$E$15)*Parameters!$I$6*ISNUMBER(Q44)+(Parameters!$F$7=Parameters!$E$15)*Parameters!$I$7*ISNUMBER(R44)+(Parameters!$F$8=Parameters!$E$15)*Parameters!$I$8*ISNUMBER(S44)+(Parameters!$F$9=Parameters!$E$15)*Parameters!$I$9*ISNUMBER(T44)+(Parameters!$F$10=Parameters!$E$15)*Parameters!$I$10*ISNUMBER(U44)+(Parameters!$F$11=Parameters!$E$15)*Parameters!$I$11*ISNUMBER(V44)+(Parameters!$F$12=Parameters!$E$15)*Parameters!$I$12*ISNUMBER(W44))&gt;0,((Parameters!$F$5=Parameters!$E$15)*Parameters!$I$5*ISNUMBER(P44)+(Parameters!$F$6=Parameters!$E$15)*Parameters!$I$6*ISNUMBER(Q44)+(Parameters!$F$7=Parameters!$E$15)*Parameters!$I$7*ISNUMBER(R44)+(Parameters!$F$8=Parameters!$E$15)*Parameters!$I$8*ISNUMBER(S44)+(Parameters!$F$9=Parameters!$E$15)*Parameters!$I$9*ISNUMBER(T44)+(Parameters!$F$10=Parameters!$E$15)*Parameters!$I$10*ISNUMBER(U44)+(Parameters!$F$11=Parameters!$E$15)*Parameters!$I$11*ISNUMBER(V44)+(Parameters!$F$12=Parameters!$E$15)*Parameters!$I$12*ISNUMBER(W44))/((Parameters!$F$5=Parameters!$E$15)*Parameters!$I$5*1+(Parameters!$F$6=Parameters!$E$15)*Parameters!$I$6*1+(Parameters!$F$7=Parameters!$E$15)*Parameters!$I$7*1+(Parameters!$F$8=Parameters!$E$15)*Parameters!$I$8*1+(Parameters!$F$9=Parameters!$E$15)*Parameters!$I$9*1+(Parameters!$F$10=Parameters!$E$15)*Parameters!$I$10*1+(Parameters!$F$11=Parameters!$E$15)*Parameters!$I$11*X44+(Parameters!$F$12=Parameters!$E$15)*Parameters!$I$12*Y44)&gt;=Parameters!$B$36),((Parameters!$F$5=Parameters!$E$15)*Parameters!$I$5*N(P44)+(Parameters!$F$6=Parameters!$E$15)*Parameters!$I$6*N(Q44)+(Parameters!$F$7=Parameters!$E$15)*Parameters!$I$7*N(R44)+(Parameters!$F$8=Parameters!$E$15)*Parameters!$I$8*N(S44)+(Parameters!$F$9=Parameters!$E$15)*Parameters!$I$9*N(T44)+(Parameters!$F$10=Parameters!$E$15)*Parameters!$I$10*N(U44)+(Parameters!$F$11=Parameters!$E$15)*Parameters!$I$11*N(V44)+(Parameters!$F$12=Parameters!$E$15)*Parameters!$I$12*N(W44))/((Parameters!$F$5=Parameters!$E$15)*Parameters!$I$5*ISNUMBER(P44)+(Parameters!$F$6=Parameters!$E$15)*Parameters!$I$6*ISNUMBER(Q44)+(Parameters!$F$7=Parameters!$E$15)*Parameters!$I$7*ISNUMBER(R44)+(Parameters!$F$8=Parameters!$E$15)*Parameters!$I$8*ISNUMBER(S44)+(Parameters!$F$9=Parameters!$E$15)*Parameters!$I$9*ISNUMBER(T44)+(Parameters!$F$10=Parameters!$E$15)*Parameters!$I$10*ISNUMBER(U44)+(Parameters!$F$11=Parameters!$E$15)*Parameters!$I$11*ISNUMBER(V44)+(Parameters!$F$12=Parameters!$E$15)*Parameters!$I$12*ISNUMBER(W44)),""))</f>
        <v>1</v>
      </c>
      <c r="AA44"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44+(Parameters!$F$12=Parameters!$E$16)*Parameters!$I$12*Y44)=0,"",IF(AND(((Parameters!$F$5=Parameters!$E$16)*Parameters!$I$5*ISNUMBER(P44)+(Parameters!$F$6=Parameters!$E$16)*Parameters!$I$6*ISNUMBER(Q44)+(Parameters!$F$7=Parameters!$E$16)*Parameters!$I$7*ISNUMBER(R44)+(Parameters!$F$8=Parameters!$E$16)*Parameters!$I$8*ISNUMBER(S44)+(Parameters!$F$9=Parameters!$E$16)*Parameters!$I$9*ISNUMBER(T44)+(Parameters!$F$10=Parameters!$E$16)*Parameters!$I$10*ISNUMBER(U44)+(Parameters!$F$11=Parameters!$E$16)*Parameters!$I$11*ISNUMBER(V44)+(Parameters!$F$12=Parameters!$E$16)*Parameters!$I$12*ISNUMBER(W44))&gt;0,((Parameters!$F$5=Parameters!$E$16)*Parameters!$I$5*ISNUMBER(P44)+(Parameters!$F$6=Parameters!$E$16)*Parameters!$I$6*ISNUMBER(Q44)+(Parameters!$F$7=Parameters!$E$16)*Parameters!$I$7*ISNUMBER(R44)+(Parameters!$F$8=Parameters!$E$16)*Parameters!$I$8*ISNUMBER(S44)+(Parameters!$F$9=Parameters!$E$16)*Parameters!$I$9*ISNUMBER(T44)+(Parameters!$F$10=Parameters!$E$16)*Parameters!$I$10*ISNUMBER(U44)+(Parameters!$F$11=Parameters!$E$16)*Parameters!$I$11*ISNUMBER(V44)+(Parameters!$F$12=Parameters!$E$16)*Parameters!$I$12*ISNUMBER(W44))/((Parameters!$F$5=Parameters!$E$16)*Parameters!$I$5*1+(Parameters!$F$6=Parameters!$E$16)*Parameters!$I$6*1+(Parameters!$F$7=Parameters!$E$16)*Parameters!$I$7*1+(Parameters!$F$8=Parameters!$E$16)*Parameters!$I$8*1+(Parameters!$F$9=Parameters!$E$16)*Parameters!$I$9*1+(Parameters!$F$10=Parameters!$E$16)*Parameters!$I$10*1+(Parameters!$F$11=Parameters!$E$16)*Parameters!$I$11*X44+(Parameters!$F$12=Parameters!$E$16)*Parameters!$I$12*Y44)&gt;=Parameters!$B$36),((Parameters!$F$5=Parameters!$E$16)*Parameters!$I$5*N(P44)+(Parameters!$F$6=Parameters!$E$16)*Parameters!$I$6*N(Q44)+(Parameters!$F$7=Parameters!$E$16)*Parameters!$I$7*N(R44)+(Parameters!$F$8=Parameters!$E$16)*Parameters!$I$8*N(S44)+(Parameters!$F$9=Parameters!$E$16)*Parameters!$I$9*N(T44)+(Parameters!$F$10=Parameters!$E$16)*Parameters!$I$10*N(U44)+(Parameters!$F$11=Parameters!$E$16)*Parameters!$I$11*N(V44)+(Parameters!$F$12=Parameters!$E$16)*Parameters!$I$12*N(W44))/((Parameters!$F$5=Parameters!$E$16)*Parameters!$I$5*ISNUMBER(P44)+(Parameters!$F$6=Parameters!$E$16)*Parameters!$I$6*ISNUMBER(Q44)+(Parameters!$F$7=Parameters!$E$16)*Parameters!$I$7*ISNUMBER(R44)+(Parameters!$F$8=Parameters!$E$16)*Parameters!$I$8*ISNUMBER(S44)+(Parameters!$F$9=Parameters!$E$16)*Parameters!$I$9*ISNUMBER(T44)+(Parameters!$F$10=Parameters!$E$16)*Parameters!$I$10*ISNUMBER(U44)+(Parameters!$F$11=Parameters!$E$16)*Parameters!$I$11*ISNUMBER(V44)+(Parameters!$F$12=Parameters!$E$16)*Parameters!$I$12*ISNUMBER(W44)),""))</f>
        <v>0.8</v>
      </c>
      <c r="AB44"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44+(Parameters!$F$12=Parameters!$E$17)*Parameters!$I$12*Y44)=0,"",IF(AND(((Parameters!$F$5=Parameters!$E$17)*Parameters!$I$5*ISNUMBER(P44)+(Parameters!$F$6=Parameters!$E$17)*Parameters!$I$6*ISNUMBER(Q44)+(Parameters!$F$7=Parameters!$E$17)*Parameters!$I$7*ISNUMBER(R44)+(Parameters!$F$8=Parameters!$E$17)*Parameters!$I$8*ISNUMBER(S44)+(Parameters!$F$9=Parameters!$E$17)*Parameters!$I$9*ISNUMBER(T44)+(Parameters!$F$10=Parameters!$E$17)*Parameters!$I$10*ISNUMBER(U44)+(Parameters!$F$11=Parameters!$E$17)*Parameters!$I$11*ISNUMBER(V44)+(Parameters!$F$12=Parameters!$E$17)*Parameters!$I$12*ISNUMBER(W44))&gt;0,((Parameters!$F$5=Parameters!$E$17)*Parameters!$I$5*ISNUMBER(P44)+(Parameters!$F$6=Parameters!$E$17)*Parameters!$I$6*ISNUMBER(Q44)+(Parameters!$F$7=Parameters!$E$17)*Parameters!$I$7*ISNUMBER(R44)+(Parameters!$F$8=Parameters!$E$17)*Parameters!$I$8*ISNUMBER(S44)+(Parameters!$F$9=Parameters!$E$17)*Parameters!$I$9*ISNUMBER(T44)+(Parameters!$F$10=Parameters!$E$17)*Parameters!$I$10*ISNUMBER(U44)+(Parameters!$F$11=Parameters!$E$17)*Parameters!$I$11*ISNUMBER(V44)+(Parameters!$F$12=Parameters!$E$17)*Parameters!$I$12*ISNUMBER(W44))/((Parameters!$F$5=Parameters!$E$17)*Parameters!$I$5*1+(Parameters!$F$6=Parameters!$E$17)*Parameters!$I$6*1+(Parameters!$F$7=Parameters!$E$17)*Parameters!$I$7*1+(Parameters!$F$8=Parameters!$E$17)*Parameters!$I$8*1+(Parameters!$F$9=Parameters!$E$17)*Parameters!$I$9*1+(Parameters!$F$10=Parameters!$E$17)*Parameters!$I$10*1+(Parameters!$F$11=Parameters!$E$17)*Parameters!$I$11*X44+(Parameters!$F$12=Parameters!$E$17)*Parameters!$I$12*Y44)&gt;=Parameters!$B$36),((Parameters!$F$5=Parameters!$E$17)*Parameters!$I$5*N(P44)+(Parameters!$F$6=Parameters!$E$17)*Parameters!$I$6*N(Q44)+(Parameters!$F$7=Parameters!$E$17)*Parameters!$I$7*N(R44)+(Parameters!$F$8=Parameters!$E$17)*Parameters!$I$8*N(S44)+(Parameters!$F$9=Parameters!$E$17)*Parameters!$I$9*N(T44)+(Parameters!$F$10=Parameters!$E$17)*Parameters!$I$10*N(U44)+(Parameters!$F$11=Parameters!$E$17)*Parameters!$I$11*N(V44)+(Parameters!$F$12=Parameters!$E$17)*Parameters!$I$12*N(W44))/((Parameters!$F$5=Parameters!$E$17)*Parameters!$I$5*ISNUMBER(P44)+(Parameters!$F$6=Parameters!$E$17)*Parameters!$I$6*ISNUMBER(Q44)+(Parameters!$F$7=Parameters!$E$17)*Parameters!$I$7*ISNUMBER(R44)+(Parameters!$F$8=Parameters!$E$17)*Parameters!$I$8*ISNUMBER(S44)+(Parameters!$F$9=Parameters!$E$17)*Parameters!$I$9*ISNUMBER(T44)+(Parameters!$F$10=Parameters!$E$17)*Parameters!$I$10*ISNUMBER(U44)+(Parameters!$F$11=Parameters!$E$17)*Parameters!$I$11*ISNUMBER(V44)+(Parameters!$F$12=Parameters!$E$17)*Parameters!$I$12*ISNUMBER(W44)),""))</f>
        <v>1</v>
      </c>
      <c r="AC44" s="17" t="n">
        <f aca="false">Parameters!$I$5*ISNUMBER(P44)+Parameters!$I$6*ISNUMBER(Q44)+Parameters!$I$7*ISNUMBER(R44)+Parameters!$I$8*ISNUMBER(S44)+Parameters!$I$9*ISNUMBER(T44)+Parameters!$I$10*ISNUMBER(U44)+Parameters!$I$11*ISNUMBER(V44)+Parameters!$I$12*ISNUMBER(W44)</f>
        <v>85</v>
      </c>
      <c r="AD44" s="17" t="n">
        <f aca="false">Parameters!$I$5*1+Parameters!$I$6*1+Parameters!$I$7*1+Parameters!$I$8*1+Parameters!$I$9*1+Parameters!$I$10*1+Parameters!$I$11*X44+Parameters!$I$12*Y44</f>
        <v>85</v>
      </c>
      <c r="AE44" s="18" t="n">
        <f aca="false">IF(AD44=0,"",AC44/AD44)</f>
        <v>1</v>
      </c>
      <c r="AF44" s="17" t="str">
        <f aca="false">IF(ISNUMBER(Z44),"M","")&amp;IF(ISNUMBER(AA44),"I","")&amp;IF(ISNUMBER(AB44),"O","")</f>
        <v>MIO</v>
      </c>
      <c r="AG44" s="19" t="n">
        <f aca="false">IF(AND(ISNUMBER(AE44),ISNUMBER(Z44)+ISNUMBER(AA44)+ISNUMBER(AB44)&gt;=Parameters!$B$37),IF(AE44&gt;=Parameters!$B$35,100*(Parameters!$F$15*N(Z44)+Parameters!$F$16*N(AA44)+Parameters!$F$17*N(AB44))/(Parameters!$F$15*ISNUMBER(Z44)+Parameters!$F$16*ISNUMBER(AA44)+Parameters!$F$17*ISNUMBER(AB44)),""),"")</f>
        <v>94</v>
      </c>
      <c r="AH44" s="17" t="n">
        <f aca="false">IF(ISNUMBER(AG44),RANK(AG44,$AG$2:$AG$113),"")</f>
        <v>5</v>
      </c>
    </row>
    <row r="45" customFormat="false" ht="15" hidden="false" customHeight="false" outlineLevel="0" collapsed="false">
      <c r="A45" s="5" t="s">
        <v>292</v>
      </c>
      <c r="B45" s="5" t="s">
        <v>292</v>
      </c>
      <c r="C45" s="5" t="s">
        <v>293</v>
      </c>
      <c r="D45" s="5" t="s">
        <v>31</v>
      </c>
      <c r="E45" s="5" t="s">
        <v>44</v>
      </c>
      <c r="F45" s="5" t="s">
        <v>294</v>
      </c>
      <c r="G45" s="15"/>
      <c r="H45" s="8"/>
      <c r="I45" s="5" t="s">
        <v>57</v>
      </c>
      <c r="J45" s="5" t="s">
        <v>74</v>
      </c>
      <c r="K45" s="15"/>
      <c r="L45" s="5" t="s">
        <v>79</v>
      </c>
      <c r="M45" s="5" t="s">
        <v>141</v>
      </c>
      <c r="N45" s="5"/>
      <c r="O45" s="5"/>
      <c r="P45" s="16" t="n">
        <f aca="false">IFERROR(IF(ISNUMBER(INDEX(Parameters!$B$5:$B$23,MATCH(D45,Parameters!$A$5:$A$23,0))),INDEX(Parameters!$B$5:$B$23,MATCH(D45,Parameters!$A$5:$A$23,0)),""),"")</f>
        <v>1</v>
      </c>
      <c r="Q45" s="16" t="n">
        <f aca="false">IFERROR(IF(ISNUMBER(INDEX(Parameters!$B$5:$B$23,MATCH(E45,Parameters!$A$5:$A$23,0))),INDEX(Parameters!$B$5:$B$23,MATCH(E45,Parameters!$A$5:$A$23,0)),""),"")</f>
        <v>1</v>
      </c>
      <c r="R45" s="16" t="n">
        <f aca="false">IF(F45="","",IFERROR(MIN(Parameters!$B$33,MAX(0,Parameters!$B$32-VALUE(LEFT(F45,4))))/Parameters!$B$33,""))</f>
        <v>1</v>
      </c>
      <c r="S45" s="16" t="str">
        <f aca="false">IF(ISNUMBER(H45),H45,IF(G45="",IF(ISNUMBER(Parameters!$B$34),Parameters!$B$34,""),""))</f>
        <v/>
      </c>
      <c r="T45" s="16" t="n">
        <f aca="false">IFERROR(IF(ISNUMBER(INDEX(Parameters!$B$5:$B$23,MATCH(I45,Parameters!$A$5:$A$23,0))),INDEX(Parameters!$B$5:$B$23,MATCH(I45,Parameters!$A$5:$A$23,0)),""),"")</f>
        <v>0</v>
      </c>
      <c r="U45" s="16" t="n">
        <f aca="false">IFERROR(IF(ISNUMBER(INDEX(Parameters!$B$5:$B$23,MATCH(L45,Parameters!$A$5:$A$23,0))),INDEX(Parameters!$B$5:$B$23,MATCH(L45,Parameters!$A$5:$A$23,0)),""),"")</f>
        <v>1</v>
      </c>
      <c r="V45" s="16" t="str">
        <f aca="false">IFERROR(IF(ISNUMBER(INDEX(Parameters!$B$5:$B$23,MATCH(J45,Parameters!$A$5:$A$23,0))),INDEX(Parameters!$B$5:$B$23,MATCH(J45,Parameters!$A$5:$A$23,0)),""),"")</f>
        <v/>
      </c>
      <c r="W45" s="16" t="str">
        <f aca="false">IF(K45&lt;&gt;"",1,IF(COUNTIF(Parameters!$A$27:$A$28,J45)&gt;0,0,""))</f>
        <v/>
      </c>
      <c r="X45" s="17" t="n">
        <f aca="false">IF(J45="Not applicable",0,1)</f>
        <v>0</v>
      </c>
      <c r="Y45" s="17" t="n">
        <f aca="false">IF(OR(K45&lt;&gt;"",COUNTIF(Parameters!$A$27:$A$28,J45)&gt;0),1,0)</f>
        <v>0</v>
      </c>
      <c r="Z45"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45+(Parameters!$F$12=Parameters!$E$15)*Parameters!$I$12*Y45)=0,"",IF(AND(((Parameters!$F$5=Parameters!$E$15)*Parameters!$I$5*ISNUMBER(P45)+(Parameters!$F$6=Parameters!$E$15)*Parameters!$I$6*ISNUMBER(Q45)+(Parameters!$F$7=Parameters!$E$15)*Parameters!$I$7*ISNUMBER(R45)+(Parameters!$F$8=Parameters!$E$15)*Parameters!$I$8*ISNUMBER(S45)+(Parameters!$F$9=Parameters!$E$15)*Parameters!$I$9*ISNUMBER(T45)+(Parameters!$F$10=Parameters!$E$15)*Parameters!$I$10*ISNUMBER(U45)+(Parameters!$F$11=Parameters!$E$15)*Parameters!$I$11*ISNUMBER(V45)+(Parameters!$F$12=Parameters!$E$15)*Parameters!$I$12*ISNUMBER(W45))&gt;0,((Parameters!$F$5=Parameters!$E$15)*Parameters!$I$5*ISNUMBER(P45)+(Parameters!$F$6=Parameters!$E$15)*Parameters!$I$6*ISNUMBER(Q45)+(Parameters!$F$7=Parameters!$E$15)*Parameters!$I$7*ISNUMBER(R45)+(Parameters!$F$8=Parameters!$E$15)*Parameters!$I$8*ISNUMBER(S45)+(Parameters!$F$9=Parameters!$E$15)*Parameters!$I$9*ISNUMBER(T45)+(Parameters!$F$10=Parameters!$E$15)*Parameters!$I$10*ISNUMBER(U45)+(Parameters!$F$11=Parameters!$E$15)*Parameters!$I$11*ISNUMBER(V45)+(Parameters!$F$12=Parameters!$E$15)*Parameters!$I$12*ISNUMBER(W45))/((Parameters!$F$5=Parameters!$E$15)*Parameters!$I$5*1+(Parameters!$F$6=Parameters!$E$15)*Parameters!$I$6*1+(Parameters!$F$7=Parameters!$E$15)*Parameters!$I$7*1+(Parameters!$F$8=Parameters!$E$15)*Parameters!$I$8*1+(Parameters!$F$9=Parameters!$E$15)*Parameters!$I$9*1+(Parameters!$F$10=Parameters!$E$15)*Parameters!$I$10*1+(Parameters!$F$11=Parameters!$E$15)*Parameters!$I$11*X45+(Parameters!$F$12=Parameters!$E$15)*Parameters!$I$12*Y45)&gt;=Parameters!$B$36),((Parameters!$F$5=Parameters!$E$15)*Parameters!$I$5*N(P45)+(Parameters!$F$6=Parameters!$E$15)*Parameters!$I$6*N(Q45)+(Parameters!$F$7=Parameters!$E$15)*Parameters!$I$7*N(R45)+(Parameters!$F$8=Parameters!$E$15)*Parameters!$I$8*N(S45)+(Parameters!$F$9=Parameters!$E$15)*Parameters!$I$9*N(T45)+(Parameters!$F$10=Parameters!$E$15)*Parameters!$I$10*N(U45)+(Parameters!$F$11=Parameters!$E$15)*Parameters!$I$11*N(V45)+(Parameters!$F$12=Parameters!$E$15)*Parameters!$I$12*N(W45))/((Parameters!$F$5=Parameters!$E$15)*Parameters!$I$5*ISNUMBER(P45)+(Parameters!$F$6=Parameters!$E$15)*Parameters!$I$6*ISNUMBER(Q45)+(Parameters!$F$7=Parameters!$E$15)*Parameters!$I$7*ISNUMBER(R45)+(Parameters!$F$8=Parameters!$E$15)*Parameters!$I$8*ISNUMBER(S45)+(Parameters!$F$9=Parameters!$E$15)*Parameters!$I$9*ISNUMBER(T45)+(Parameters!$F$10=Parameters!$E$15)*Parameters!$I$10*ISNUMBER(U45)+(Parameters!$F$11=Parameters!$E$15)*Parameters!$I$11*ISNUMBER(V45)+(Parameters!$F$12=Parameters!$E$15)*Parameters!$I$12*ISNUMBER(W45)),""))</f>
        <v>1</v>
      </c>
      <c r="AA45"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45+(Parameters!$F$12=Parameters!$E$16)*Parameters!$I$12*Y45)=0,"",IF(AND(((Parameters!$F$5=Parameters!$E$16)*Parameters!$I$5*ISNUMBER(P45)+(Parameters!$F$6=Parameters!$E$16)*Parameters!$I$6*ISNUMBER(Q45)+(Parameters!$F$7=Parameters!$E$16)*Parameters!$I$7*ISNUMBER(R45)+(Parameters!$F$8=Parameters!$E$16)*Parameters!$I$8*ISNUMBER(S45)+(Parameters!$F$9=Parameters!$E$16)*Parameters!$I$9*ISNUMBER(T45)+(Parameters!$F$10=Parameters!$E$16)*Parameters!$I$10*ISNUMBER(U45)+(Parameters!$F$11=Parameters!$E$16)*Parameters!$I$11*ISNUMBER(V45)+(Parameters!$F$12=Parameters!$E$16)*Parameters!$I$12*ISNUMBER(W45))&gt;0,((Parameters!$F$5=Parameters!$E$16)*Parameters!$I$5*ISNUMBER(P45)+(Parameters!$F$6=Parameters!$E$16)*Parameters!$I$6*ISNUMBER(Q45)+(Parameters!$F$7=Parameters!$E$16)*Parameters!$I$7*ISNUMBER(R45)+(Parameters!$F$8=Parameters!$E$16)*Parameters!$I$8*ISNUMBER(S45)+(Parameters!$F$9=Parameters!$E$16)*Parameters!$I$9*ISNUMBER(T45)+(Parameters!$F$10=Parameters!$E$16)*Parameters!$I$10*ISNUMBER(U45)+(Parameters!$F$11=Parameters!$E$16)*Parameters!$I$11*ISNUMBER(V45)+(Parameters!$F$12=Parameters!$E$16)*Parameters!$I$12*ISNUMBER(W45))/((Parameters!$F$5=Parameters!$E$16)*Parameters!$I$5*1+(Parameters!$F$6=Parameters!$E$16)*Parameters!$I$6*1+(Parameters!$F$7=Parameters!$E$16)*Parameters!$I$7*1+(Parameters!$F$8=Parameters!$E$16)*Parameters!$I$8*1+(Parameters!$F$9=Parameters!$E$16)*Parameters!$I$9*1+(Parameters!$F$10=Parameters!$E$16)*Parameters!$I$10*1+(Parameters!$F$11=Parameters!$E$16)*Parameters!$I$11*X45+(Parameters!$F$12=Parameters!$E$16)*Parameters!$I$12*Y45)&gt;=Parameters!$B$36),((Parameters!$F$5=Parameters!$E$16)*Parameters!$I$5*N(P45)+(Parameters!$F$6=Parameters!$E$16)*Parameters!$I$6*N(Q45)+(Parameters!$F$7=Parameters!$E$16)*Parameters!$I$7*N(R45)+(Parameters!$F$8=Parameters!$E$16)*Parameters!$I$8*N(S45)+(Parameters!$F$9=Parameters!$E$16)*Parameters!$I$9*N(T45)+(Parameters!$F$10=Parameters!$E$16)*Parameters!$I$10*N(U45)+(Parameters!$F$11=Parameters!$E$16)*Parameters!$I$11*N(V45)+(Parameters!$F$12=Parameters!$E$16)*Parameters!$I$12*N(W45))/((Parameters!$F$5=Parameters!$E$16)*Parameters!$I$5*ISNUMBER(P45)+(Parameters!$F$6=Parameters!$E$16)*Parameters!$I$6*ISNUMBER(Q45)+(Parameters!$F$7=Parameters!$E$16)*Parameters!$I$7*ISNUMBER(R45)+(Parameters!$F$8=Parameters!$E$16)*Parameters!$I$8*ISNUMBER(S45)+(Parameters!$F$9=Parameters!$E$16)*Parameters!$I$9*ISNUMBER(T45)+(Parameters!$F$10=Parameters!$E$16)*Parameters!$I$10*ISNUMBER(U45)+(Parameters!$F$11=Parameters!$E$16)*Parameters!$I$11*ISNUMBER(V45)+(Parameters!$F$12=Parameters!$E$16)*Parameters!$I$12*ISNUMBER(W45)),""))</f>
        <v>0.666666666666667</v>
      </c>
      <c r="AB45"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45+(Parameters!$F$12=Parameters!$E$17)*Parameters!$I$12*Y45)=0,"",IF(AND(((Parameters!$F$5=Parameters!$E$17)*Parameters!$I$5*ISNUMBER(P45)+(Parameters!$F$6=Parameters!$E$17)*Parameters!$I$6*ISNUMBER(Q45)+(Parameters!$F$7=Parameters!$E$17)*Parameters!$I$7*ISNUMBER(R45)+(Parameters!$F$8=Parameters!$E$17)*Parameters!$I$8*ISNUMBER(S45)+(Parameters!$F$9=Parameters!$E$17)*Parameters!$I$9*ISNUMBER(T45)+(Parameters!$F$10=Parameters!$E$17)*Parameters!$I$10*ISNUMBER(U45)+(Parameters!$F$11=Parameters!$E$17)*Parameters!$I$11*ISNUMBER(V45)+(Parameters!$F$12=Parameters!$E$17)*Parameters!$I$12*ISNUMBER(W45))&gt;0,((Parameters!$F$5=Parameters!$E$17)*Parameters!$I$5*ISNUMBER(P45)+(Parameters!$F$6=Parameters!$E$17)*Parameters!$I$6*ISNUMBER(Q45)+(Parameters!$F$7=Parameters!$E$17)*Parameters!$I$7*ISNUMBER(R45)+(Parameters!$F$8=Parameters!$E$17)*Parameters!$I$8*ISNUMBER(S45)+(Parameters!$F$9=Parameters!$E$17)*Parameters!$I$9*ISNUMBER(T45)+(Parameters!$F$10=Parameters!$E$17)*Parameters!$I$10*ISNUMBER(U45)+(Parameters!$F$11=Parameters!$E$17)*Parameters!$I$11*ISNUMBER(V45)+(Parameters!$F$12=Parameters!$E$17)*Parameters!$I$12*ISNUMBER(W45))/((Parameters!$F$5=Parameters!$E$17)*Parameters!$I$5*1+(Parameters!$F$6=Parameters!$E$17)*Parameters!$I$6*1+(Parameters!$F$7=Parameters!$E$17)*Parameters!$I$7*1+(Parameters!$F$8=Parameters!$E$17)*Parameters!$I$8*1+(Parameters!$F$9=Parameters!$E$17)*Parameters!$I$9*1+(Parameters!$F$10=Parameters!$E$17)*Parameters!$I$10*1+(Parameters!$F$11=Parameters!$E$17)*Parameters!$I$11*X45+(Parameters!$F$12=Parameters!$E$17)*Parameters!$I$12*Y45)&gt;=Parameters!$B$36),((Parameters!$F$5=Parameters!$E$17)*Parameters!$I$5*N(P45)+(Parameters!$F$6=Parameters!$E$17)*Parameters!$I$6*N(Q45)+(Parameters!$F$7=Parameters!$E$17)*Parameters!$I$7*N(R45)+(Parameters!$F$8=Parameters!$E$17)*Parameters!$I$8*N(S45)+(Parameters!$F$9=Parameters!$E$17)*Parameters!$I$9*N(T45)+(Parameters!$F$10=Parameters!$E$17)*Parameters!$I$10*N(U45)+(Parameters!$F$11=Parameters!$E$17)*Parameters!$I$11*N(V45)+(Parameters!$F$12=Parameters!$E$17)*Parameters!$I$12*N(W45))/((Parameters!$F$5=Parameters!$E$17)*Parameters!$I$5*ISNUMBER(P45)+(Parameters!$F$6=Parameters!$E$17)*Parameters!$I$6*ISNUMBER(Q45)+(Parameters!$F$7=Parameters!$E$17)*Parameters!$I$7*ISNUMBER(R45)+(Parameters!$F$8=Parameters!$E$17)*Parameters!$I$8*ISNUMBER(S45)+(Parameters!$F$9=Parameters!$E$17)*Parameters!$I$9*ISNUMBER(T45)+(Parameters!$F$10=Parameters!$E$17)*Parameters!$I$10*ISNUMBER(U45)+(Parameters!$F$11=Parameters!$E$17)*Parameters!$I$11*ISNUMBER(V45)+(Parameters!$F$12=Parameters!$E$17)*Parameters!$I$12*ISNUMBER(W45)),""))</f>
        <v/>
      </c>
      <c r="AC45" s="17" t="n">
        <f aca="false">Parameters!$I$5*ISNUMBER(P45)+Parameters!$I$6*ISNUMBER(Q45)+Parameters!$I$7*ISNUMBER(R45)+Parameters!$I$8*ISNUMBER(S45)+Parameters!$I$9*ISNUMBER(T45)+Parameters!$I$10*ISNUMBER(U45)+Parameters!$I$11*ISNUMBER(V45)+Parameters!$I$12*ISNUMBER(W45)</f>
        <v>65</v>
      </c>
      <c r="AD45" s="17" t="n">
        <f aca="false">Parameters!$I$5*1+Parameters!$I$6*1+Parameters!$I$7*1+Parameters!$I$8*1+Parameters!$I$9*1+Parameters!$I$10*1+Parameters!$I$11*X45+Parameters!$I$12*Y45</f>
        <v>75</v>
      </c>
      <c r="AE45" s="18" t="n">
        <f aca="false">IF(AD45=0,"",AC45/AD45)</f>
        <v>0.866666666666667</v>
      </c>
      <c r="AF45" s="17" t="str">
        <f aca="false">IF(ISNUMBER(Z45),"M","")&amp;IF(ISNUMBER(AA45),"I","")&amp;IF(ISNUMBER(AB45),"O","")</f>
        <v>MI</v>
      </c>
      <c r="AG45" s="19" t="n">
        <f aca="false">IF(AND(ISNUMBER(AE45),ISNUMBER(Z45)+ISNUMBER(AA45)+ISNUMBER(AB45)&gt;=Parameters!$B$37),IF(AE45&gt;=Parameters!$B$35,100*(Parameters!$F$15*N(Z45)+Parameters!$F$16*N(AA45)+Parameters!$F$17*N(AB45))/(Parameters!$F$15*ISNUMBER(Z45)+Parameters!$F$16*ISNUMBER(AA45)+Parameters!$F$17*ISNUMBER(AB45)),""),"")</f>
        <v>87.5</v>
      </c>
      <c r="AH45" s="17" t="n">
        <f aca="false">IF(ISNUMBER(AG45),RANK(AG45,$AG$2:$AG$113),"")</f>
        <v>40</v>
      </c>
    </row>
    <row r="46" customFormat="false" ht="15" hidden="false" customHeight="false" outlineLevel="0" collapsed="false">
      <c r="A46" s="5" t="s">
        <v>295</v>
      </c>
      <c r="B46" s="5" t="s">
        <v>296</v>
      </c>
      <c r="C46" s="5" t="s">
        <v>297</v>
      </c>
      <c r="D46" s="5" t="s">
        <v>31</v>
      </c>
      <c r="E46" s="5" t="s">
        <v>44</v>
      </c>
      <c r="F46" s="5" t="s">
        <v>182</v>
      </c>
      <c r="G46" s="15"/>
      <c r="H46" s="8"/>
      <c r="I46" s="5" t="s">
        <v>57</v>
      </c>
      <c r="J46" s="5" t="s">
        <v>74</v>
      </c>
      <c r="K46" s="15"/>
      <c r="L46" s="5" t="s">
        <v>157</v>
      </c>
      <c r="M46" s="5" t="s">
        <v>136</v>
      </c>
      <c r="N46" s="5" t="s">
        <v>252</v>
      </c>
      <c r="O46" s="5"/>
      <c r="P46" s="16" t="n">
        <f aca="false">IFERROR(IF(ISNUMBER(INDEX(Parameters!$B$5:$B$23,MATCH(D46,Parameters!$A$5:$A$23,0))),INDEX(Parameters!$B$5:$B$23,MATCH(D46,Parameters!$A$5:$A$23,0)),""),"")</f>
        <v>1</v>
      </c>
      <c r="Q46" s="16" t="n">
        <f aca="false">IFERROR(IF(ISNUMBER(INDEX(Parameters!$B$5:$B$23,MATCH(E46,Parameters!$A$5:$A$23,0))),INDEX(Parameters!$B$5:$B$23,MATCH(E46,Parameters!$A$5:$A$23,0)),""),"")</f>
        <v>1</v>
      </c>
      <c r="R46" s="16" t="n">
        <f aca="false">IF(F46="","",IFERROR(MIN(Parameters!$B$33,MAX(0,Parameters!$B$32-VALUE(LEFT(F46,4))))/Parameters!$B$33,""))</f>
        <v>1</v>
      </c>
      <c r="S46" s="16" t="str">
        <f aca="false">IF(ISNUMBER(H46),H46,IF(G46="",IF(ISNUMBER(Parameters!$B$34),Parameters!$B$34,""),""))</f>
        <v/>
      </c>
      <c r="T46" s="16" t="n">
        <f aca="false">IFERROR(IF(ISNUMBER(INDEX(Parameters!$B$5:$B$23,MATCH(I46,Parameters!$A$5:$A$23,0))),INDEX(Parameters!$B$5:$B$23,MATCH(I46,Parameters!$A$5:$A$23,0)),""),"")</f>
        <v>0</v>
      </c>
      <c r="U46" s="16" t="str">
        <f aca="false">IFERROR(IF(ISNUMBER(INDEX(Parameters!$B$5:$B$23,MATCH(L46,Parameters!$A$5:$A$23,0))),INDEX(Parameters!$B$5:$B$23,MATCH(L46,Parameters!$A$5:$A$23,0)),""),"")</f>
        <v/>
      </c>
      <c r="V46" s="16" t="str">
        <f aca="false">IFERROR(IF(ISNUMBER(INDEX(Parameters!$B$5:$B$23,MATCH(J46,Parameters!$A$5:$A$23,0))),INDEX(Parameters!$B$5:$B$23,MATCH(J46,Parameters!$A$5:$A$23,0)),""),"")</f>
        <v/>
      </c>
      <c r="W46" s="16" t="str">
        <f aca="false">IF(K46&lt;&gt;"",1,IF(COUNTIF(Parameters!$A$27:$A$28,J46)&gt;0,0,""))</f>
        <v/>
      </c>
      <c r="X46" s="17" t="n">
        <f aca="false">IF(J46="Not applicable",0,1)</f>
        <v>0</v>
      </c>
      <c r="Y46" s="17" t="n">
        <f aca="false">IF(OR(K46&lt;&gt;"",COUNTIF(Parameters!$A$27:$A$28,J46)&gt;0),1,0)</f>
        <v>0</v>
      </c>
      <c r="Z46"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46+(Parameters!$F$12=Parameters!$E$15)*Parameters!$I$12*Y46)=0,"",IF(AND(((Parameters!$F$5=Parameters!$E$15)*Parameters!$I$5*ISNUMBER(P46)+(Parameters!$F$6=Parameters!$E$15)*Parameters!$I$6*ISNUMBER(Q46)+(Parameters!$F$7=Parameters!$E$15)*Parameters!$I$7*ISNUMBER(R46)+(Parameters!$F$8=Parameters!$E$15)*Parameters!$I$8*ISNUMBER(S46)+(Parameters!$F$9=Parameters!$E$15)*Parameters!$I$9*ISNUMBER(T46)+(Parameters!$F$10=Parameters!$E$15)*Parameters!$I$10*ISNUMBER(U46)+(Parameters!$F$11=Parameters!$E$15)*Parameters!$I$11*ISNUMBER(V46)+(Parameters!$F$12=Parameters!$E$15)*Parameters!$I$12*ISNUMBER(W46))&gt;0,((Parameters!$F$5=Parameters!$E$15)*Parameters!$I$5*ISNUMBER(P46)+(Parameters!$F$6=Parameters!$E$15)*Parameters!$I$6*ISNUMBER(Q46)+(Parameters!$F$7=Parameters!$E$15)*Parameters!$I$7*ISNUMBER(R46)+(Parameters!$F$8=Parameters!$E$15)*Parameters!$I$8*ISNUMBER(S46)+(Parameters!$F$9=Parameters!$E$15)*Parameters!$I$9*ISNUMBER(T46)+(Parameters!$F$10=Parameters!$E$15)*Parameters!$I$10*ISNUMBER(U46)+(Parameters!$F$11=Parameters!$E$15)*Parameters!$I$11*ISNUMBER(V46)+(Parameters!$F$12=Parameters!$E$15)*Parameters!$I$12*ISNUMBER(W46))/((Parameters!$F$5=Parameters!$E$15)*Parameters!$I$5*1+(Parameters!$F$6=Parameters!$E$15)*Parameters!$I$6*1+(Parameters!$F$7=Parameters!$E$15)*Parameters!$I$7*1+(Parameters!$F$8=Parameters!$E$15)*Parameters!$I$8*1+(Parameters!$F$9=Parameters!$E$15)*Parameters!$I$9*1+(Parameters!$F$10=Parameters!$E$15)*Parameters!$I$10*1+(Parameters!$F$11=Parameters!$E$15)*Parameters!$I$11*X46+(Parameters!$F$12=Parameters!$E$15)*Parameters!$I$12*Y46)&gt;=Parameters!$B$36),((Parameters!$F$5=Parameters!$E$15)*Parameters!$I$5*N(P46)+(Parameters!$F$6=Parameters!$E$15)*Parameters!$I$6*N(Q46)+(Parameters!$F$7=Parameters!$E$15)*Parameters!$I$7*N(R46)+(Parameters!$F$8=Parameters!$E$15)*Parameters!$I$8*N(S46)+(Parameters!$F$9=Parameters!$E$15)*Parameters!$I$9*N(T46)+(Parameters!$F$10=Parameters!$E$15)*Parameters!$I$10*N(U46)+(Parameters!$F$11=Parameters!$E$15)*Parameters!$I$11*N(V46)+(Parameters!$F$12=Parameters!$E$15)*Parameters!$I$12*N(W46))/((Parameters!$F$5=Parameters!$E$15)*Parameters!$I$5*ISNUMBER(P46)+(Parameters!$F$6=Parameters!$E$15)*Parameters!$I$6*ISNUMBER(Q46)+(Parameters!$F$7=Parameters!$E$15)*Parameters!$I$7*ISNUMBER(R46)+(Parameters!$F$8=Parameters!$E$15)*Parameters!$I$8*ISNUMBER(S46)+(Parameters!$F$9=Parameters!$E$15)*Parameters!$I$9*ISNUMBER(T46)+(Parameters!$F$10=Parameters!$E$15)*Parameters!$I$10*ISNUMBER(U46)+(Parameters!$F$11=Parameters!$E$15)*Parameters!$I$11*ISNUMBER(V46)+(Parameters!$F$12=Parameters!$E$15)*Parameters!$I$12*ISNUMBER(W46)),""))</f>
        <v>1</v>
      </c>
      <c r="AA46" s="16" t="str">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46+(Parameters!$F$12=Parameters!$E$16)*Parameters!$I$12*Y46)=0,"",IF(AND(((Parameters!$F$5=Parameters!$E$16)*Parameters!$I$5*ISNUMBER(P46)+(Parameters!$F$6=Parameters!$E$16)*Parameters!$I$6*ISNUMBER(Q46)+(Parameters!$F$7=Parameters!$E$16)*Parameters!$I$7*ISNUMBER(R46)+(Parameters!$F$8=Parameters!$E$16)*Parameters!$I$8*ISNUMBER(S46)+(Parameters!$F$9=Parameters!$E$16)*Parameters!$I$9*ISNUMBER(T46)+(Parameters!$F$10=Parameters!$E$16)*Parameters!$I$10*ISNUMBER(U46)+(Parameters!$F$11=Parameters!$E$16)*Parameters!$I$11*ISNUMBER(V46)+(Parameters!$F$12=Parameters!$E$16)*Parameters!$I$12*ISNUMBER(W46))&gt;0,((Parameters!$F$5=Parameters!$E$16)*Parameters!$I$5*ISNUMBER(P46)+(Parameters!$F$6=Parameters!$E$16)*Parameters!$I$6*ISNUMBER(Q46)+(Parameters!$F$7=Parameters!$E$16)*Parameters!$I$7*ISNUMBER(R46)+(Parameters!$F$8=Parameters!$E$16)*Parameters!$I$8*ISNUMBER(S46)+(Parameters!$F$9=Parameters!$E$16)*Parameters!$I$9*ISNUMBER(T46)+(Parameters!$F$10=Parameters!$E$16)*Parameters!$I$10*ISNUMBER(U46)+(Parameters!$F$11=Parameters!$E$16)*Parameters!$I$11*ISNUMBER(V46)+(Parameters!$F$12=Parameters!$E$16)*Parameters!$I$12*ISNUMBER(W46))/((Parameters!$F$5=Parameters!$E$16)*Parameters!$I$5*1+(Parameters!$F$6=Parameters!$E$16)*Parameters!$I$6*1+(Parameters!$F$7=Parameters!$E$16)*Parameters!$I$7*1+(Parameters!$F$8=Parameters!$E$16)*Parameters!$I$8*1+(Parameters!$F$9=Parameters!$E$16)*Parameters!$I$9*1+(Parameters!$F$10=Parameters!$E$16)*Parameters!$I$10*1+(Parameters!$F$11=Parameters!$E$16)*Parameters!$I$11*X46+(Parameters!$F$12=Parameters!$E$16)*Parameters!$I$12*Y46)&gt;=Parameters!$B$36),((Parameters!$F$5=Parameters!$E$16)*Parameters!$I$5*N(P46)+(Parameters!$F$6=Parameters!$E$16)*Parameters!$I$6*N(Q46)+(Parameters!$F$7=Parameters!$E$16)*Parameters!$I$7*N(R46)+(Parameters!$F$8=Parameters!$E$16)*Parameters!$I$8*N(S46)+(Parameters!$F$9=Parameters!$E$16)*Parameters!$I$9*N(T46)+(Parameters!$F$10=Parameters!$E$16)*Parameters!$I$10*N(U46)+(Parameters!$F$11=Parameters!$E$16)*Parameters!$I$11*N(V46)+(Parameters!$F$12=Parameters!$E$16)*Parameters!$I$12*N(W46))/((Parameters!$F$5=Parameters!$E$16)*Parameters!$I$5*ISNUMBER(P46)+(Parameters!$F$6=Parameters!$E$16)*Parameters!$I$6*ISNUMBER(Q46)+(Parameters!$F$7=Parameters!$E$16)*Parameters!$I$7*ISNUMBER(R46)+(Parameters!$F$8=Parameters!$E$16)*Parameters!$I$8*ISNUMBER(S46)+(Parameters!$F$9=Parameters!$E$16)*Parameters!$I$9*ISNUMBER(T46)+(Parameters!$F$10=Parameters!$E$16)*Parameters!$I$10*ISNUMBER(U46)+(Parameters!$F$11=Parameters!$E$16)*Parameters!$I$11*ISNUMBER(V46)+(Parameters!$F$12=Parameters!$E$16)*Parameters!$I$12*ISNUMBER(W46)),""))</f>
        <v/>
      </c>
      <c r="AB46"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46+(Parameters!$F$12=Parameters!$E$17)*Parameters!$I$12*Y46)=0,"",IF(AND(((Parameters!$F$5=Parameters!$E$17)*Parameters!$I$5*ISNUMBER(P46)+(Parameters!$F$6=Parameters!$E$17)*Parameters!$I$6*ISNUMBER(Q46)+(Parameters!$F$7=Parameters!$E$17)*Parameters!$I$7*ISNUMBER(R46)+(Parameters!$F$8=Parameters!$E$17)*Parameters!$I$8*ISNUMBER(S46)+(Parameters!$F$9=Parameters!$E$17)*Parameters!$I$9*ISNUMBER(T46)+(Parameters!$F$10=Parameters!$E$17)*Parameters!$I$10*ISNUMBER(U46)+(Parameters!$F$11=Parameters!$E$17)*Parameters!$I$11*ISNUMBER(V46)+(Parameters!$F$12=Parameters!$E$17)*Parameters!$I$12*ISNUMBER(W46))&gt;0,((Parameters!$F$5=Parameters!$E$17)*Parameters!$I$5*ISNUMBER(P46)+(Parameters!$F$6=Parameters!$E$17)*Parameters!$I$6*ISNUMBER(Q46)+(Parameters!$F$7=Parameters!$E$17)*Parameters!$I$7*ISNUMBER(R46)+(Parameters!$F$8=Parameters!$E$17)*Parameters!$I$8*ISNUMBER(S46)+(Parameters!$F$9=Parameters!$E$17)*Parameters!$I$9*ISNUMBER(T46)+(Parameters!$F$10=Parameters!$E$17)*Parameters!$I$10*ISNUMBER(U46)+(Parameters!$F$11=Parameters!$E$17)*Parameters!$I$11*ISNUMBER(V46)+(Parameters!$F$12=Parameters!$E$17)*Parameters!$I$12*ISNUMBER(W46))/((Parameters!$F$5=Parameters!$E$17)*Parameters!$I$5*1+(Parameters!$F$6=Parameters!$E$17)*Parameters!$I$6*1+(Parameters!$F$7=Parameters!$E$17)*Parameters!$I$7*1+(Parameters!$F$8=Parameters!$E$17)*Parameters!$I$8*1+(Parameters!$F$9=Parameters!$E$17)*Parameters!$I$9*1+(Parameters!$F$10=Parameters!$E$17)*Parameters!$I$10*1+(Parameters!$F$11=Parameters!$E$17)*Parameters!$I$11*X46+(Parameters!$F$12=Parameters!$E$17)*Parameters!$I$12*Y46)&gt;=Parameters!$B$36),((Parameters!$F$5=Parameters!$E$17)*Parameters!$I$5*N(P46)+(Parameters!$F$6=Parameters!$E$17)*Parameters!$I$6*N(Q46)+(Parameters!$F$7=Parameters!$E$17)*Parameters!$I$7*N(R46)+(Parameters!$F$8=Parameters!$E$17)*Parameters!$I$8*N(S46)+(Parameters!$F$9=Parameters!$E$17)*Parameters!$I$9*N(T46)+(Parameters!$F$10=Parameters!$E$17)*Parameters!$I$10*N(U46)+(Parameters!$F$11=Parameters!$E$17)*Parameters!$I$11*N(V46)+(Parameters!$F$12=Parameters!$E$17)*Parameters!$I$12*N(W46))/((Parameters!$F$5=Parameters!$E$17)*Parameters!$I$5*ISNUMBER(P46)+(Parameters!$F$6=Parameters!$E$17)*Parameters!$I$6*ISNUMBER(Q46)+(Parameters!$F$7=Parameters!$E$17)*Parameters!$I$7*ISNUMBER(R46)+(Parameters!$F$8=Parameters!$E$17)*Parameters!$I$8*ISNUMBER(S46)+(Parameters!$F$9=Parameters!$E$17)*Parameters!$I$9*ISNUMBER(T46)+(Parameters!$F$10=Parameters!$E$17)*Parameters!$I$10*ISNUMBER(U46)+(Parameters!$F$11=Parameters!$E$17)*Parameters!$I$11*ISNUMBER(V46)+(Parameters!$F$12=Parameters!$E$17)*Parameters!$I$12*ISNUMBER(W46)),""))</f>
        <v/>
      </c>
      <c r="AC46" s="17" t="n">
        <f aca="false">Parameters!$I$5*ISNUMBER(P46)+Parameters!$I$6*ISNUMBER(Q46)+Parameters!$I$7*ISNUMBER(R46)+Parameters!$I$8*ISNUMBER(S46)+Parameters!$I$9*ISNUMBER(T46)+Parameters!$I$10*ISNUMBER(U46)+Parameters!$I$11*ISNUMBER(V46)+Parameters!$I$12*ISNUMBER(W46)</f>
        <v>55</v>
      </c>
      <c r="AD46" s="17" t="n">
        <f aca="false">Parameters!$I$5*1+Parameters!$I$6*1+Parameters!$I$7*1+Parameters!$I$8*1+Parameters!$I$9*1+Parameters!$I$10*1+Parameters!$I$11*X46+Parameters!$I$12*Y46</f>
        <v>75</v>
      </c>
      <c r="AE46" s="18" t="n">
        <f aca="false">IF(AD46=0,"",AC46/AD46)</f>
        <v>0.733333333333333</v>
      </c>
      <c r="AF46" s="17" t="str">
        <f aca="false">IF(ISNUMBER(Z46),"M","")&amp;IF(ISNUMBER(AA46),"I","")&amp;IF(ISNUMBER(AB46),"O","")</f>
        <v>M</v>
      </c>
      <c r="AG46" s="19" t="str">
        <f aca="false">IF(AND(ISNUMBER(AE46),ISNUMBER(Z46)+ISNUMBER(AA46)+ISNUMBER(AB46)&gt;=Parameters!$B$37),IF(AE46&gt;=Parameters!$B$35,100*(Parameters!$F$15*N(Z46)+Parameters!$F$16*N(AA46)+Parameters!$F$17*N(AB46))/(Parameters!$F$15*ISNUMBER(Z46)+Parameters!$F$16*ISNUMBER(AA46)+Parameters!$F$17*ISNUMBER(AB46)),""),"")</f>
        <v/>
      </c>
      <c r="AH46" s="17" t="str">
        <f aca="false">IF(ISNUMBER(AG46),RANK(AG46,$AG$2:$AG$113),"")</f>
        <v/>
      </c>
    </row>
    <row r="47" customFormat="false" ht="15" hidden="false" customHeight="false" outlineLevel="0" collapsed="false">
      <c r="A47" s="5" t="s">
        <v>298</v>
      </c>
      <c r="B47" s="5" t="s">
        <v>299</v>
      </c>
      <c r="C47" s="5" t="s">
        <v>150</v>
      </c>
      <c r="D47" s="5" t="s">
        <v>31</v>
      </c>
      <c r="E47" s="5" t="s">
        <v>44</v>
      </c>
      <c r="F47" s="5" t="s">
        <v>218</v>
      </c>
      <c r="G47" s="15" t="s">
        <v>300</v>
      </c>
      <c r="H47" s="8" t="n">
        <v>1</v>
      </c>
      <c r="I47" s="5" t="s">
        <v>57</v>
      </c>
      <c r="J47" s="5" t="s">
        <v>66</v>
      </c>
      <c r="K47" s="15"/>
      <c r="L47" s="5" t="s">
        <v>85</v>
      </c>
      <c r="M47" s="5" t="s">
        <v>141</v>
      </c>
      <c r="N47" s="5" t="s">
        <v>142</v>
      </c>
      <c r="O47" s="5"/>
      <c r="P47" s="16" t="n">
        <f aca="false">IFERROR(IF(ISNUMBER(INDEX(Parameters!$B$5:$B$23,MATCH(D47,Parameters!$A$5:$A$23,0))),INDEX(Parameters!$B$5:$B$23,MATCH(D47,Parameters!$A$5:$A$23,0)),""),"")</f>
        <v>1</v>
      </c>
      <c r="Q47" s="16" t="n">
        <f aca="false">IFERROR(IF(ISNUMBER(INDEX(Parameters!$B$5:$B$23,MATCH(E47,Parameters!$A$5:$A$23,0))),INDEX(Parameters!$B$5:$B$23,MATCH(E47,Parameters!$A$5:$A$23,0)),""),"")</f>
        <v>1</v>
      </c>
      <c r="R47" s="16" t="n">
        <f aca="false">IF(F47="","",IFERROR(MIN(Parameters!$B$33,MAX(0,Parameters!$B$32-VALUE(LEFT(F47,4))))/Parameters!$B$33,""))</f>
        <v>0.333333333333333</v>
      </c>
      <c r="S47" s="16" t="n">
        <f aca="false">IF(ISNUMBER(H47),H47,IF(G47="",IF(ISNUMBER(Parameters!$B$34),Parameters!$B$34,""),""))</f>
        <v>1</v>
      </c>
      <c r="T47" s="16" t="n">
        <f aca="false">IFERROR(IF(ISNUMBER(INDEX(Parameters!$B$5:$B$23,MATCH(I47,Parameters!$A$5:$A$23,0))),INDEX(Parameters!$B$5:$B$23,MATCH(I47,Parameters!$A$5:$A$23,0)),""),"")</f>
        <v>0</v>
      </c>
      <c r="U47" s="16" t="n">
        <f aca="false">IFERROR(IF(ISNUMBER(INDEX(Parameters!$B$5:$B$23,MATCH(L47,Parameters!$A$5:$A$23,0))),INDEX(Parameters!$B$5:$B$23,MATCH(L47,Parameters!$A$5:$A$23,0)),""),"")</f>
        <v>0.5</v>
      </c>
      <c r="V47" s="16" t="n">
        <f aca="false">IFERROR(IF(ISNUMBER(INDEX(Parameters!$B$5:$B$23,MATCH(J47,Parameters!$A$5:$A$23,0))),INDEX(Parameters!$B$5:$B$23,MATCH(J47,Parameters!$A$5:$A$23,0)),""),"")</f>
        <v>1</v>
      </c>
      <c r="W47" s="16" t="str">
        <f aca="false">IF(K47&lt;&gt;"",1,IF(COUNTIF(Parameters!$A$27:$A$28,J47)&gt;0,0,""))</f>
        <v/>
      </c>
      <c r="X47" s="17" t="n">
        <f aca="false">IF(J47="Not applicable",0,1)</f>
        <v>1</v>
      </c>
      <c r="Y47" s="17" t="n">
        <f aca="false">IF(OR(K47&lt;&gt;"",COUNTIF(Parameters!$A$27:$A$28,J47)&gt;0),1,0)</f>
        <v>0</v>
      </c>
      <c r="Z47"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47+(Parameters!$F$12=Parameters!$E$15)*Parameters!$I$12*Y47)=0,"",IF(AND(((Parameters!$F$5=Parameters!$E$15)*Parameters!$I$5*ISNUMBER(P47)+(Parameters!$F$6=Parameters!$E$15)*Parameters!$I$6*ISNUMBER(Q47)+(Parameters!$F$7=Parameters!$E$15)*Parameters!$I$7*ISNUMBER(R47)+(Parameters!$F$8=Parameters!$E$15)*Parameters!$I$8*ISNUMBER(S47)+(Parameters!$F$9=Parameters!$E$15)*Parameters!$I$9*ISNUMBER(T47)+(Parameters!$F$10=Parameters!$E$15)*Parameters!$I$10*ISNUMBER(U47)+(Parameters!$F$11=Parameters!$E$15)*Parameters!$I$11*ISNUMBER(V47)+(Parameters!$F$12=Parameters!$E$15)*Parameters!$I$12*ISNUMBER(W47))&gt;0,((Parameters!$F$5=Parameters!$E$15)*Parameters!$I$5*ISNUMBER(P47)+(Parameters!$F$6=Parameters!$E$15)*Parameters!$I$6*ISNUMBER(Q47)+(Parameters!$F$7=Parameters!$E$15)*Parameters!$I$7*ISNUMBER(R47)+(Parameters!$F$8=Parameters!$E$15)*Parameters!$I$8*ISNUMBER(S47)+(Parameters!$F$9=Parameters!$E$15)*Parameters!$I$9*ISNUMBER(T47)+(Parameters!$F$10=Parameters!$E$15)*Parameters!$I$10*ISNUMBER(U47)+(Parameters!$F$11=Parameters!$E$15)*Parameters!$I$11*ISNUMBER(V47)+(Parameters!$F$12=Parameters!$E$15)*Parameters!$I$12*ISNUMBER(W47))/((Parameters!$F$5=Parameters!$E$15)*Parameters!$I$5*1+(Parameters!$F$6=Parameters!$E$15)*Parameters!$I$6*1+(Parameters!$F$7=Parameters!$E$15)*Parameters!$I$7*1+(Parameters!$F$8=Parameters!$E$15)*Parameters!$I$8*1+(Parameters!$F$9=Parameters!$E$15)*Parameters!$I$9*1+(Parameters!$F$10=Parameters!$E$15)*Parameters!$I$10*1+(Parameters!$F$11=Parameters!$E$15)*Parameters!$I$11*X47+(Parameters!$F$12=Parameters!$E$15)*Parameters!$I$12*Y47)&gt;=Parameters!$B$36),((Parameters!$F$5=Parameters!$E$15)*Parameters!$I$5*N(P47)+(Parameters!$F$6=Parameters!$E$15)*Parameters!$I$6*N(Q47)+(Parameters!$F$7=Parameters!$E$15)*Parameters!$I$7*N(R47)+(Parameters!$F$8=Parameters!$E$15)*Parameters!$I$8*N(S47)+(Parameters!$F$9=Parameters!$E$15)*Parameters!$I$9*N(T47)+(Parameters!$F$10=Parameters!$E$15)*Parameters!$I$10*N(U47)+(Parameters!$F$11=Parameters!$E$15)*Parameters!$I$11*N(V47)+(Parameters!$F$12=Parameters!$E$15)*Parameters!$I$12*N(W47))/((Parameters!$F$5=Parameters!$E$15)*Parameters!$I$5*ISNUMBER(P47)+(Parameters!$F$6=Parameters!$E$15)*Parameters!$I$6*ISNUMBER(Q47)+(Parameters!$F$7=Parameters!$E$15)*Parameters!$I$7*ISNUMBER(R47)+(Parameters!$F$8=Parameters!$E$15)*Parameters!$I$8*ISNUMBER(S47)+(Parameters!$F$9=Parameters!$E$15)*Parameters!$I$9*ISNUMBER(T47)+(Parameters!$F$10=Parameters!$E$15)*Parameters!$I$10*ISNUMBER(U47)+(Parameters!$F$11=Parameters!$E$15)*Parameters!$I$11*ISNUMBER(V47)+(Parameters!$F$12=Parameters!$E$15)*Parameters!$I$12*ISNUMBER(W47)),""))</f>
        <v>0.933333333333333</v>
      </c>
      <c r="AA47"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47+(Parameters!$F$12=Parameters!$E$16)*Parameters!$I$12*Y47)=0,"",IF(AND(((Parameters!$F$5=Parameters!$E$16)*Parameters!$I$5*ISNUMBER(P47)+(Parameters!$F$6=Parameters!$E$16)*Parameters!$I$6*ISNUMBER(Q47)+(Parameters!$F$7=Parameters!$E$16)*Parameters!$I$7*ISNUMBER(R47)+(Parameters!$F$8=Parameters!$E$16)*Parameters!$I$8*ISNUMBER(S47)+(Parameters!$F$9=Parameters!$E$16)*Parameters!$I$9*ISNUMBER(T47)+(Parameters!$F$10=Parameters!$E$16)*Parameters!$I$10*ISNUMBER(U47)+(Parameters!$F$11=Parameters!$E$16)*Parameters!$I$11*ISNUMBER(V47)+(Parameters!$F$12=Parameters!$E$16)*Parameters!$I$12*ISNUMBER(W47))&gt;0,((Parameters!$F$5=Parameters!$E$16)*Parameters!$I$5*ISNUMBER(P47)+(Parameters!$F$6=Parameters!$E$16)*Parameters!$I$6*ISNUMBER(Q47)+(Parameters!$F$7=Parameters!$E$16)*Parameters!$I$7*ISNUMBER(R47)+(Parameters!$F$8=Parameters!$E$16)*Parameters!$I$8*ISNUMBER(S47)+(Parameters!$F$9=Parameters!$E$16)*Parameters!$I$9*ISNUMBER(T47)+(Parameters!$F$10=Parameters!$E$16)*Parameters!$I$10*ISNUMBER(U47)+(Parameters!$F$11=Parameters!$E$16)*Parameters!$I$11*ISNUMBER(V47)+(Parameters!$F$12=Parameters!$E$16)*Parameters!$I$12*ISNUMBER(W47))/((Parameters!$F$5=Parameters!$E$16)*Parameters!$I$5*1+(Parameters!$F$6=Parameters!$E$16)*Parameters!$I$6*1+(Parameters!$F$7=Parameters!$E$16)*Parameters!$I$7*1+(Parameters!$F$8=Parameters!$E$16)*Parameters!$I$8*1+(Parameters!$F$9=Parameters!$E$16)*Parameters!$I$9*1+(Parameters!$F$10=Parameters!$E$16)*Parameters!$I$10*1+(Parameters!$F$11=Parameters!$E$16)*Parameters!$I$11*X47+(Parameters!$F$12=Parameters!$E$16)*Parameters!$I$12*Y47)&gt;=Parameters!$B$36),((Parameters!$F$5=Parameters!$E$16)*Parameters!$I$5*N(P47)+(Parameters!$F$6=Parameters!$E$16)*Parameters!$I$6*N(Q47)+(Parameters!$F$7=Parameters!$E$16)*Parameters!$I$7*N(R47)+(Parameters!$F$8=Parameters!$E$16)*Parameters!$I$8*N(S47)+(Parameters!$F$9=Parameters!$E$16)*Parameters!$I$9*N(T47)+(Parameters!$F$10=Parameters!$E$16)*Parameters!$I$10*N(U47)+(Parameters!$F$11=Parameters!$E$16)*Parameters!$I$11*N(V47)+(Parameters!$F$12=Parameters!$E$16)*Parameters!$I$12*N(W47))/((Parameters!$F$5=Parameters!$E$16)*Parameters!$I$5*ISNUMBER(P47)+(Parameters!$F$6=Parameters!$E$16)*Parameters!$I$6*ISNUMBER(Q47)+(Parameters!$F$7=Parameters!$E$16)*Parameters!$I$7*ISNUMBER(R47)+(Parameters!$F$8=Parameters!$E$16)*Parameters!$I$8*ISNUMBER(S47)+(Parameters!$F$9=Parameters!$E$16)*Parameters!$I$9*ISNUMBER(T47)+(Parameters!$F$10=Parameters!$E$16)*Parameters!$I$10*ISNUMBER(U47)+(Parameters!$F$11=Parameters!$E$16)*Parameters!$I$11*ISNUMBER(V47)+(Parameters!$F$12=Parameters!$E$16)*Parameters!$I$12*ISNUMBER(W47)),""))</f>
        <v>0.6</v>
      </c>
      <c r="AB47"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47+(Parameters!$F$12=Parameters!$E$17)*Parameters!$I$12*Y47)=0,"",IF(AND(((Parameters!$F$5=Parameters!$E$17)*Parameters!$I$5*ISNUMBER(P47)+(Parameters!$F$6=Parameters!$E$17)*Parameters!$I$6*ISNUMBER(Q47)+(Parameters!$F$7=Parameters!$E$17)*Parameters!$I$7*ISNUMBER(R47)+(Parameters!$F$8=Parameters!$E$17)*Parameters!$I$8*ISNUMBER(S47)+(Parameters!$F$9=Parameters!$E$17)*Parameters!$I$9*ISNUMBER(T47)+(Parameters!$F$10=Parameters!$E$17)*Parameters!$I$10*ISNUMBER(U47)+(Parameters!$F$11=Parameters!$E$17)*Parameters!$I$11*ISNUMBER(V47)+(Parameters!$F$12=Parameters!$E$17)*Parameters!$I$12*ISNUMBER(W47))&gt;0,((Parameters!$F$5=Parameters!$E$17)*Parameters!$I$5*ISNUMBER(P47)+(Parameters!$F$6=Parameters!$E$17)*Parameters!$I$6*ISNUMBER(Q47)+(Parameters!$F$7=Parameters!$E$17)*Parameters!$I$7*ISNUMBER(R47)+(Parameters!$F$8=Parameters!$E$17)*Parameters!$I$8*ISNUMBER(S47)+(Parameters!$F$9=Parameters!$E$17)*Parameters!$I$9*ISNUMBER(T47)+(Parameters!$F$10=Parameters!$E$17)*Parameters!$I$10*ISNUMBER(U47)+(Parameters!$F$11=Parameters!$E$17)*Parameters!$I$11*ISNUMBER(V47)+(Parameters!$F$12=Parameters!$E$17)*Parameters!$I$12*ISNUMBER(W47))/((Parameters!$F$5=Parameters!$E$17)*Parameters!$I$5*1+(Parameters!$F$6=Parameters!$E$17)*Parameters!$I$6*1+(Parameters!$F$7=Parameters!$E$17)*Parameters!$I$7*1+(Parameters!$F$8=Parameters!$E$17)*Parameters!$I$8*1+(Parameters!$F$9=Parameters!$E$17)*Parameters!$I$9*1+(Parameters!$F$10=Parameters!$E$17)*Parameters!$I$10*1+(Parameters!$F$11=Parameters!$E$17)*Parameters!$I$11*X47+(Parameters!$F$12=Parameters!$E$17)*Parameters!$I$12*Y47)&gt;=Parameters!$B$36),((Parameters!$F$5=Parameters!$E$17)*Parameters!$I$5*N(P47)+(Parameters!$F$6=Parameters!$E$17)*Parameters!$I$6*N(Q47)+(Parameters!$F$7=Parameters!$E$17)*Parameters!$I$7*N(R47)+(Parameters!$F$8=Parameters!$E$17)*Parameters!$I$8*N(S47)+(Parameters!$F$9=Parameters!$E$17)*Parameters!$I$9*N(T47)+(Parameters!$F$10=Parameters!$E$17)*Parameters!$I$10*N(U47)+(Parameters!$F$11=Parameters!$E$17)*Parameters!$I$11*N(V47)+(Parameters!$F$12=Parameters!$E$17)*Parameters!$I$12*N(W47))/((Parameters!$F$5=Parameters!$E$17)*Parameters!$I$5*ISNUMBER(P47)+(Parameters!$F$6=Parameters!$E$17)*Parameters!$I$6*ISNUMBER(Q47)+(Parameters!$F$7=Parameters!$E$17)*Parameters!$I$7*ISNUMBER(R47)+(Parameters!$F$8=Parameters!$E$17)*Parameters!$I$8*ISNUMBER(S47)+(Parameters!$F$9=Parameters!$E$17)*Parameters!$I$9*ISNUMBER(T47)+(Parameters!$F$10=Parameters!$E$17)*Parameters!$I$10*ISNUMBER(U47)+(Parameters!$F$11=Parameters!$E$17)*Parameters!$I$11*ISNUMBER(V47)+(Parameters!$F$12=Parameters!$E$17)*Parameters!$I$12*ISNUMBER(W47)),""))</f>
        <v>1</v>
      </c>
      <c r="AC47" s="17" t="n">
        <f aca="false">Parameters!$I$5*ISNUMBER(P47)+Parameters!$I$6*ISNUMBER(Q47)+Parameters!$I$7*ISNUMBER(R47)+Parameters!$I$8*ISNUMBER(S47)+Parameters!$I$9*ISNUMBER(T47)+Parameters!$I$10*ISNUMBER(U47)+Parameters!$I$11*ISNUMBER(V47)+Parameters!$I$12*ISNUMBER(W47)</f>
        <v>85</v>
      </c>
      <c r="AD47" s="17" t="n">
        <f aca="false">Parameters!$I$5*1+Parameters!$I$6*1+Parameters!$I$7*1+Parameters!$I$8*1+Parameters!$I$9*1+Parameters!$I$10*1+Parameters!$I$11*X47+Parameters!$I$12*Y47</f>
        <v>85</v>
      </c>
      <c r="AE47" s="18" t="n">
        <f aca="false">IF(AD47=0,"",AC47/AD47)</f>
        <v>1</v>
      </c>
      <c r="AF47" s="17" t="str">
        <f aca="false">IF(ISNUMBER(Z47),"M","")&amp;IF(ISNUMBER(AA47),"I","")&amp;IF(ISNUMBER(AB47),"O","")</f>
        <v>MIO</v>
      </c>
      <c r="AG47" s="19" t="n">
        <f aca="false">IF(AND(ISNUMBER(AE47),ISNUMBER(Z47)+ISNUMBER(AA47)+ISNUMBER(AB47)&gt;=Parameters!$B$37),IF(AE47&gt;=Parameters!$B$35,100*(Parameters!$F$15*N(Z47)+Parameters!$F$16*N(AA47)+Parameters!$F$17*N(AB47))/(Parameters!$F$15*ISNUMBER(Z47)+Parameters!$F$16*ISNUMBER(AA47)+Parameters!$F$17*ISNUMBER(AB47)),""),"")</f>
        <v>84.6666666666667</v>
      </c>
      <c r="AH47" s="17" t="n">
        <f aca="false">IF(ISNUMBER(AG47),RANK(AG47,$AG$2:$AG$113),"")</f>
        <v>62</v>
      </c>
    </row>
    <row r="48" customFormat="false" ht="15" hidden="false" customHeight="false" outlineLevel="0" collapsed="false">
      <c r="A48" s="5" t="s">
        <v>301</v>
      </c>
      <c r="B48" s="5" t="s">
        <v>282</v>
      </c>
      <c r="C48" s="5" t="s">
        <v>261</v>
      </c>
      <c r="D48" s="5" t="s">
        <v>31</v>
      </c>
      <c r="E48" s="5" t="s">
        <v>44</v>
      </c>
      <c r="F48" s="5" t="s">
        <v>161</v>
      </c>
      <c r="G48" s="15"/>
      <c r="H48" s="8"/>
      <c r="I48" s="5" t="s">
        <v>57</v>
      </c>
      <c r="J48" s="5" t="s">
        <v>70</v>
      </c>
      <c r="K48" s="15"/>
      <c r="L48" s="5" t="s">
        <v>157</v>
      </c>
      <c r="M48" s="5" t="s">
        <v>157</v>
      </c>
      <c r="N48" s="5" t="s">
        <v>142</v>
      </c>
      <c r="O48" s="5" t="s">
        <v>71</v>
      </c>
      <c r="P48" s="16" t="n">
        <f aca="false">IFERROR(IF(ISNUMBER(INDEX(Parameters!$B$5:$B$23,MATCH(D48,Parameters!$A$5:$A$23,0))),INDEX(Parameters!$B$5:$B$23,MATCH(D48,Parameters!$A$5:$A$23,0)),""),"")</f>
        <v>1</v>
      </c>
      <c r="Q48" s="16" t="n">
        <f aca="false">IFERROR(IF(ISNUMBER(INDEX(Parameters!$B$5:$B$23,MATCH(E48,Parameters!$A$5:$A$23,0))),INDEX(Parameters!$B$5:$B$23,MATCH(E48,Parameters!$A$5:$A$23,0)),""),"")</f>
        <v>1</v>
      </c>
      <c r="R48" s="16" t="n">
        <f aca="false">IF(F48="","",IFERROR(MIN(Parameters!$B$33,MAX(0,Parameters!$B$32-VALUE(LEFT(F48,4))))/Parameters!$B$33,""))</f>
        <v>1</v>
      </c>
      <c r="S48" s="16" t="str">
        <f aca="false">IF(ISNUMBER(H48),H48,IF(G48="",IF(ISNUMBER(Parameters!$B$34),Parameters!$B$34,""),""))</f>
        <v/>
      </c>
      <c r="T48" s="16" t="n">
        <f aca="false">IFERROR(IF(ISNUMBER(INDEX(Parameters!$B$5:$B$23,MATCH(I48,Parameters!$A$5:$A$23,0))),INDEX(Parameters!$B$5:$B$23,MATCH(I48,Parameters!$A$5:$A$23,0)),""),"")</f>
        <v>0</v>
      </c>
      <c r="U48" s="16" t="str">
        <f aca="false">IFERROR(IF(ISNUMBER(INDEX(Parameters!$B$5:$B$23,MATCH(L48,Parameters!$A$5:$A$23,0))),INDEX(Parameters!$B$5:$B$23,MATCH(L48,Parameters!$A$5:$A$23,0)),""),"")</f>
        <v/>
      </c>
      <c r="V48" s="16" t="n">
        <f aca="false">IFERROR(IF(ISNUMBER(INDEX(Parameters!$B$5:$B$23,MATCH(J48,Parameters!$A$5:$A$23,0))),INDEX(Parameters!$B$5:$B$23,MATCH(J48,Parameters!$A$5:$A$23,0)),""),"")</f>
        <v>1</v>
      </c>
      <c r="W48" s="16" t="n">
        <f aca="false">IF(K48&lt;&gt;"",1,IF(COUNTIF(Parameters!$A$27:$A$28,J48)&gt;0,0,""))</f>
        <v>0</v>
      </c>
      <c r="X48" s="17" t="n">
        <f aca="false">IF(J48="Not applicable",0,1)</f>
        <v>1</v>
      </c>
      <c r="Y48" s="17" t="n">
        <f aca="false">IF(OR(K48&lt;&gt;"",COUNTIF(Parameters!$A$27:$A$28,J48)&gt;0),1,0)</f>
        <v>1</v>
      </c>
      <c r="Z48"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48+(Parameters!$F$12=Parameters!$E$15)*Parameters!$I$12*Y48)=0,"",IF(AND(((Parameters!$F$5=Parameters!$E$15)*Parameters!$I$5*ISNUMBER(P48)+(Parameters!$F$6=Parameters!$E$15)*Parameters!$I$6*ISNUMBER(Q48)+(Parameters!$F$7=Parameters!$E$15)*Parameters!$I$7*ISNUMBER(R48)+(Parameters!$F$8=Parameters!$E$15)*Parameters!$I$8*ISNUMBER(S48)+(Parameters!$F$9=Parameters!$E$15)*Parameters!$I$9*ISNUMBER(T48)+(Parameters!$F$10=Parameters!$E$15)*Parameters!$I$10*ISNUMBER(U48)+(Parameters!$F$11=Parameters!$E$15)*Parameters!$I$11*ISNUMBER(V48)+(Parameters!$F$12=Parameters!$E$15)*Parameters!$I$12*ISNUMBER(W48))&gt;0,((Parameters!$F$5=Parameters!$E$15)*Parameters!$I$5*ISNUMBER(P48)+(Parameters!$F$6=Parameters!$E$15)*Parameters!$I$6*ISNUMBER(Q48)+(Parameters!$F$7=Parameters!$E$15)*Parameters!$I$7*ISNUMBER(R48)+(Parameters!$F$8=Parameters!$E$15)*Parameters!$I$8*ISNUMBER(S48)+(Parameters!$F$9=Parameters!$E$15)*Parameters!$I$9*ISNUMBER(T48)+(Parameters!$F$10=Parameters!$E$15)*Parameters!$I$10*ISNUMBER(U48)+(Parameters!$F$11=Parameters!$E$15)*Parameters!$I$11*ISNUMBER(V48)+(Parameters!$F$12=Parameters!$E$15)*Parameters!$I$12*ISNUMBER(W48))/((Parameters!$F$5=Parameters!$E$15)*Parameters!$I$5*1+(Parameters!$F$6=Parameters!$E$15)*Parameters!$I$6*1+(Parameters!$F$7=Parameters!$E$15)*Parameters!$I$7*1+(Parameters!$F$8=Parameters!$E$15)*Parameters!$I$8*1+(Parameters!$F$9=Parameters!$E$15)*Parameters!$I$9*1+(Parameters!$F$10=Parameters!$E$15)*Parameters!$I$10*1+(Parameters!$F$11=Parameters!$E$15)*Parameters!$I$11*X48+(Parameters!$F$12=Parameters!$E$15)*Parameters!$I$12*Y48)&gt;=Parameters!$B$36),((Parameters!$F$5=Parameters!$E$15)*Parameters!$I$5*N(P48)+(Parameters!$F$6=Parameters!$E$15)*Parameters!$I$6*N(Q48)+(Parameters!$F$7=Parameters!$E$15)*Parameters!$I$7*N(R48)+(Parameters!$F$8=Parameters!$E$15)*Parameters!$I$8*N(S48)+(Parameters!$F$9=Parameters!$E$15)*Parameters!$I$9*N(T48)+(Parameters!$F$10=Parameters!$E$15)*Parameters!$I$10*N(U48)+(Parameters!$F$11=Parameters!$E$15)*Parameters!$I$11*N(V48)+(Parameters!$F$12=Parameters!$E$15)*Parameters!$I$12*N(W48))/((Parameters!$F$5=Parameters!$E$15)*Parameters!$I$5*ISNUMBER(P48)+(Parameters!$F$6=Parameters!$E$15)*Parameters!$I$6*ISNUMBER(Q48)+(Parameters!$F$7=Parameters!$E$15)*Parameters!$I$7*ISNUMBER(R48)+(Parameters!$F$8=Parameters!$E$15)*Parameters!$I$8*ISNUMBER(S48)+(Parameters!$F$9=Parameters!$E$15)*Parameters!$I$9*ISNUMBER(T48)+(Parameters!$F$10=Parameters!$E$15)*Parameters!$I$10*ISNUMBER(U48)+(Parameters!$F$11=Parameters!$E$15)*Parameters!$I$11*ISNUMBER(V48)+(Parameters!$F$12=Parameters!$E$15)*Parameters!$I$12*ISNUMBER(W48)),""))</f>
        <v>1</v>
      </c>
      <c r="AA48" s="16" t="str">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48+(Parameters!$F$12=Parameters!$E$16)*Parameters!$I$12*Y48)=0,"",IF(AND(((Parameters!$F$5=Parameters!$E$16)*Parameters!$I$5*ISNUMBER(P48)+(Parameters!$F$6=Parameters!$E$16)*Parameters!$I$6*ISNUMBER(Q48)+(Parameters!$F$7=Parameters!$E$16)*Parameters!$I$7*ISNUMBER(R48)+(Parameters!$F$8=Parameters!$E$16)*Parameters!$I$8*ISNUMBER(S48)+(Parameters!$F$9=Parameters!$E$16)*Parameters!$I$9*ISNUMBER(T48)+(Parameters!$F$10=Parameters!$E$16)*Parameters!$I$10*ISNUMBER(U48)+(Parameters!$F$11=Parameters!$E$16)*Parameters!$I$11*ISNUMBER(V48)+(Parameters!$F$12=Parameters!$E$16)*Parameters!$I$12*ISNUMBER(W48))&gt;0,((Parameters!$F$5=Parameters!$E$16)*Parameters!$I$5*ISNUMBER(P48)+(Parameters!$F$6=Parameters!$E$16)*Parameters!$I$6*ISNUMBER(Q48)+(Parameters!$F$7=Parameters!$E$16)*Parameters!$I$7*ISNUMBER(R48)+(Parameters!$F$8=Parameters!$E$16)*Parameters!$I$8*ISNUMBER(S48)+(Parameters!$F$9=Parameters!$E$16)*Parameters!$I$9*ISNUMBER(T48)+(Parameters!$F$10=Parameters!$E$16)*Parameters!$I$10*ISNUMBER(U48)+(Parameters!$F$11=Parameters!$E$16)*Parameters!$I$11*ISNUMBER(V48)+(Parameters!$F$12=Parameters!$E$16)*Parameters!$I$12*ISNUMBER(W48))/((Parameters!$F$5=Parameters!$E$16)*Parameters!$I$5*1+(Parameters!$F$6=Parameters!$E$16)*Parameters!$I$6*1+(Parameters!$F$7=Parameters!$E$16)*Parameters!$I$7*1+(Parameters!$F$8=Parameters!$E$16)*Parameters!$I$8*1+(Parameters!$F$9=Parameters!$E$16)*Parameters!$I$9*1+(Parameters!$F$10=Parameters!$E$16)*Parameters!$I$10*1+(Parameters!$F$11=Parameters!$E$16)*Parameters!$I$11*X48+(Parameters!$F$12=Parameters!$E$16)*Parameters!$I$12*Y48)&gt;=Parameters!$B$36),((Parameters!$F$5=Parameters!$E$16)*Parameters!$I$5*N(P48)+(Parameters!$F$6=Parameters!$E$16)*Parameters!$I$6*N(Q48)+(Parameters!$F$7=Parameters!$E$16)*Parameters!$I$7*N(R48)+(Parameters!$F$8=Parameters!$E$16)*Parameters!$I$8*N(S48)+(Parameters!$F$9=Parameters!$E$16)*Parameters!$I$9*N(T48)+(Parameters!$F$10=Parameters!$E$16)*Parameters!$I$10*N(U48)+(Parameters!$F$11=Parameters!$E$16)*Parameters!$I$11*N(V48)+(Parameters!$F$12=Parameters!$E$16)*Parameters!$I$12*N(W48))/((Parameters!$F$5=Parameters!$E$16)*Parameters!$I$5*ISNUMBER(P48)+(Parameters!$F$6=Parameters!$E$16)*Parameters!$I$6*ISNUMBER(Q48)+(Parameters!$F$7=Parameters!$E$16)*Parameters!$I$7*ISNUMBER(R48)+(Parameters!$F$8=Parameters!$E$16)*Parameters!$I$8*ISNUMBER(S48)+(Parameters!$F$9=Parameters!$E$16)*Parameters!$I$9*ISNUMBER(T48)+(Parameters!$F$10=Parameters!$E$16)*Parameters!$I$10*ISNUMBER(U48)+(Parameters!$F$11=Parameters!$E$16)*Parameters!$I$11*ISNUMBER(V48)+(Parameters!$F$12=Parameters!$E$16)*Parameters!$I$12*ISNUMBER(W48)),""))</f>
        <v/>
      </c>
      <c r="AB48"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48+(Parameters!$F$12=Parameters!$E$17)*Parameters!$I$12*Y48)=0,"",IF(AND(((Parameters!$F$5=Parameters!$E$17)*Parameters!$I$5*ISNUMBER(P48)+(Parameters!$F$6=Parameters!$E$17)*Parameters!$I$6*ISNUMBER(Q48)+(Parameters!$F$7=Parameters!$E$17)*Parameters!$I$7*ISNUMBER(R48)+(Parameters!$F$8=Parameters!$E$17)*Parameters!$I$8*ISNUMBER(S48)+(Parameters!$F$9=Parameters!$E$17)*Parameters!$I$9*ISNUMBER(T48)+(Parameters!$F$10=Parameters!$E$17)*Parameters!$I$10*ISNUMBER(U48)+(Parameters!$F$11=Parameters!$E$17)*Parameters!$I$11*ISNUMBER(V48)+(Parameters!$F$12=Parameters!$E$17)*Parameters!$I$12*ISNUMBER(W48))&gt;0,((Parameters!$F$5=Parameters!$E$17)*Parameters!$I$5*ISNUMBER(P48)+(Parameters!$F$6=Parameters!$E$17)*Parameters!$I$6*ISNUMBER(Q48)+(Parameters!$F$7=Parameters!$E$17)*Parameters!$I$7*ISNUMBER(R48)+(Parameters!$F$8=Parameters!$E$17)*Parameters!$I$8*ISNUMBER(S48)+(Parameters!$F$9=Parameters!$E$17)*Parameters!$I$9*ISNUMBER(T48)+(Parameters!$F$10=Parameters!$E$17)*Parameters!$I$10*ISNUMBER(U48)+(Parameters!$F$11=Parameters!$E$17)*Parameters!$I$11*ISNUMBER(V48)+(Parameters!$F$12=Parameters!$E$17)*Parameters!$I$12*ISNUMBER(W48))/((Parameters!$F$5=Parameters!$E$17)*Parameters!$I$5*1+(Parameters!$F$6=Parameters!$E$17)*Parameters!$I$6*1+(Parameters!$F$7=Parameters!$E$17)*Parameters!$I$7*1+(Parameters!$F$8=Parameters!$E$17)*Parameters!$I$8*1+(Parameters!$F$9=Parameters!$E$17)*Parameters!$I$9*1+(Parameters!$F$10=Parameters!$E$17)*Parameters!$I$10*1+(Parameters!$F$11=Parameters!$E$17)*Parameters!$I$11*X48+(Parameters!$F$12=Parameters!$E$17)*Parameters!$I$12*Y48)&gt;=Parameters!$B$36),((Parameters!$F$5=Parameters!$E$17)*Parameters!$I$5*N(P48)+(Parameters!$F$6=Parameters!$E$17)*Parameters!$I$6*N(Q48)+(Parameters!$F$7=Parameters!$E$17)*Parameters!$I$7*N(R48)+(Parameters!$F$8=Parameters!$E$17)*Parameters!$I$8*N(S48)+(Parameters!$F$9=Parameters!$E$17)*Parameters!$I$9*N(T48)+(Parameters!$F$10=Parameters!$E$17)*Parameters!$I$10*N(U48)+(Parameters!$F$11=Parameters!$E$17)*Parameters!$I$11*N(V48)+(Parameters!$F$12=Parameters!$E$17)*Parameters!$I$12*N(W48))/((Parameters!$F$5=Parameters!$E$17)*Parameters!$I$5*ISNUMBER(P48)+(Parameters!$F$6=Parameters!$E$17)*Parameters!$I$6*ISNUMBER(Q48)+(Parameters!$F$7=Parameters!$E$17)*Parameters!$I$7*ISNUMBER(R48)+(Parameters!$F$8=Parameters!$E$17)*Parameters!$I$8*ISNUMBER(S48)+(Parameters!$F$9=Parameters!$E$17)*Parameters!$I$9*ISNUMBER(T48)+(Parameters!$F$10=Parameters!$E$17)*Parameters!$I$10*ISNUMBER(U48)+(Parameters!$F$11=Parameters!$E$17)*Parameters!$I$11*ISNUMBER(V48)+(Parameters!$F$12=Parameters!$E$17)*Parameters!$I$12*ISNUMBER(W48)),""))</f>
        <v>0.5</v>
      </c>
      <c r="AC48" s="17" t="n">
        <f aca="false">Parameters!$I$5*ISNUMBER(P48)+Parameters!$I$6*ISNUMBER(Q48)+Parameters!$I$7*ISNUMBER(R48)+Parameters!$I$8*ISNUMBER(S48)+Parameters!$I$9*ISNUMBER(T48)+Parameters!$I$10*ISNUMBER(U48)+Parameters!$I$11*ISNUMBER(V48)+Parameters!$I$12*ISNUMBER(W48)</f>
        <v>75</v>
      </c>
      <c r="AD48" s="17" t="n">
        <f aca="false">Parameters!$I$5*1+Parameters!$I$6*1+Parameters!$I$7*1+Parameters!$I$8*1+Parameters!$I$9*1+Parameters!$I$10*1+Parameters!$I$11*X48+Parameters!$I$12*Y48</f>
        <v>95</v>
      </c>
      <c r="AE48" s="18" t="n">
        <f aca="false">IF(AD48=0,"",AC48/AD48)</f>
        <v>0.789473684210526</v>
      </c>
      <c r="AF48" s="17" t="str">
        <f aca="false">IF(ISNUMBER(Z48),"M","")&amp;IF(ISNUMBER(AA48),"I","")&amp;IF(ISNUMBER(AB48),"O","")</f>
        <v>MO</v>
      </c>
      <c r="AG48" s="19" t="n">
        <f aca="false">IF(AND(ISNUMBER(AE48),ISNUMBER(Z48)+ISNUMBER(AA48)+ISNUMBER(AB48)&gt;=Parameters!$B$37),IF(AE48&gt;=Parameters!$B$35,100*(Parameters!$F$15*N(Z48)+Parameters!$F$16*N(AA48)+Parameters!$F$17*N(AB48))/(Parameters!$F$15*ISNUMBER(Z48)+Parameters!$F$16*ISNUMBER(AA48)+Parameters!$F$17*ISNUMBER(AB48)),""),"")</f>
        <v>85.7142857142857</v>
      </c>
      <c r="AH48" s="17" t="n">
        <f aca="false">IF(ISNUMBER(AG48),RANK(AG48,$AG$2:$AG$113),"")</f>
        <v>56</v>
      </c>
    </row>
    <row r="49" customFormat="false" ht="15" hidden="false" customHeight="false" outlineLevel="0" collapsed="false">
      <c r="A49" s="5" t="s">
        <v>302</v>
      </c>
      <c r="B49" s="5" t="s">
        <v>303</v>
      </c>
      <c r="C49" s="5" t="s">
        <v>194</v>
      </c>
      <c r="D49" s="5" t="s">
        <v>31</v>
      </c>
      <c r="E49" s="5" t="s">
        <v>44</v>
      </c>
      <c r="F49" s="5" t="s">
        <v>227</v>
      </c>
      <c r="G49" s="15" t="s">
        <v>163</v>
      </c>
      <c r="H49" s="8" t="n">
        <v>1</v>
      </c>
      <c r="I49" s="5" t="s">
        <v>57</v>
      </c>
      <c r="J49" s="5" t="s">
        <v>74</v>
      </c>
      <c r="K49" s="15"/>
      <c r="L49" s="5" t="s">
        <v>76</v>
      </c>
      <c r="M49" s="5" t="s">
        <v>157</v>
      </c>
      <c r="N49" s="5" t="s">
        <v>173</v>
      </c>
      <c r="O49" s="5"/>
      <c r="P49" s="16" t="n">
        <f aca="false">IFERROR(IF(ISNUMBER(INDEX(Parameters!$B$5:$B$23,MATCH(D49,Parameters!$A$5:$A$23,0))),INDEX(Parameters!$B$5:$B$23,MATCH(D49,Parameters!$A$5:$A$23,0)),""),"")</f>
        <v>1</v>
      </c>
      <c r="Q49" s="16" t="n">
        <f aca="false">IFERROR(IF(ISNUMBER(INDEX(Parameters!$B$5:$B$23,MATCH(E49,Parameters!$A$5:$A$23,0))),INDEX(Parameters!$B$5:$B$23,MATCH(E49,Parameters!$A$5:$A$23,0)),""),"")</f>
        <v>1</v>
      </c>
      <c r="R49" s="16" t="n">
        <f aca="false">IF(F49="","",IFERROR(MIN(Parameters!$B$33,MAX(0,Parameters!$B$32-VALUE(LEFT(F49,4))))/Parameters!$B$33,""))</f>
        <v>1</v>
      </c>
      <c r="S49" s="16" t="n">
        <f aca="false">IF(ISNUMBER(H49),H49,IF(G49="",IF(ISNUMBER(Parameters!$B$34),Parameters!$B$34,""),""))</f>
        <v>1</v>
      </c>
      <c r="T49" s="16" t="n">
        <f aca="false">IFERROR(IF(ISNUMBER(INDEX(Parameters!$B$5:$B$23,MATCH(I49,Parameters!$A$5:$A$23,0))),INDEX(Parameters!$B$5:$B$23,MATCH(I49,Parameters!$A$5:$A$23,0)),""),"")</f>
        <v>0</v>
      </c>
      <c r="U49" s="16" t="n">
        <f aca="false">IFERROR(IF(ISNUMBER(INDEX(Parameters!$B$5:$B$23,MATCH(L49,Parameters!$A$5:$A$23,0))),INDEX(Parameters!$B$5:$B$23,MATCH(L49,Parameters!$A$5:$A$23,0)),""),"")</f>
        <v>1</v>
      </c>
      <c r="V49" s="16" t="str">
        <f aca="false">IFERROR(IF(ISNUMBER(INDEX(Parameters!$B$5:$B$23,MATCH(J49,Parameters!$A$5:$A$23,0))),INDEX(Parameters!$B$5:$B$23,MATCH(J49,Parameters!$A$5:$A$23,0)),""),"")</f>
        <v/>
      </c>
      <c r="W49" s="16" t="str">
        <f aca="false">IF(K49&lt;&gt;"",1,IF(COUNTIF(Parameters!$A$27:$A$28,J49)&gt;0,0,""))</f>
        <v/>
      </c>
      <c r="X49" s="17" t="n">
        <f aca="false">IF(J49="Not applicable",0,1)</f>
        <v>0</v>
      </c>
      <c r="Y49" s="17" t="n">
        <f aca="false">IF(OR(K49&lt;&gt;"",COUNTIF(Parameters!$A$27:$A$28,J49)&gt;0),1,0)</f>
        <v>0</v>
      </c>
      <c r="Z49"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49+(Parameters!$F$12=Parameters!$E$15)*Parameters!$I$12*Y49)=0,"",IF(AND(((Parameters!$F$5=Parameters!$E$15)*Parameters!$I$5*ISNUMBER(P49)+(Parameters!$F$6=Parameters!$E$15)*Parameters!$I$6*ISNUMBER(Q49)+(Parameters!$F$7=Parameters!$E$15)*Parameters!$I$7*ISNUMBER(R49)+(Parameters!$F$8=Parameters!$E$15)*Parameters!$I$8*ISNUMBER(S49)+(Parameters!$F$9=Parameters!$E$15)*Parameters!$I$9*ISNUMBER(T49)+(Parameters!$F$10=Parameters!$E$15)*Parameters!$I$10*ISNUMBER(U49)+(Parameters!$F$11=Parameters!$E$15)*Parameters!$I$11*ISNUMBER(V49)+(Parameters!$F$12=Parameters!$E$15)*Parameters!$I$12*ISNUMBER(W49))&gt;0,((Parameters!$F$5=Parameters!$E$15)*Parameters!$I$5*ISNUMBER(P49)+(Parameters!$F$6=Parameters!$E$15)*Parameters!$I$6*ISNUMBER(Q49)+(Parameters!$F$7=Parameters!$E$15)*Parameters!$I$7*ISNUMBER(R49)+(Parameters!$F$8=Parameters!$E$15)*Parameters!$I$8*ISNUMBER(S49)+(Parameters!$F$9=Parameters!$E$15)*Parameters!$I$9*ISNUMBER(T49)+(Parameters!$F$10=Parameters!$E$15)*Parameters!$I$10*ISNUMBER(U49)+(Parameters!$F$11=Parameters!$E$15)*Parameters!$I$11*ISNUMBER(V49)+(Parameters!$F$12=Parameters!$E$15)*Parameters!$I$12*ISNUMBER(W49))/((Parameters!$F$5=Parameters!$E$15)*Parameters!$I$5*1+(Parameters!$F$6=Parameters!$E$15)*Parameters!$I$6*1+(Parameters!$F$7=Parameters!$E$15)*Parameters!$I$7*1+(Parameters!$F$8=Parameters!$E$15)*Parameters!$I$8*1+(Parameters!$F$9=Parameters!$E$15)*Parameters!$I$9*1+(Parameters!$F$10=Parameters!$E$15)*Parameters!$I$10*1+(Parameters!$F$11=Parameters!$E$15)*Parameters!$I$11*X49+(Parameters!$F$12=Parameters!$E$15)*Parameters!$I$12*Y49)&gt;=Parameters!$B$36),((Parameters!$F$5=Parameters!$E$15)*Parameters!$I$5*N(P49)+(Parameters!$F$6=Parameters!$E$15)*Parameters!$I$6*N(Q49)+(Parameters!$F$7=Parameters!$E$15)*Parameters!$I$7*N(R49)+(Parameters!$F$8=Parameters!$E$15)*Parameters!$I$8*N(S49)+(Parameters!$F$9=Parameters!$E$15)*Parameters!$I$9*N(T49)+(Parameters!$F$10=Parameters!$E$15)*Parameters!$I$10*N(U49)+(Parameters!$F$11=Parameters!$E$15)*Parameters!$I$11*N(V49)+(Parameters!$F$12=Parameters!$E$15)*Parameters!$I$12*N(W49))/((Parameters!$F$5=Parameters!$E$15)*Parameters!$I$5*ISNUMBER(P49)+(Parameters!$F$6=Parameters!$E$15)*Parameters!$I$6*ISNUMBER(Q49)+(Parameters!$F$7=Parameters!$E$15)*Parameters!$I$7*ISNUMBER(R49)+(Parameters!$F$8=Parameters!$E$15)*Parameters!$I$8*ISNUMBER(S49)+(Parameters!$F$9=Parameters!$E$15)*Parameters!$I$9*ISNUMBER(T49)+(Parameters!$F$10=Parameters!$E$15)*Parameters!$I$10*ISNUMBER(U49)+(Parameters!$F$11=Parameters!$E$15)*Parameters!$I$11*ISNUMBER(V49)+(Parameters!$F$12=Parameters!$E$15)*Parameters!$I$12*ISNUMBER(W49)),""))</f>
        <v>1</v>
      </c>
      <c r="AA49"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49+(Parameters!$F$12=Parameters!$E$16)*Parameters!$I$12*Y49)=0,"",IF(AND(((Parameters!$F$5=Parameters!$E$16)*Parameters!$I$5*ISNUMBER(P49)+(Parameters!$F$6=Parameters!$E$16)*Parameters!$I$6*ISNUMBER(Q49)+(Parameters!$F$7=Parameters!$E$16)*Parameters!$I$7*ISNUMBER(R49)+(Parameters!$F$8=Parameters!$E$16)*Parameters!$I$8*ISNUMBER(S49)+(Parameters!$F$9=Parameters!$E$16)*Parameters!$I$9*ISNUMBER(T49)+(Parameters!$F$10=Parameters!$E$16)*Parameters!$I$10*ISNUMBER(U49)+(Parameters!$F$11=Parameters!$E$16)*Parameters!$I$11*ISNUMBER(V49)+(Parameters!$F$12=Parameters!$E$16)*Parameters!$I$12*ISNUMBER(W49))&gt;0,((Parameters!$F$5=Parameters!$E$16)*Parameters!$I$5*ISNUMBER(P49)+(Parameters!$F$6=Parameters!$E$16)*Parameters!$I$6*ISNUMBER(Q49)+(Parameters!$F$7=Parameters!$E$16)*Parameters!$I$7*ISNUMBER(R49)+(Parameters!$F$8=Parameters!$E$16)*Parameters!$I$8*ISNUMBER(S49)+(Parameters!$F$9=Parameters!$E$16)*Parameters!$I$9*ISNUMBER(T49)+(Parameters!$F$10=Parameters!$E$16)*Parameters!$I$10*ISNUMBER(U49)+(Parameters!$F$11=Parameters!$E$16)*Parameters!$I$11*ISNUMBER(V49)+(Parameters!$F$12=Parameters!$E$16)*Parameters!$I$12*ISNUMBER(W49))/((Parameters!$F$5=Parameters!$E$16)*Parameters!$I$5*1+(Parameters!$F$6=Parameters!$E$16)*Parameters!$I$6*1+(Parameters!$F$7=Parameters!$E$16)*Parameters!$I$7*1+(Parameters!$F$8=Parameters!$E$16)*Parameters!$I$8*1+(Parameters!$F$9=Parameters!$E$16)*Parameters!$I$9*1+(Parameters!$F$10=Parameters!$E$16)*Parameters!$I$10*1+(Parameters!$F$11=Parameters!$E$16)*Parameters!$I$11*X49+(Parameters!$F$12=Parameters!$E$16)*Parameters!$I$12*Y49)&gt;=Parameters!$B$36),((Parameters!$F$5=Parameters!$E$16)*Parameters!$I$5*N(P49)+(Parameters!$F$6=Parameters!$E$16)*Parameters!$I$6*N(Q49)+(Parameters!$F$7=Parameters!$E$16)*Parameters!$I$7*N(R49)+(Parameters!$F$8=Parameters!$E$16)*Parameters!$I$8*N(S49)+(Parameters!$F$9=Parameters!$E$16)*Parameters!$I$9*N(T49)+(Parameters!$F$10=Parameters!$E$16)*Parameters!$I$10*N(U49)+(Parameters!$F$11=Parameters!$E$16)*Parameters!$I$11*N(V49)+(Parameters!$F$12=Parameters!$E$16)*Parameters!$I$12*N(W49))/((Parameters!$F$5=Parameters!$E$16)*Parameters!$I$5*ISNUMBER(P49)+(Parameters!$F$6=Parameters!$E$16)*Parameters!$I$6*ISNUMBER(Q49)+(Parameters!$F$7=Parameters!$E$16)*Parameters!$I$7*ISNUMBER(R49)+(Parameters!$F$8=Parameters!$E$16)*Parameters!$I$8*ISNUMBER(S49)+(Parameters!$F$9=Parameters!$E$16)*Parameters!$I$9*ISNUMBER(T49)+(Parameters!$F$10=Parameters!$E$16)*Parameters!$I$10*ISNUMBER(U49)+(Parameters!$F$11=Parameters!$E$16)*Parameters!$I$11*ISNUMBER(V49)+(Parameters!$F$12=Parameters!$E$16)*Parameters!$I$12*ISNUMBER(W49)),""))</f>
        <v>0.8</v>
      </c>
      <c r="AB49"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49+(Parameters!$F$12=Parameters!$E$17)*Parameters!$I$12*Y49)=0,"",IF(AND(((Parameters!$F$5=Parameters!$E$17)*Parameters!$I$5*ISNUMBER(P49)+(Parameters!$F$6=Parameters!$E$17)*Parameters!$I$6*ISNUMBER(Q49)+(Parameters!$F$7=Parameters!$E$17)*Parameters!$I$7*ISNUMBER(R49)+(Parameters!$F$8=Parameters!$E$17)*Parameters!$I$8*ISNUMBER(S49)+(Parameters!$F$9=Parameters!$E$17)*Parameters!$I$9*ISNUMBER(T49)+(Parameters!$F$10=Parameters!$E$17)*Parameters!$I$10*ISNUMBER(U49)+(Parameters!$F$11=Parameters!$E$17)*Parameters!$I$11*ISNUMBER(V49)+(Parameters!$F$12=Parameters!$E$17)*Parameters!$I$12*ISNUMBER(W49))&gt;0,((Parameters!$F$5=Parameters!$E$17)*Parameters!$I$5*ISNUMBER(P49)+(Parameters!$F$6=Parameters!$E$17)*Parameters!$I$6*ISNUMBER(Q49)+(Parameters!$F$7=Parameters!$E$17)*Parameters!$I$7*ISNUMBER(R49)+(Parameters!$F$8=Parameters!$E$17)*Parameters!$I$8*ISNUMBER(S49)+(Parameters!$F$9=Parameters!$E$17)*Parameters!$I$9*ISNUMBER(T49)+(Parameters!$F$10=Parameters!$E$17)*Parameters!$I$10*ISNUMBER(U49)+(Parameters!$F$11=Parameters!$E$17)*Parameters!$I$11*ISNUMBER(V49)+(Parameters!$F$12=Parameters!$E$17)*Parameters!$I$12*ISNUMBER(W49))/((Parameters!$F$5=Parameters!$E$17)*Parameters!$I$5*1+(Parameters!$F$6=Parameters!$E$17)*Parameters!$I$6*1+(Parameters!$F$7=Parameters!$E$17)*Parameters!$I$7*1+(Parameters!$F$8=Parameters!$E$17)*Parameters!$I$8*1+(Parameters!$F$9=Parameters!$E$17)*Parameters!$I$9*1+(Parameters!$F$10=Parameters!$E$17)*Parameters!$I$10*1+(Parameters!$F$11=Parameters!$E$17)*Parameters!$I$11*X49+(Parameters!$F$12=Parameters!$E$17)*Parameters!$I$12*Y49)&gt;=Parameters!$B$36),((Parameters!$F$5=Parameters!$E$17)*Parameters!$I$5*N(P49)+(Parameters!$F$6=Parameters!$E$17)*Parameters!$I$6*N(Q49)+(Parameters!$F$7=Parameters!$E$17)*Parameters!$I$7*N(R49)+(Parameters!$F$8=Parameters!$E$17)*Parameters!$I$8*N(S49)+(Parameters!$F$9=Parameters!$E$17)*Parameters!$I$9*N(T49)+(Parameters!$F$10=Parameters!$E$17)*Parameters!$I$10*N(U49)+(Parameters!$F$11=Parameters!$E$17)*Parameters!$I$11*N(V49)+(Parameters!$F$12=Parameters!$E$17)*Parameters!$I$12*N(W49))/((Parameters!$F$5=Parameters!$E$17)*Parameters!$I$5*ISNUMBER(P49)+(Parameters!$F$6=Parameters!$E$17)*Parameters!$I$6*ISNUMBER(Q49)+(Parameters!$F$7=Parameters!$E$17)*Parameters!$I$7*ISNUMBER(R49)+(Parameters!$F$8=Parameters!$E$17)*Parameters!$I$8*ISNUMBER(S49)+(Parameters!$F$9=Parameters!$E$17)*Parameters!$I$9*ISNUMBER(T49)+(Parameters!$F$10=Parameters!$E$17)*Parameters!$I$10*ISNUMBER(U49)+(Parameters!$F$11=Parameters!$E$17)*Parameters!$I$11*ISNUMBER(V49)+(Parameters!$F$12=Parameters!$E$17)*Parameters!$I$12*ISNUMBER(W49)),""))</f>
        <v/>
      </c>
      <c r="AC49" s="17" t="n">
        <f aca="false">Parameters!$I$5*ISNUMBER(P49)+Parameters!$I$6*ISNUMBER(Q49)+Parameters!$I$7*ISNUMBER(R49)+Parameters!$I$8*ISNUMBER(S49)+Parameters!$I$9*ISNUMBER(T49)+Parameters!$I$10*ISNUMBER(U49)+Parameters!$I$11*ISNUMBER(V49)+Parameters!$I$12*ISNUMBER(W49)</f>
        <v>75</v>
      </c>
      <c r="AD49" s="17" t="n">
        <f aca="false">Parameters!$I$5*1+Parameters!$I$6*1+Parameters!$I$7*1+Parameters!$I$8*1+Parameters!$I$9*1+Parameters!$I$10*1+Parameters!$I$11*X49+Parameters!$I$12*Y49</f>
        <v>75</v>
      </c>
      <c r="AE49" s="18" t="n">
        <f aca="false">IF(AD49=0,"",AC49/AD49)</f>
        <v>1</v>
      </c>
      <c r="AF49" s="17" t="str">
        <f aca="false">IF(ISNUMBER(Z49),"M","")&amp;IF(ISNUMBER(AA49),"I","")&amp;IF(ISNUMBER(AB49),"O","")</f>
        <v>MI</v>
      </c>
      <c r="AG49" s="19" t="n">
        <f aca="false">IF(AND(ISNUMBER(AE49),ISNUMBER(Z49)+ISNUMBER(AA49)+ISNUMBER(AB49)&gt;=Parameters!$B$37),IF(AE49&gt;=Parameters!$B$35,100*(Parameters!$F$15*N(Z49)+Parameters!$F$16*N(AA49)+Parameters!$F$17*N(AB49))/(Parameters!$F$15*ISNUMBER(Z49)+Parameters!$F$16*ISNUMBER(AA49)+Parameters!$F$17*ISNUMBER(AB49)),""),"")</f>
        <v>92.5</v>
      </c>
      <c r="AH49" s="17" t="n">
        <f aca="false">IF(ISNUMBER(AG49),RANK(AG49,$AG$2:$AG$113),"")</f>
        <v>14</v>
      </c>
    </row>
    <row r="50" customFormat="false" ht="15" hidden="false" customHeight="false" outlineLevel="0" collapsed="false">
      <c r="A50" s="5" t="s">
        <v>304</v>
      </c>
      <c r="B50" s="5" t="s">
        <v>305</v>
      </c>
      <c r="C50" s="5" t="s">
        <v>306</v>
      </c>
      <c r="D50" s="5" t="s">
        <v>31</v>
      </c>
      <c r="E50" s="5" t="s">
        <v>44</v>
      </c>
      <c r="F50" s="5" t="s">
        <v>279</v>
      </c>
      <c r="G50" s="15"/>
      <c r="H50" s="8"/>
      <c r="I50" s="5" t="s">
        <v>57</v>
      </c>
      <c r="J50" s="5" t="s">
        <v>66</v>
      </c>
      <c r="K50" s="15"/>
      <c r="L50" s="5" t="s">
        <v>79</v>
      </c>
      <c r="M50" s="5" t="s">
        <v>141</v>
      </c>
      <c r="N50" s="5"/>
      <c r="O50" s="5"/>
      <c r="P50" s="16" t="n">
        <f aca="false">IFERROR(IF(ISNUMBER(INDEX(Parameters!$B$5:$B$23,MATCH(D50,Parameters!$A$5:$A$23,0))),INDEX(Parameters!$B$5:$B$23,MATCH(D50,Parameters!$A$5:$A$23,0)),""),"")</f>
        <v>1</v>
      </c>
      <c r="Q50" s="16" t="n">
        <f aca="false">IFERROR(IF(ISNUMBER(INDEX(Parameters!$B$5:$B$23,MATCH(E50,Parameters!$A$5:$A$23,0))),INDEX(Parameters!$B$5:$B$23,MATCH(E50,Parameters!$A$5:$A$23,0)),""),"")</f>
        <v>1</v>
      </c>
      <c r="R50" s="16" t="n">
        <f aca="false">IF(F50="","",IFERROR(MIN(Parameters!$B$33,MAX(0,Parameters!$B$32-VALUE(LEFT(F50,4))))/Parameters!$B$33,""))</f>
        <v>0.733333333333333</v>
      </c>
      <c r="S50" s="16" t="str">
        <f aca="false">IF(ISNUMBER(H50),H50,IF(G50="",IF(ISNUMBER(Parameters!$B$34),Parameters!$B$34,""),""))</f>
        <v/>
      </c>
      <c r="T50" s="16" t="n">
        <f aca="false">IFERROR(IF(ISNUMBER(INDEX(Parameters!$B$5:$B$23,MATCH(I50,Parameters!$A$5:$A$23,0))),INDEX(Parameters!$B$5:$B$23,MATCH(I50,Parameters!$A$5:$A$23,0)),""),"")</f>
        <v>0</v>
      </c>
      <c r="U50" s="16" t="n">
        <f aca="false">IFERROR(IF(ISNUMBER(INDEX(Parameters!$B$5:$B$23,MATCH(L50,Parameters!$A$5:$A$23,0))),INDEX(Parameters!$B$5:$B$23,MATCH(L50,Parameters!$A$5:$A$23,0)),""),"")</f>
        <v>1</v>
      </c>
      <c r="V50" s="16" t="n">
        <f aca="false">IFERROR(IF(ISNUMBER(INDEX(Parameters!$B$5:$B$23,MATCH(J50,Parameters!$A$5:$A$23,0))),INDEX(Parameters!$B$5:$B$23,MATCH(J50,Parameters!$A$5:$A$23,0)),""),"")</f>
        <v>1</v>
      </c>
      <c r="W50" s="16" t="str">
        <f aca="false">IF(K50&lt;&gt;"",1,IF(COUNTIF(Parameters!$A$27:$A$28,J50)&gt;0,0,""))</f>
        <v/>
      </c>
      <c r="X50" s="17" t="n">
        <f aca="false">IF(J50="Not applicable",0,1)</f>
        <v>1</v>
      </c>
      <c r="Y50" s="17" t="n">
        <f aca="false">IF(OR(K50&lt;&gt;"",COUNTIF(Parameters!$A$27:$A$28,J50)&gt;0),1,0)</f>
        <v>0</v>
      </c>
      <c r="Z50"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50+(Parameters!$F$12=Parameters!$E$15)*Parameters!$I$12*Y50)=0,"",IF(AND(((Parameters!$F$5=Parameters!$E$15)*Parameters!$I$5*ISNUMBER(P50)+(Parameters!$F$6=Parameters!$E$15)*Parameters!$I$6*ISNUMBER(Q50)+(Parameters!$F$7=Parameters!$E$15)*Parameters!$I$7*ISNUMBER(R50)+(Parameters!$F$8=Parameters!$E$15)*Parameters!$I$8*ISNUMBER(S50)+(Parameters!$F$9=Parameters!$E$15)*Parameters!$I$9*ISNUMBER(T50)+(Parameters!$F$10=Parameters!$E$15)*Parameters!$I$10*ISNUMBER(U50)+(Parameters!$F$11=Parameters!$E$15)*Parameters!$I$11*ISNUMBER(V50)+(Parameters!$F$12=Parameters!$E$15)*Parameters!$I$12*ISNUMBER(W50))&gt;0,((Parameters!$F$5=Parameters!$E$15)*Parameters!$I$5*ISNUMBER(P50)+(Parameters!$F$6=Parameters!$E$15)*Parameters!$I$6*ISNUMBER(Q50)+(Parameters!$F$7=Parameters!$E$15)*Parameters!$I$7*ISNUMBER(R50)+(Parameters!$F$8=Parameters!$E$15)*Parameters!$I$8*ISNUMBER(S50)+(Parameters!$F$9=Parameters!$E$15)*Parameters!$I$9*ISNUMBER(T50)+(Parameters!$F$10=Parameters!$E$15)*Parameters!$I$10*ISNUMBER(U50)+(Parameters!$F$11=Parameters!$E$15)*Parameters!$I$11*ISNUMBER(V50)+(Parameters!$F$12=Parameters!$E$15)*Parameters!$I$12*ISNUMBER(W50))/((Parameters!$F$5=Parameters!$E$15)*Parameters!$I$5*1+(Parameters!$F$6=Parameters!$E$15)*Parameters!$I$6*1+(Parameters!$F$7=Parameters!$E$15)*Parameters!$I$7*1+(Parameters!$F$8=Parameters!$E$15)*Parameters!$I$8*1+(Parameters!$F$9=Parameters!$E$15)*Parameters!$I$9*1+(Parameters!$F$10=Parameters!$E$15)*Parameters!$I$10*1+(Parameters!$F$11=Parameters!$E$15)*Parameters!$I$11*X50+(Parameters!$F$12=Parameters!$E$15)*Parameters!$I$12*Y50)&gt;=Parameters!$B$36),((Parameters!$F$5=Parameters!$E$15)*Parameters!$I$5*N(P50)+(Parameters!$F$6=Parameters!$E$15)*Parameters!$I$6*N(Q50)+(Parameters!$F$7=Parameters!$E$15)*Parameters!$I$7*N(R50)+(Parameters!$F$8=Parameters!$E$15)*Parameters!$I$8*N(S50)+(Parameters!$F$9=Parameters!$E$15)*Parameters!$I$9*N(T50)+(Parameters!$F$10=Parameters!$E$15)*Parameters!$I$10*N(U50)+(Parameters!$F$11=Parameters!$E$15)*Parameters!$I$11*N(V50)+(Parameters!$F$12=Parameters!$E$15)*Parameters!$I$12*N(W50))/((Parameters!$F$5=Parameters!$E$15)*Parameters!$I$5*ISNUMBER(P50)+(Parameters!$F$6=Parameters!$E$15)*Parameters!$I$6*ISNUMBER(Q50)+(Parameters!$F$7=Parameters!$E$15)*Parameters!$I$7*ISNUMBER(R50)+(Parameters!$F$8=Parameters!$E$15)*Parameters!$I$8*ISNUMBER(S50)+(Parameters!$F$9=Parameters!$E$15)*Parameters!$I$9*ISNUMBER(T50)+(Parameters!$F$10=Parameters!$E$15)*Parameters!$I$10*ISNUMBER(U50)+(Parameters!$F$11=Parameters!$E$15)*Parameters!$I$11*ISNUMBER(V50)+(Parameters!$F$12=Parameters!$E$15)*Parameters!$I$12*ISNUMBER(W50)),""))</f>
        <v>0.973333333333333</v>
      </c>
      <c r="AA50"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50+(Parameters!$F$12=Parameters!$E$16)*Parameters!$I$12*Y50)=0,"",IF(AND(((Parameters!$F$5=Parameters!$E$16)*Parameters!$I$5*ISNUMBER(P50)+(Parameters!$F$6=Parameters!$E$16)*Parameters!$I$6*ISNUMBER(Q50)+(Parameters!$F$7=Parameters!$E$16)*Parameters!$I$7*ISNUMBER(R50)+(Parameters!$F$8=Parameters!$E$16)*Parameters!$I$8*ISNUMBER(S50)+(Parameters!$F$9=Parameters!$E$16)*Parameters!$I$9*ISNUMBER(T50)+(Parameters!$F$10=Parameters!$E$16)*Parameters!$I$10*ISNUMBER(U50)+(Parameters!$F$11=Parameters!$E$16)*Parameters!$I$11*ISNUMBER(V50)+(Parameters!$F$12=Parameters!$E$16)*Parameters!$I$12*ISNUMBER(W50))&gt;0,((Parameters!$F$5=Parameters!$E$16)*Parameters!$I$5*ISNUMBER(P50)+(Parameters!$F$6=Parameters!$E$16)*Parameters!$I$6*ISNUMBER(Q50)+(Parameters!$F$7=Parameters!$E$16)*Parameters!$I$7*ISNUMBER(R50)+(Parameters!$F$8=Parameters!$E$16)*Parameters!$I$8*ISNUMBER(S50)+(Parameters!$F$9=Parameters!$E$16)*Parameters!$I$9*ISNUMBER(T50)+(Parameters!$F$10=Parameters!$E$16)*Parameters!$I$10*ISNUMBER(U50)+(Parameters!$F$11=Parameters!$E$16)*Parameters!$I$11*ISNUMBER(V50)+(Parameters!$F$12=Parameters!$E$16)*Parameters!$I$12*ISNUMBER(W50))/((Parameters!$F$5=Parameters!$E$16)*Parameters!$I$5*1+(Parameters!$F$6=Parameters!$E$16)*Parameters!$I$6*1+(Parameters!$F$7=Parameters!$E$16)*Parameters!$I$7*1+(Parameters!$F$8=Parameters!$E$16)*Parameters!$I$8*1+(Parameters!$F$9=Parameters!$E$16)*Parameters!$I$9*1+(Parameters!$F$10=Parameters!$E$16)*Parameters!$I$10*1+(Parameters!$F$11=Parameters!$E$16)*Parameters!$I$11*X50+(Parameters!$F$12=Parameters!$E$16)*Parameters!$I$12*Y50)&gt;=Parameters!$B$36),((Parameters!$F$5=Parameters!$E$16)*Parameters!$I$5*N(P50)+(Parameters!$F$6=Parameters!$E$16)*Parameters!$I$6*N(Q50)+(Parameters!$F$7=Parameters!$E$16)*Parameters!$I$7*N(R50)+(Parameters!$F$8=Parameters!$E$16)*Parameters!$I$8*N(S50)+(Parameters!$F$9=Parameters!$E$16)*Parameters!$I$9*N(T50)+(Parameters!$F$10=Parameters!$E$16)*Parameters!$I$10*N(U50)+(Parameters!$F$11=Parameters!$E$16)*Parameters!$I$11*N(V50)+(Parameters!$F$12=Parameters!$E$16)*Parameters!$I$12*N(W50))/((Parameters!$F$5=Parameters!$E$16)*Parameters!$I$5*ISNUMBER(P50)+(Parameters!$F$6=Parameters!$E$16)*Parameters!$I$6*ISNUMBER(Q50)+(Parameters!$F$7=Parameters!$E$16)*Parameters!$I$7*ISNUMBER(R50)+(Parameters!$F$8=Parameters!$E$16)*Parameters!$I$8*ISNUMBER(S50)+(Parameters!$F$9=Parameters!$E$16)*Parameters!$I$9*ISNUMBER(T50)+(Parameters!$F$10=Parameters!$E$16)*Parameters!$I$10*ISNUMBER(U50)+(Parameters!$F$11=Parameters!$E$16)*Parameters!$I$11*ISNUMBER(V50)+(Parameters!$F$12=Parameters!$E$16)*Parameters!$I$12*ISNUMBER(W50)),""))</f>
        <v>0.666666666666667</v>
      </c>
      <c r="AB50"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50+(Parameters!$F$12=Parameters!$E$17)*Parameters!$I$12*Y50)=0,"",IF(AND(((Parameters!$F$5=Parameters!$E$17)*Parameters!$I$5*ISNUMBER(P50)+(Parameters!$F$6=Parameters!$E$17)*Parameters!$I$6*ISNUMBER(Q50)+(Parameters!$F$7=Parameters!$E$17)*Parameters!$I$7*ISNUMBER(R50)+(Parameters!$F$8=Parameters!$E$17)*Parameters!$I$8*ISNUMBER(S50)+(Parameters!$F$9=Parameters!$E$17)*Parameters!$I$9*ISNUMBER(T50)+(Parameters!$F$10=Parameters!$E$17)*Parameters!$I$10*ISNUMBER(U50)+(Parameters!$F$11=Parameters!$E$17)*Parameters!$I$11*ISNUMBER(V50)+(Parameters!$F$12=Parameters!$E$17)*Parameters!$I$12*ISNUMBER(W50))&gt;0,((Parameters!$F$5=Parameters!$E$17)*Parameters!$I$5*ISNUMBER(P50)+(Parameters!$F$6=Parameters!$E$17)*Parameters!$I$6*ISNUMBER(Q50)+(Parameters!$F$7=Parameters!$E$17)*Parameters!$I$7*ISNUMBER(R50)+(Parameters!$F$8=Parameters!$E$17)*Parameters!$I$8*ISNUMBER(S50)+(Parameters!$F$9=Parameters!$E$17)*Parameters!$I$9*ISNUMBER(T50)+(Parameters!$F$10=Parameters!$E$17)*Parameters!$I$10*ISNUMBER(U50)+(Parameters!$F$11=Parameters!$E$17)*Parameters!$I$11*ISNUMBER(V50)+(Parameters!$F$12=Parameters!$E$17)*Parameters!$I$12*ISNUMBER(W50))/((Parameters!$F$5=Parameters!$E$17)*Parameters!$I$5*1+(Parameters!$F$6=Parameters!$E$17)*Parameters!$I$6*1+(Parameters!$F$7=Parameters!$E$17)*Parameters!$I$7*1+(Parameters!$F$8=Parameters!$E$17)*Parameters!$I$8*1+(Parameters!$F$9=Parameters!$E$17)*Parameters!$I$9*1+(Parameters!$F$10=Parameters!$E$17)*Parameters!$I$10*1+(Parameters!$F$11=Parameters!$E$17)*Parameters!$I$11*X50+(Parameters!$F$12=Parameters!$E$17)*Parameters!$I$12*Y50)&gt;=Parameters!$B$36),((Parameters!$F$5=Parameters!$E$17)*Parameters!$I$5*N(P50)+(Parameters!$F$6=Parameters!$E$17)*Parameters!$I$6*N(Q50)+(Parameters!$F$7=Parameters!$E$17)*Parameters!$I$7*N(R50)+(Parameters!$F$8=Parameters!$E$17)*Parameters!$I$8*N(S50)+(Parameters!$F$9=Parameters!$E$17)*Parameters!$I$9*N(T50)+(Parameters!$F$10=Parameters!$E$17)*Parameters!$I$10*N(U50)+(Parameters!$F$11=Parameters!$E$17)*Parameters!$I$11*N(V50)+(Parameters!$F$12=Parameters!$E$17)*Parameters!$I$12*N(W50))/((Parameters!$F$5=Parameters!$E$17)*Parameters!$I$5*ISNUMBER(P50)+(Parameters!$F$6=Parameters!$E$17)*Parameters!$I$6*ISNUMBER(Q50)+(Parameters!$F$7=Parameters!$E$17)*Parameters!$I$7*ISNUMBER(R50)+(Parameters!$F$8=Parameters!$E$17)*Parameters!$I$8*ISNUMBER(S50)+(Parameters!$F$9=Parameters!$E$17)*Parameters!$I$9*ISNUMBER(T50)+(Parameters!$F$10=Parameters!$E$17)*Parameters!$I$10*ISNUMBER(U50)+(Parameters!$F$11=Parameters!$E$17)*Parameters!$I$11*ISNUMBER(V50)+(Parameters!$F$12=Parameters!$E$17)*Parameters!$I$12*ISNUMBER(W50)),""))</f>
        <v>1</v>
      </c>
      <c r="AC50" s="17" t="n">
        <f aca="false">Parameters!$I$5*ISNUMBER(P50)+Parameters!$I$6*ISNUMBER(Q50)+Parameters!$I$7*ISNUMBER(R50)+Parameters!$I$8*ISNUMBER(S50)+Parameters!$I$9*ISNUMBER(T50)+Parameters!$I$10*ISNUMBER(U50)+Parameters!$I$11*ISNUMBER(V50)+Parameters!$I$12*ISNUMBER(W50)</f>
        <v>75</v>
      </c>
      <c r="AD50" s="17" t="n">
        <f aca="false">Parameters!$I$5*1+Parameters!$I$6*1+Parameters!$I$7*1+Parameters!$I$8*1+Parameters!$I$9*1+Parameters!$I$10*1+Parameters!$I$11*X50+Parameters!$I$12*Y50</f>
        <v>85</v>
      </c>
      <c r="AE50" s="18" t="n">
        <f aca="false">IF(AD50=0,"",AC50/AD50)</f>
        <v>0.882352941176471</v>
      </c>
      <c r="AF50" s="17" t="str">
        <f aca="false">IF(ISNUMBER(Z50),"M","")&amp;IF(ISNUMBER(AA50),"I","")&amp;IF(ISNUMBER(AB50),"O","")</f>
        <v>MIO</v>
      </c>
      <c r="AG50" s="19" t="n">
        <f aca="false">IF(AND(ISNUMBER(AE50),ISNUMBER(Z50)+ISNUMBER(AA50)+ISNUMBER(AB50)&gt;=Parameters!$B$37),IF(AE50&gt;=Parameters!$B$35,100*(Parameters!$F$15*N(Z50)+Parameters!$F$16*N(AA50)+Parameters!$F$17*N(AB50))/(Parameters!$F$15*ISNUMBER(Z50)+Parameters!$F$16*ISNUMBER(AA50)+Parameters!$F$17*ISNUMBER(AB50)),""),"")</f>
        <v>88.6666666666667</v>
      </c>
      <c r="AH50" s="17" t="n">
        <f aca="false">IF(ISNUMBER(AG50),RANK(AG50,$AG$2:$AG$113),"")</f>
        <v>37</v>
      </c>
    </row>
    <row r="51" customFormat="false" ht="15" hidden="false" customHeight="false" outlineLevel="0" collapsed="false">
      <c r="A51" s="5" t="s">
        <v>307</v>
      </c>
      <c r="B51" s="5" t="s">
        <v>308</v>
      </c>
      <c r="C51" s="5" t="s">
        <v>309</v>
      </c>
      <c r="D51" s="5" t="s">
        <v>31</v>
      </c>
      <c r="E51" s="5" t="s">
        <v>44</v>
      </c>
      <c r="F51" s="5" t="s">
        <v>310</v>
      </c>
      <c r="G51" s="15" t="s">
        <v>311</v>
      </c>
      <c r="H51" s="8" t="n">
        <v>1</v>
      </c>
      <c r="I51" s="5" t="s">
        <v>57</v>
      </c>
      <c r="J51" s="5" t="s">
        <v>68</v>
      </c>
      <c r="K51" s="15"/>
      <c r="L51" s="5" t="s">
        <v>79</v>
      </c>
      <c r="M51" s="5" t="s">
        <v>136</v>
      </c>
      <c r="N51" s="5" t="s">
        <v>168</v>
      </c>
      <c r="O51" s="5" t="s">
        <v>168</v>
      </c>
      <c r="P51" s="16" t="n">
        <f aca="false">IFERROR(IF(ISNUMBER(INDEX(Parameters!$B$5:$B$23,MATCH(D51,Parameters!$A$5:$A$23,0))),INDEX(Parameters!$B$5:$B$23,MATCH(D51,Parameters!$A$5:$A$23,0)),""),"")</f>
        <v>1</v>
      </c>
      <c r="Q51" s="16" t="n">
        <f aca="false">IFERROR(IF(ISNUMBER(INDEX(Parameters!$B$5:$B$23,MATCH(E51,Parameters!$A$5:$A$23,0))),INDEX(Parameters!$B$5:$B$23,MATCH(E51,Parameters!$A$5:$A$23,0)),""),"")</f>
        <v>1</v>
      </c>
      <c r="R51" s="16" t="n">
        <f aca="false">IF(F51="","",IFERROR(MIN(Parameters!$B$33,MAX(0,Parameters!$B$32-VALUE(LEFT(F51,4))))/Parameters!$B$33,""))</f>
        <v>1</v>
      </c>
      <c r="S51" s="16" t="n">
        <f aca="false">IF(ISNUMBER(H51),H51,IF(G51="",IF(ISNUMBER(Parameters!$B$34),Parameters!$B$34,""),""))</f>
        <v>1</v>
      </c>
      <c r="T51" s="16" t="n">
        <f aca="false">IFERROR(IF(ISNUMBER(INDEX(Parameters!$B$5:$B$23,MATCH(I51,Parameters!$A$5:$A$23,0))),INDEX(Parameters!$B$5:$B$23,MATCH(I51,Parameters!$A$5:$A$23,0)),""),"")</f>
        <v>0</v>
      </c>
      <c r="U51" s="16" t="n">
        <f aca="false">IFERROR(IF(ISNUMBER(INDEX(Parameters!$B$5:$B$23,MATCH(L51,Parameters!$A$5:$A$23,0))),INDEX(Parameters!$B$5:$B$23,MATCH(L51,Parameters!$A$5:$A$23,0)),""),"")</f>
        <v>1</v>
      </c>
      <c r="V51" s="16" t="n">
        <f aca="false">IFERROR(IF(ISNUMBER(INDEX(Parameters!$B$5:$B$23,MATCH(J51,Parameters!$A$5:$A$23,0))),INDEX(Parameters!$B$5:$B$23,MATCH(J51,Parameters!$A$5:$A$23,0)),""),"")</f>
        <v>1</v>
      </c>
      <c r="W51" s="16" t="n">
        <f aca="false">IF(K51&lt;&gt;"",1,IF(COUNTIF(Parameters!$A$27:$A$28,J51)&gt;0,0,""))</f>
        <v>0</v>
      </c>
      <c r="X51" s="17" t="n">
        <f aca="false">IF(J51="Not applicable",0,1)</f>
        <v>1</v>
      </c>
      <c r="Y51" s="17" t="n">
        <f aca="false">IF(OR(K51&lt;&gt;"",COUNTIF(Parameters!$A$27:$A$28,J51)&gt;0),1,0)</f>
        <v>1</v>
      </c>
      <c r="Z51"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51+(Parameters!$F$12=Parameters!$E$15)*Parameters!$I$12*Y51)=0,"",IF(AND(((Parameters!$F$5=Parameters!$E$15)*Parameters!$I$5*ISNUMBER(P51)+(Parameters!$F$6=Parameters!$E$15)*Parameters!$I$6*ISNUMBER(Q51)+(Parameters!$F$7=Parameters!$E$15)*Parameters!$I$7*ISNUMBER(R51)+(Parameters!$F$8=Parameters!$E$15)*Parameters!$I$8*ISNUMBER(S51)+(Parameters!$F$9=Parameters!$E$15)*Parameters!$I$9*ISNUMBER(T51)+(Parameters!$F$10=Parameters!$E$15)*Parameters!$I$10*ISNUMBER(U51)+(Parameters!$F$11=Parameters!$E$15)*Parameters!$I$11*ISNUMBER(V51)+(Parameters!$F$12=Parameters!$E$15)*Parameters!$I$12*ISNUMBER(W51))&gt;0,((Parameters!$F$5=Parameters!$E$15)*Parameters!$I$5*ISNUMBER(P51)+(Parameters!$F$6=Parameters!$E$15)*Parameters!$I$6*ISNUMBER(Q51)+(Parameters!$F$7=Parameters!$E$15)*Parameters!$I$7*ISNUMBER(R51)+(Parameters!$F$8=Parameters!$E$15)*Parameters!$I$8*ISNUMBER(S51)+(Parameters!$F$9=Parameters!$E$15)*Parameters!$I$9*ISNUMBER(T51)+(Parameters!$F$10=Parameters!$E$15)*Parameters!$I$10*ISNUMBER(U51)+(Parameters!$F$11=Parameters!$E$15)*Parameters!$I$11*ISNUMBER(V51)+(Parameters!$F$12=Parameters!$E$15)*Parameters!$I$12*ISNUMBER(W51))/((Parameters!$F$5=Parameters!$E$15)*Parameters!$I$5*1+(Parameters!$F$6=Parameters!$E$15)*Parameters!$I$6*1+(Parameters!$F$7=Parameters!$E$15)*Parameters!$I$7*1+(Parameters!$F$8=Parameters!$E$15)*Parameters!$I$8*1+(Parameters!$F$9=Parameters!$E$15)*Parameters!$I$9*1+(Parameters!$F$10=Parameters!$E$15)*Parameters!$I$10*1+(Parameters!$F$11=Parameters!$E$15)*Parameters!$I$11*X51+(Parameters!$F$12=Parameters!$E$15)*Parameters!$I$12*Y51)&gt;=Parameters!$B$36),((Parameters!$F$5=Parameters!$E$15)*Parameters!$I$5*N(P51)+(Parameters!$F$6=Parameters!$E$15)*Parameters!$I$6*N(Q51)+(Parameters!$F$7=Parameters!$E$15)*Parameters!$I$7*N(R51)+(Parameters!$F$8=Parameters!$E$15)*Parameters!$I$8*N(S51)+(Parameters!$F$9=Parameters!$E$15)*Parameters!$I$9*N(T51)+(Parameters!$F$10=Parameters!$E$15)*Parameters!$I$10*N(U51)+(Parameters!$F$11=Parameters!$E$15)*Parameters!$I$11*N(V51)+(Parameters!$F$12=Parameters!$E$15)*Parameters!$I$12*N(W51))/((Parameters!$F$5=Parameters!$E$15)*Parameters!$I$5*ISNUMBER(P51)+(Parameters!$F$6=Parameters!$E$15)*Parameters!$I$6*ISNUMBER(Q51)+(Parameters!$F$7=Parameters!$E$15)*Parameters!$I$7*ISNUMBER(R51)+(Parameters!$F$8=Parameters!$E$15)*Parameters!$I$8*ISNUMBER(S51)+(Parameters!$F$9=Parameters!$E$15)*Parameters!$I$9*ISNUMBER(T51)+(Parameters!$F$10=Parameters!$E$15)*Parameters!$I$10*ISNUMBER(U51)+(Parameters!$F$11=Parameters!$E$15)*Parameters!$I$11*ISNUMBER(V51)+(Parameters!$F$12=Parameters!$E$15)*Parameters!$I$12*ISNUMBER(W51)),""))</f>
        <v>1</v>
      </c>
      <c r="AA51"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51+(Parameters!$F$12=Parameters!$E$16)*Parameters!$I$12*Y51)=0,"",IF(AND(((Parameters!$F$5=Parameters!$E$16)*Parameters!$I$5*ISNUMBER(P51)+(Parameters!$F$6=Parameters!$E$16)*Parameters!$I$6*ISNUMBER(Q51)+(Parameters!$F$7=Parameters!$E$16)*Parameters!$I$7*ISNUMBER(R51)+(Parameters!$F$8=Parameters!$E$16)*Parameters!$I$8*ISNUMBER(S51)+(Parameters!$F$9=Parameters!$E$16)*Parameters!$I$9*ISNUMBER(T51)+(Parameters!$F$10=Parameters!$E$16)*Parameters!$I$10*ISNUMBER(U51)+(Parameters!$F$11=Parameters!$E$16)*Parameters!$I$11*ISNUMBER(V51)+(Parameters!$F$12=Parameters!$E$16)*Parameters!$I$12*ISNUMBER(W51))&gt;0,((Parameters!$F$5=Parameters!$E$16)*Parameters!$I$5*ISNUMBER(P51)+(Parameters!$F$6=Parameters!$E$16)*Parameters!$I$6*ISNUMBER(Q51)+(Parameters!$F$7=Parameters!$E$16)*Parameters!$I$7*ISNUMBER(R51)+(Parameters!$F$8=Parameters!$E$16)*Parameters!$I$8*ISNUMBER(S51)+(Parameters!$F$9=Parameters!$E$16)*Parameters!$I$9*ISNUMBER(T51)+(Parameters!$F$10=Parameters!$E$16)*Parameters!$I$10*ISNUMBER(U51)+(Parameters!$F$11=Parameters!$E$16)*Parameters!$I$11*ISNUMBER(V51)+(Parameters!$F$12=Parameters!$E$16)*Parameters!$I$12*ISNUMBER(W51))/((Parameters!$F$5=Parameters!$E$16)*Parameters!$I$5*1+(Parameters!$F$6=Parameters!$E$16)*Parameters!$I$6*1+(Parameters!$F$7=Parameters!$E$16)*Parameters!$I$7*1+(Parameters!$F$8=Parameters!$E$16)*Parameters!$I$8*1+(Parameters!$F$9=Parameters!$E$16)*Parameters!$I$9*1+(Parameters!$F$10=Parameters!$E$16)*Parameters!$I$10*1+(Parameters!$F$11=Parameters!$E$16)*Parameters!$I$11*X51+(Parameters!$F$12=Parameters!$E$16)*Parameters!$I$12*Y51)&gt;=Parameters!$B$36),((Parameters!$F$5=Parameters!$E$16)*Parameters!$I$5*N(P51)+(Parameters!$F$6=Parameters!$E$16)*Parameters!$I$6*N(Q51)+(Parameters!$F$7=Parameters!$E$16)*Parameters!$I$7*N(R51)+(Parameters!$F$8=Parameters!$E$16)*Parameters!$I$8*N(S51)+(Parameters!$F$9=Parameters!$E$16)*Parameters!$I$9*N(T51)+(Parameters!$F$10=Parameters!$E$16)*Parameters!$I$10*N(U51)+(Parameters!$F$11=Parameters!$E$16)*Parameters!$I$11*N(V51)+(Parameters!$F$12=Parameters!$E$16)*Parameters!$I$12*N(W51))/((Parameters!$F$5=Parameters!$E$16)*Parameters!$I$5*ISNUMBER(P51)+(Parameters!$F$6=Parameters!$E$16)*Parameters!$I$6*ISNUMBER(Q51)+(Parameters!$F$7=Parameters!$E$16)*Parameters!$I$7*ISNUMBER(R51)+(Parameters!$F$8=Parameters!$E$16)*Parameters!$I$8*ISNUMBER(S51)+(Parameters!$F$9=Parameters!$E$16)*Parameters!$I$9*ISNUMBER(T51)+(Parameters!$F$10=Parameters!$E$16)*Parameters!$I$10*ISNUMBER(U51)+(Parameters!$F$11=Parameters!$E$16)*Parameters!$I$11*ISNUMBER(V51)+(Parameters!$F$12=Parameters!$E$16)*Parameters!$I$12*ISNUMBER(W51)),""))</f>
        <v>0.8</v>
      </c>
      <c r="AB51"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51+(Parameters!$F$12=Parameters!$E$17)*Parameters!$I$12*Y51)=0,"",IF(AND(((Parameters!$F$5=Parameters!$E$17)*Parameters!$I$5*ISNUMBER(P51)+(Parameters!$F$6=Parameters!$E$17)*Parameters!$I$6*ISNUMBER(Q51)+(Parameters!$F$7=Parameters!$E$17)*Parameters!$I$7*ISNUMBER(R51)+(Parameters!$F$8=Parameters!$E$17)*Parameters!$I$8*ISNUMBER(S51)+(Parameters!$F$9=Parameters!$E$17)*Parameters!$I$9*ISNUMBER(T51)+(Parameters!$F$10=Parameters!$E$17)*Parameters!$I$10*ISNUMBER(U51)+(Parameters!$F$11=Parameters!$E$17)*Parameters!$I$11*ISNUMBER(V51)+(Parameters!$F$12=Parameters!$E$17)*Parameters!$I$12*ISNUMBER(W51))&gt;0,((Parameters!$F$5=Parameters!$E$17)*Parameters!$I$5*ISNUMBER(P51)+(Parameters!$F$6=Parameters!$E$17)*Parameters!$I$6*ISNUMBER(Q51)+(Parameters!$F$7=Parameters!$E$17)*Parameters!$I$7*ISNUMBER(R51)+(Parameters!$F$8=Parameters!$E$17)*Parameters!$I$8*ISNUMBER(S51)+(Parameters!$F$9=Parameters!$E$17)*Parameters!$I$9*ISNUMBER(T51)+(Parameters!$F$10=Parameters!$E$17)*Parameters!$I$10*ISNUMBER(U51)+(Parameters!$F$11=Parameters!$E$17)*Parameters!$I$11*ISNUMBER(V51)+(Parameters!$F$12=Parameters!$E$17)*Parameters!$I$12*ISNUMBER(W51))/((Parameters!$F$5=Parameters!$E$17)*Parameters!$I$5*1+(Parameters!$F$6=Parameters!$E$17)*Parameters!$I$6*1+(Parameters!$F$7=Parameters!$E$17)*Parameters!$I$7*1+(Parameters!$F$8=Parameters!$E$17)*Parameters!$I$8*1+(Parameters!$F$9=Parameters!$E$17)*Parameters!$I$9*1+(Parameters!$F$10=Parameters!$E$17)*Parameters!$I$10*1+(Parameters!$F$11=Parameters!$E$17)*Parameters!$I$11*X51+(Parameters!$F$12=Parameters!$E$17)*Parameters!$I$12*Y51)&gt;=Parameters!$B$36),((Parameters!$F$5=Parameters!$E$17)*Parameters!$I$5*N(P51)+(Parameters!$F$6=Parameters!$E$17)*Parameters!$I$6*N(Q51)+(Parameters!$F$7=Parameters!$E$17)*Parameters!$I$7*N(R51)+(Parameters!$F$8=Parameters!$E$17)*Parameters!$I$8*N(S51)+(Parameters!$F$9=Parameters!$E$17)*Parameters!$I$9*N(T51)+(Parameters!$F$10=Parameters!$E$17)*Parameters!$I$10*N(U51)+(Parameters!$F$11=Parameters!$E$17)*Parameters!$I$11*N(V51)+(Parameters!$F$12=Parameters!$E$17)*Parameters!$I$12*N(W51))/((Parameters!$F$5=Parameters!$E$17)*Parameters!$I$5*ISNUMBER(P51)+(Parameters!$F$6=Parameters!$E$17)*Parameters!$I$6*ISNUMBER(Q51)+(Parameters!$F$7=Parameters!$E$17)*Parameters!$I$7*ISNUMBER(R51)+(Parameters!$F$8=Parameters!$E$17)*Parameters!$I$8*ISNUMBER(S51)+(Parameters!$F$9=Parameters!$E$17)*Parameters!$I$9*ISNUMBER(T51)+(Parameters!$F$10=Parameters!$E$17)*Parameters!$I$10*ISNUMBER(U51)+(Parameters!$F$11=Parameters!$E$17)*Parameters!$I$11*ISNUMBER(V51)+(Parameters!$F$12=Parameters!$E$17)*Parameters!$I$12*ISNUMBER(W51)),""))</f>
        <v>0.5</v>
      </c>
      <c r="AC51" s="17" t="n">
        <f aca="false">Parameters!$I$5*ISNUMBER(P51)+Parameters!$I$6*ISNUMBER(Q51)+Parameters!$I$7*ISNUMBER(R51)+Parameters!$I$8*ISNUMBER(S51)+Parameters!$I$9*ISNUMBER(T51)+Parameters!$I$10*ISNUMBER(U51)+Parameters!$I$11*ISNUMBER(V51)+Parameters!$I$12*ISNUMBER(W51)</f>
        <v>95</v>
      </c>
      <c r="AD51" s="17" t="n">
        <f aca="false">Parameters!$I$5*1+Parameters!$I$6*1+Parameters!$I$7*1+Parameters!$I$8*1+Parameters!$I$9*1+Parameters!$I$10*1+Parameters!$I$11*X51+Parameters!$I$12*Y51</f>
        <v>95</v>
      </c>
      <c r="AE51" s="18" t="n">
        <f aca="false">IF(AD51=0,"",AC51/AD51)</f>
        <v>1</v>
      </c>
      <c r="AF51" s="17" t="str">
        <f aca="false">IF(ISNUMBER(Z51),"M","")&amp;IF(ISNUMBER(AA51),"I","")&amp;IF(ISNUMBER(AB51),"O","")</f>
        <v>MIO</v>
      </c>
      <c r="AG51" s="19" t="n">
        <f aca="false">IF(AND(ISNUMBER(AE51),ISNUMBER(Z51)+ISNUMBER(AA51)+ISNUMBER(AB51)&gt;=Parameters!$B$37),IF(AE51&gt;=Parameters!$B$35,100*(Parameters!$F$15*N(Z51)+Parameters!$F$16*N(AA51)+Parameters!$F$17*N(AB51))/(Parameters!$F$15*ISNUMBER(Z51)+Parameters!$F$16*ISNUMBER(AA51)+Parameters!$F$17*ISNUMBER(AB51)),""),"")</f>
        <v>84</v>
      </c>
      <c r="AH51" s="17" t="n">
        <f aca="false">IF(ISNUMBER(AG51),RANK(AG51,$AG$2:$AG$113),"")</f>
        <v>63</v>
      </c>
    </row>
    <row r="52" customFormat="false" ht="15" hidden="false" customHeight="false" outlineLevel="0" collapsed="false">
      <c r="A52" s="5" t="s">
        <v>312</v>
      </c>
      <c r="B52" s="5" t="s">
        <v>313</v>
      </c>
      <c r="C52" s="5" t="s">
        <v>314</v>
      </c>
      <c r="D52" s="5" t="s">
        <v>31</v>
      </c>
      <c r="E52" s="5" t="s">
        <v>44</v>
      </c>
      <c r="F52" s="5" t="s">
        <v>161</v>
      </c>
      <c r="G52" s="20" t="s">
        <v>315</v>
      </c>
      <c r="H52" s="8" t="n">
        <v>1</v>
      </c>
      <c r="I52" s="5" t="s">
        <v>57</v>
      </c>
      <c r="J52" s="5" t="s">
        <v>70</v>
      </c>
      <c r="K52" s="15" t="s">
        <v>316</v>
      </c>
      <c r="L52" s="5" t="s">
        <v>76</v>
      </c>
      <c r="M52" s="5" t="s">
        <v>136</v>
      </c>
      <c r="N52" s="5" t="s">
        <v>197</v>
      </c>
      <c r="O52" s="5" t="s">
        <v>168</v>
      </c>
      <c r="P52" s="16" t="n">
        <f aca="false">IFERROR(IF(ISNUMBER(INDEX(Parameters!$B$5:$B$23,MATCH(D52,Parameters!$A$5:$A$23,0))),INDEX(Parameters!$B$5:$B$23,MATCH(D52,Parameters!$A$5:$A$23,0)),""),"")</f>
        <v>1</v>
      </c>
      <c r="Q52" s="16" t="n">
        <f aca="false">IFERROR(IF(ISNUMBER(INDEX(Parameters!$B$5:$B$23,MATCH(E52,Parameters!$A$5:$A$23,0))),INDEX(Parameters!$B$5:$B$23,MATCH(E52,Parameters!$A$5:$A$23,0)),""),"")</f>
        <v>1</v>
      </c>
      <c r="R52" s="16" t="n">
        <f aca="false">IF(F52="","",IFERROR(MIN(Parameters!$B$33,MAX(0,Parameters!$B$32-VALUE(LEFT(F52,4))))/Parameters!$B$33,""))</f>
        <v>1</v>
      </c>
      <c r="S52" s="16" t="n">
        <f aca="false">IF(ISNUMBER(H52),H52,IF(G52="",IF(ISNUMBER(Parameters!$B$34),Parameters!$B$34,""),""))</f>
        <v>1</v>
      </c>
      <c r="T52" s="16" t="n">
        <f aca="false">IFERROR(IF(ISNUMBER(INDEX(Parameters!$B$5:$B$23,MATCH(I52,Parameters!$A$5:$A$23,0))),INDEX(Parameters!$B$5:$B$23,MATCH(I52,Parameters!$A$5:$A$23,0)),""),"")</f>
        <v>0</v>
      </c>
      <c r="U52" s="16" t="n">
        <f aca="false">IFERROR(IF(ISNUMBER(INDEX(Parameters!$B$5:$B$23,MATCH(L52,Parameters!$A$5:$A$23,0))),INDEX(Parameters!$B$5:$B$23,MATCH(L52,Parameters!$A$5:$A$23,0)),""),"")</f>
        <v>1</v>
      </c>
      <c r="V52" s="16" t="n">
        <f aca="false">IFERROR(IF(ISNUMBER(INDEX(Parameters!$B$5:$B$23,MATCH(J52,Parameters!$A$5:$A$23,0))),INDEX(Parameters!$B$5:$B$23,MATCH(J52,Parameters!$A$5:$A$23,0)),""),"")</f>
        <v>1</v>
      </c>
      <c r="W52" s="16" t="n">
        <f aca="false">IF(K52&lt;&gt;"",1,IF(COUNTIF(Parameters!$A$27:$A$28,J52)&gt;0,0,""))</f>
        <v>1</v>
      </c>
      <c r="X52" s="17" t="n">
        <f aca="false">IF(J52="Not applicable",0,1)</f>
        <v>1</v>
      </c>
      <c r="Y52" s="17" t="n">
        <f aca="false">IF(OR(K52&lt;&gt;"",COUNTIF(Parameters!$A$27:$A$28,J52)&gt;0),1,0)</f>
        <v>1</v>
      </c>
      <c r="Z52"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52+(Parameters!$F$12=Parameters!$E$15)*Parameters!$I$12*Y52)=0,"",IF(AND(((Parameters!$F$5=Parameters!$E$15)*Parameters!$I$5*ISNUMBER(P52)+(Parameters!$F$6=Parameters!$E$15)*Parameters!$I$6*ISNUMBER(Q52)+(Parameters!$F$7=Parameters!$E$15)*Parameters!$I$7*ISNUMBER(R52)+(Parameters!$F$8=Parameters!$E$15)*Parameters!$I$8*ISNUMBER(S52)+(Parameters!$F$9=Parameters!$E$15)*Parameters!$I$9*ISNUMBER(T52)+(Parameters!$F$10=Parameters!$E$15)*Parameters!$I$10*ISNUMBER(U52)+(Parameters!$F$11=Parameters!$E$15)*Parameters!$I$11*ISNUMBER(V52)+(Parameters!$F$12=Parameters!$E$15)*Parameters!$I$12*ISNUMBER(W52))&gt;0,((Parameters!$F$5=Parameters!$E$15)*Parameters!$I$5*ISNUMBER(P52)+(Parameters!$F$6=Parameters!$E$15)*Parameters!$I$6*ISNUMBER(Q52)+(Parameters!$F$7=Parameters!$E$15)*Parameters!$I$7*ISNUMBER(R52)+(Parameters!$F$8=Parameters!$E$15)*Parameters!$I$8*ISNUMBER(S52)+(Parameters!$F$9=Parameters!$E$15)*Parameters!$I$9*ISNUMBER(T52)+(Parameters!$F$10=Parameters!$E$15)*Parameters!$I$10*ISNUMBER(U52)+(Parameters!$F$11=Parameters!$E$15)*Parameters!$I$11*ISNUMBER(V52)+(Parameters!$F$12=Parameters!$E$15)*Parameters!$I$12*ISNUMBER(W52))/((Parameters!$F$5=Parameters!$E$15)*Parameters!$I$5*1+(Parameters!$F$6=Parameters!$E$15)*Parameters!$I$6*1+(Parameters!$F$7=Parameters!$E$15)*Parameters!$I$7*1+(Parameters!$F$8=Parameters!$E$15)*Parameters!$I$8*1+(Parameters!$F$9=Parameters!$E$15)*Parameters!$I$9*1+(Parameters!$F$10=Parameters!$E$15)*Parameters!$I$10*1+(Parameters!$F$11=Parameters!$E$15)*Parameters!$I$11*X52+(Parameters!$F$12=Parameters!$E$15)*Parameters!$I$12*Y52)&gt;=Parameters!$B$36),((Parameters!$F$5=Parameters!$E$15)*Parameters!$I$5*N(P52)+(Parameters!$F$6=Parameters!$E$15)*Parameters!$I$6*N(Q52)+(Parameters!$F$7=Parameters!$E$15)*Parameters!$I$7*N(R52)+(Parameters!$F$8=Parameters!$E$15)*Parameters!$I$8*N(S52)+(Parameters!$F$9=Parameters!$E$15)*Parameters!$I$9*N(T52)+(Parameters!$F$10=Parameters!$E$15)*Parameters!$I$10*N(U52)+(Parameters!$F$11=Parameters!$E$15)*Parameters!$I$11*N(V52)+(Parameters!$F$12=Parameters!$E$15)*Parameters!$I$12*N(W52))/((Parameters!$F$5=Parameters!$E$15)*Parameters!$I$5*ISNUMBER(P52)+(Parameters!$F$6=Parameters!$E$15)*Parameters!$I$6*ISNUMBER(Q52)+(Parameters!$F$7=Parameters!$E$15)*Parameters!$I$7*ISNUMBER(R52)+(Parameters!$F$8=Parameters!$E$15)*Parameters!$I$8*ISNUMBER(S52)+(Parameters!$F$9=Parameters!$E$15)*Parameters!$I$9*ISNUMBER(T52)+(Parameters!$F$10=Parameters!$E$15)*Parameters!$I$10*ISNUMBER(U52)+(Parameters!$F$11=Parameters!$E$15)*Parameters!$I$11*ISNUMBER(V52)+(Parameters!$F$12=Parameters!$E$15)*Parameters!$I$12*ISNUMBER(W52)),""))</f>
        <v>1</v>
      </c>
      <c r="AA52"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52+(Parameters!$F$12=Parameters!$E$16)*Parameters!$I$12*Y52)=0,"",IF(AND(((Parameters!$F$5=Parameters!$E$16)*Parameters!$I$5*ISNUMBER(P52)+(Parameters!$F$6=Parameters!$E$16)*Parameters!$I$6*ISNUMBER(Q52)+(Parameters!$F$7=Parameters!$E$16)*Parameters!$I$7*ISNUMBER(R52)+(Parameters!$F$8=Parameters!$E$16)*Parameters!$I$8*ISNUMBER(S52)+(Parameters!$F$9=Parameters!$E$16)*Parameters!$I$9*ISNUMBER(T52)+(Parameters!$F$10=Parameters!$E$16)*Parameters!$I$10*ISNUMBER(U52)+(Parameters!$F$11=Parameters!$E$16)*Parameters!$I$11*ISNUMBER(V52)+(Parameters!$F$12=Parameters!$E$16)*Parameters!$I$12*ISNUMBER(W52))&gt;0,((Parameters!$F$5=Parameters!$E$16)*Parameters!$I$5*ISNUMBER(P52)+(Parameters!$F$6=Parameters!$E$16)*Parameters!$I$6*ISNUMBER(Q52)+(Parameters!$F$7=Parameters!$E$16)*Parameters!$I$7*ISNUMBER(R52)+(Parameters!$F$8=Parameters!$E$16)*Parameters!$I$8*ISNUMBER(S52)+(Parameters!$F$9=Parameters!$E$16)*Parameters!$I$9*ISNUMBER(T52)+(Parameters!$F$10=Parameters!$E$16)*Parameters!$I$10*ISNUMBER(U52)+(Parameters!$F$11=Parameters!$E$16)*Parameters!$I$11*ISNUMBER(V52)+(Parameters!$F$12=Parameters!$E$16)*Parameters!$I$12*ISNUMBER(W52))/((Parameters!$F$5=Parameters!$E$16)*Parameters!$I$5*1+(Parameters!$F$6=Parameters!$E$16)*Parameters!$I$6*1+(Parameters!$F$7=Parameters!$E$16)*Parameters!$I$7*1+(Parameters!$F$8=Parameters!$E$16)*Parameters!$I$8*1+(Parameters!$F$9=Parameters!$E$16)*Parameters!$I$9*1+(Parameters!$F$10=Parameters!$E$16)*Parameters!$I$10*1+(Parameters!$F$11=Parameters!$E$16)*Parameters!$I$11*X52+(Parameters!$F$12=Parameters!$E$16)*Parameters!$I$12*Y52)&gt;=Parameters!$B$36),((Parameters!$F$5=Parameters!$E$16)*Parameters!$I$5*N(P52)+(Parameters!$F$6=Parameters!$E$16)*Parameters!$I$6*N(Q52)+(Parameters!$F$7=Parameters!$E$16)*Parameters!$I$7*N(R52)+(Parameters!$F$8=Parameters!$E$16)*Parameters!$I$8*N(S52)+(Parameters!$F$9=Parameters!$E$16)*Parameters!$I$9*N(T52)+(Parameters!$F$10=Parameters!$E$16)*Parameters!$I$10*N(U52)+(Parameters!$F$11=Parameters!$E$16)*Parameters!$I$11*N(V52)+(Parameters!$F$12=Parameters!$E$16)*Parameters!$I$12*N(W52))/((Parameters!$F$5=Parameters!$E$16)*Parameters!$I$5*ISNUMBER(P52)+(Parameters!$F$6=Parameters!$E$16)*Parameters!$I$6*ISNUMBER(Q52)+(Parameters!$F$7=Parameters!$E$16)*Parameters!$I$7*ISNUMBER(R52)+(Parameters!$F$8=Parameters!$E$16)*Parameters!$I$8*ISNUMBER(S52)+(Parameters!$F$9=Parameters!$E$16)*Parameters!$I$9*ISNUMBER(T52)+(Parameters!$F$10=Parameters!$E$16)*Parameters!$I$10*ISNUMBER(U52)+(Parameters!$F$11=Parameters!$E$16)*Parameters!$I$11*ISNUMBER(V52)+(Parameters!$F$12=Parameters!$E$16)*Parameters!$I$12*ISNUMBER(W52)),""))</f>
        <v>0.8</v>
      </c>
      <c r="AB52"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52+(Parameters!$F$12=Parameters!$E$17)*Parameters!$I$12*Y52)=0,"",IF(AND(((Parameters!$F$5=Parameters!$E$17)*Parameters!$I$5*ISNUMBER(P52)+(Parameters!$F$6=Parameters!$E$17)*Parameters!$I$6*ISNUMBER(Q52)+(Parameters!$F$7=Parameters!$E$17)*Parameters!$I$7*ISNUMBER(R52)+(Parameters!$F$8=Parameters!$E$17)*Parameters!$I$8*ISNUMBER(S52)+(Parameters!$F$9=Parameters!$E$17)*Parameters!$I$9*ISNUMBER(T52)+(Parameters!$F$10=Parameters!$E$17)*Parameters!$I$10*ISNUMBER(U52)+(Parameters!$F$11=Parameters!$E$17)*Parameters!$I$11*ISNUMBER(V52)+(Parameters!$F$12=Parameters!$E$17)*Parameters!$I$12*ISNUMBER(W52))&gt;0,((Parameters!$F$5=Parameters!$E$17)*Parameters!$I$5*ISNUMBER(P52)+(Parameters!$F$6=Parameters!$E$17)*Parameters!$I$6*ISNUMBER(Q52)+(Parameters!$F$7=Parameters!$E$17)*Parameters!$I$7*ISNUMBER(R52)+(Parameters!$F$8=Parameters!$E$17)*Parameters!$I$8*ISNUMBER(S52)+(Parameters!$F$9=Parameters!$E$17)*Parameters!$I$9*ISNUMBER(T52)+(Parameters!$F$10=Parameters!$E$17)*Parameters!$I$10*ISNUMBER(U52)+(Parameters!$F$11=Parameters!$E$17)*Parameters!$I$11*ISNUMBER(V52)+(Parameters!$F$12=Parameters!$E$17)*Parameters!$I$12*ISNUMBER(W52))/((Parameters!$F$5=Parameters!$E$17)*Parameters!$I$5*1+(Parameters!$F$6=Parameters!$E$17)*Parameters!$I$6*1+(Parameters!$F$7=Parameters!$E$17)*Parameters!$I$7*1+(Parameters!$F$8=Parameters!$E$17)*Parameters!$I$8*1+(Parameters!$F$9=Parameters!$E$17)*Parameters!$I$9*1+(Parameters!$F$10=Parameters!$E$17)*Parameters!$I$10*1+(Parameters!$F$11=Parameters!$E$17)*Parameters!$I$11*X52+(Parameters!$F$12=Parameters!$E$17)*Parameters!$I$12*Y52)&gt;=Parameters!$B$36),((Parameters!$F$5=Parameters!$E$17)*Parameters!$I$5*N(P52)+(Parameters!$F$6=Parameters!$E$17)*Parameters!$I$6*N(Q52)+(Parameters!$F$7=Parameters!$E$17)*Parameters!$I$7*N(R52)+(Parameters!$F$8=Parameters!$E$17)*Parameters!$I$8*N(S52)+(Parameters!$F$9=Parameters!$E$17)*Parameters!$I$9*N(T52)+(Parameters!$F$10=Parameters!$E$17)*Parameters!$I$10*N(U52)+(Parameters!$F$11=Parameters!$E$17)*Parameters!$I$11*N(V52)+(Parameters!$F$12=Parameters!$E$17)*Parameters!$I$12*N(W52))/((Parameters!$F$5=Parameters!$E$17)*Parameters!$I$5*ISNUMBER(P52)+(Parameters!$F$6=Parameters!$E$17)*Parameters!$I$6*ISNUMBER(Q52)+(Parameters!$F$7=Parameters!$E$17)*Parameters!$I$7*ISNUMBER(R52)+(Parameters!$F$8=Parameters!$E$17)*Parameters!$I$8*ISNUMBER(S52)+(Parameters!$F$9=Parameters!$E$17)*Parameters!$I$9*ISNUMBER(T52)+(Parameters!$F$10=Parameters!$E$17)*Parameters!$I$10*ISNUMBER(U52)+(Parameters!$F$11=Parameters!$E$17)*Parameters!$I$11*ISNUMBER(V52)+(Parameters!$F$12=Parameters!$E$17)*Parameters!$I$12*ISNUMBER(W52)),""))</f>
        <v>1</v>
      </c>
      <c r="AC52" s="17" t="n">
        <f aca="false">Parameters!$I$5*ISNUMBER(P52)+Parameters!$I$6*ISNUMBER(Q52)+Parameters!$I$7*ISNUMBER(R52)+Parameters!$I$8*ISNUMBER(S52)+Parameters!$I$9*ISNUMBER(T52)+Parameters!$I$10*ISNUMBER(U52)+Parameters!$I$11*ISNUMBER(V52)+Parameters!$I$12*ISNUMBER(W52)</f>
        <v>95</v>
      </c>
      <c r="AD52" s="17" t="n">
        <f aca="false">Parameters!$I$5*1+Parameters!$I$6*1+Parameters!$I$7*1+Parameters!$I$8*1+Parameters!$I$9*1+Parameters!$I$10*1+Parameters!$I$11*X52+Parameters!$I$12*Y52</f>
        <v>95</v>
      </c>
      <c r="AE52" s="18" t="n">
        <f aca="false">IF(AD52=0,"",AC52/AD52)</f>
        <v>1</v>
      </c>
      <c r="AF52" s="17" t="str">
        <f aca="false">IF(ISNUMBER(Z52),"M","")&amp;IF(ISNUMBER(AA52),"I","")&amp;IF(ISNUMBER(AB52),"O","")</f>
        <v>MIO</v>
      </c>
      <c r="AG52" s="19" t="n">
        <f aca="false">IF(AND(ISNUMBER(AE52),ISNUMBER(Z52)+ISNUMBER(AA52)+ISNUMBER(AB52)&gt;=Parameters!$B$37),IF(AE52&gt;=Parameters!$B$35,100*(Parameters!$F$15*N(Z52)+Parameters!$F$16*N(AA52)+Parameters!$F$17*N(AB52))/(Parameters!$F$15*ISNUMBER(Z52)+Parameters!$F$16*ISNUMBER(AA52)+Parameters!$F$17*ISNUMBER(AB52)),""),"")</f>
        <v>94</v>
      </c>
      <c r="AH52" s="17" t="n">
        <f aca="false">IF(ISNUMBER(AG52),RANK(AG52,$AG$2:$AG$113),"")</f>
        <v>5</v>
      </c>
    </row>
    <row r="53" customFormat="false" ht="15" hidden="false" customHeight="false" outlineLevel="0" collapsed="false">
      <c r="A53" s="5" t="s">
        <v>317</v>
      </c>
      <c r="B53" s="5" t="s">
        <v>318</v>
      </c>
      <c r="C53" s="5" t="s">
        <v>261</v>
      </c>
      <c r="D53" s="5" t="s">
        <v>31</v>
      </c>
      <c r="E53" s="5" t="s">
        <v>44</v>
      </c>
      <c r="F53" s="5" t="s">
        <v>279</v>
      </c>
      <c r="G53" s="15"/>
      <c r="H53" s="8"/>
      <c r="I53" s="5" t="s">
        <v>57</v>
      </c>
      <c r="J53" s="5" t="s">
        <v>70</v>
      </c>
      <c r="K53" s="15" t="s">
        <v>319</v>
      </c>
      <c r="L53" s="5" t="s">
        <v>81</v>
      </c>
      <c r="M53" s="5" t="s">
        <v>136</v>
      </c>
      <c r="N53" s="5" t="s">
        <v>142</v>
      </c>
      <c r="O53" s="5" t="s">
        <v>142</v>
      </c>
      <c r="P53" s="16" t="n">
        <f aca="false">IFERROR(IF(ISNUMBER(INDEX(Parameters!$B$5:$B$23,MATCH(D53,Parameters!$A$5:$A$23,0))),INDEX(Parameters!$B$5:$B$23,MATCH(D53,Parameters!$A$5:$A$23,0)),""),"")</f>
        <v>1</v>
      </c>
      <c r="Q53" s="16" t="n">
        <f aca="false">IFERROR(IF(ISNUMBER(INDEX(Parameters!$B$5:$B$23,MATCH(E53,Parameters!$A$5:$A$23,0))),INDEX(Parameters!$B$5:$B$23,MATCH(E53,Parameters!$A$5:$A$23,0)),""),"")</f>
        <v>1</v>
      </c>
      <c r="R53" s="16" t="n">
        <f aca="false">IF(F53="","",IFERROR(MIN(Parameters!$B$33,MAX(0,Parameters!$B$32-VALUE(LEFT(F53,4))))/Parameters!$B$33,""))</f>
        <v>0.733333333333333</v>
      </c>
      <c r="S53" s="16" t="str">
        <f aca="false">IF(ISNUMBER(H53),H53,IF(G53="",IF(ISNUMBER(Parameters!$B$34),Parameters!$B$34,""),""))</f>
        <v/>
      </c>
      <c r="T53" s="16" t="n">
        <f aca="false">IFERROR(IF(ISNUMBER(INDEX(Parameters!$B$5:$B$23,MATCH(I53,Parameters!$A$5:$A$23,0))),INDEX(Parameters!$B$5:$B$23,MATCH(I53,Parameters!$A$5:$A$23,0)),""),"")</f>
        <v>0</v>
      </c>
      <c r="U53" s="16" t="n">
        <f aca="false">IFERROR(IF(ISNUMBER(INDEX(Parameters!$B$5:$B$23,MATCH(L53,Parameters!$A$5:$A$23,0))),INDEX(Parameters!$B$5:$B$23,MATCH(L53,Parameters!$A$5:$A$23,0)),""),"")</f>
        <v>1</v>
      </c>
      <c r="V53" s="16" t="n">
        <f aca="false">IFERROR(IF(ISNUMBER(INDEX(Parameters!$B$5:$B$23,MATCH(J53,Parameters!$A$5:$A$23,0))),INDEX(Parameters!$B$5:$B$23,MATCH(J53,Parameters!$A$5:$A$23,0)),""),"")</f>
        <v>1</v>
      </c>
      <c r="W53" s="16" t="n">
        <f aca="false">IF(K53&lt;&gt;"",1,IF(COUNTIF(Parameters!$A$27:$A$28,J53)&gt;0,0,""))</f>
        <v>1</v>
      </c>
      <c r="X53" s="17" t="n">
        <f aca="false">IF(J53="Not applicable",0,1)</f>
        <v>1</v>
      </c>
      <c r="Y53" s="17" t="n">
        <f aca="false">IF(OR(K53&lt;&gt;"",COUNTIF(Parameters!$A$27:$A$28,J53)&gt;0),1,0)</f>
        <v>1</v>
      </c>
      <c r="Z53"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53+(Parameters!$F$12=Parameters!$E$15)*Parameters!$I$12*Y53)=0,"",IF(AND(((Parameters!$F$5=Parameters!$E$15)*Parameters!$I$5*ISNUMBER(P53)+(Parameters!$F$6=Parameters!$E$15)*Parameters!$I$6*ISNUMBER(Q53)+(Parameters!$F$7=Parameters!$E$15)*Parameters!$I$7*ISNUMBER(R53)+(Parameters!$F$8=Parameters!$E$15)*Parameters!$I$8*ISNUMBER(S53)+(Parameters!$F$9=Parameters!$E$15)*Parameters!$I$9*ISNUMBER(T53)+(Parameters!$F$10=Parameters!$E$15)*Parameters!$I$10*ISNUMBER(U53)+(Parameters!$F$11=Parameters!$E$15)*Parameters!$I$11*ISNUMBER(V53)+(Parameters!$F$12=Parameters!$E$15)*Parameters!$I$12*ISNUMBER(W53))&gt;0,((Parameters!$F$5=Parameters!$E$15)*Parameters!$I$5*ISNUMBER(P53)+(Parameters!$F$6=Parameters!$E$15)*Parameters!$I$6*ISNUMBER(Q53)+(Parameters!$F$7=Parameters!$E$15)*Parameters!$I$7*ISNUMBER(R53)+(Parameters!$F$8=Parameters!$E$15)*Parameters!$I$8*ISNUMBER(S53)+(Parameters!$F$9=Parameters!$E$15)*Parameters!$I$9*ISNUMBER(T53)+(Parameters!$F$10=Parameters!$E$15)*Parameters!$I$10*ISNUMBER(U53)+(Parameters!$F$11=Parameters!$E$15)*Parameters!$I$11*ISNUMBER(V53)+(Parameters!$F$12=Parameters!$E$15)*Parameters!$I$12*ISNUMBER(W53))/((Parameters!$F$5=Parameters!$E$15)*Parameters!$I$5*1+(Parameters!$F$6=Parameters!$E$15)*Parameters!$I$6*1+(Parameters!$F$7=Parameters!$E$15)*Parameters!$I$7*1+(Parameters!$F$8=Parameters!$E$15)*Parameters!$I$8*1+(Parameters!$F$9=Parameters!$E$15)*Parameters!$I$9*1+(Parameters!$F$10=Parameters!$E$15)*Parameters!$I$10*1+(Parameters!$F$11=Parameters!$E$15)*Parameters!$I$11*X53+(Parameters!$F$12=Parameters!$E$15)*Parameters!$I$12*Y53)&gt;=Parameters!$B$36),((Parameters!$F$5=Parameters!$E$15)*Parameters!$I$5*N(P53)+(Parameters!$F$6=Parameters!$E$15)*Parameters!$I$6*N(Q53)+(Parameters!$F$7=Parameters!$E$15)*Parameters!$I$7*N(R53)+(Parameters!$F$8=Parameters!$E$15)*Parameters!$I$8*N(S53)+(Parameters!$F$9=Parameters!$E$15)*Parameters!$I$9*N(T53)+(Parameters!$F$10=Parameters!$E$15)*Parameters!$I$10*N(U53)+(Parameters!$F$11=Parameters!$E$15)*Parameters!$I$11*N(V53)+(Parameters!$F$12=Parameters!$E$15)*Parameters!$I$12*N(W53))/((Parameters!$F$5=Parameters!$E$15)*Parameters!$I$5*ISNUMBER(P53)+(Parameters!$F$6=Parameters!$E$15)*Parameters!$I$6*ISNUMBER(Q53)+(Parameters!$F$7=Parameters!$E$15)*Parameters!$I$7*ISNUMBER(R53)+(Parameters!$F$8=Parameters!$E$15)*Parameters!$I$8*ISNUMBER(S53)+(Parameters!$F$9=Parameters!$E$15)*Parameters!$I$9*ISNUMBER(T53)+(Parameters!$F$10=Parameters!$E$15)*Parameters!$I$10*ISNUMBER(U53)+(Parameters!$F$11=Parameters!$E$15)*Parameters!$I$11*ISNUMBER(V53)+(Parameters!$F$12=Parameters!$E$15)*Parameters!$I$12*ISNUMBER(W53)),""))</f>
        <v>0.973333333333333</v>
      </c>
      <c r="AA53"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53+(Parameters!$F$12=Parameters!$E$16)*Parameters!$I$12*Y53)=0,"",IF(AND(((Parameters!$F$5=Parameters!$E$16)*Parameters!$I$5*ISNUMBER(P53)+(Parameters!$F$6=Parameters!$E$16)*Parameters!$I$6*ISNUMBER(Q53)+(Parameters!$F$7=Parameters!$E$16)*Parameters!$I$7*ISNUMBER(R53)+(Parameters!$F$8=Parameters!$E$16)*Parameters!$I$8*ISNUMBER(S53)+(Parameters!$F$9=Parameters!$E$16)*Parameters!$I$9*ISNUMBER(T53)+(Parameters!$F$10=Parameters!$E$16)*Parameters!$I$10*ISNUMBER(U53)+(Parameters!$F$11=Parameters!$E$16)*Parameters!$I$11*ISNUMBER(V53)+(Parameters!$F$12=Parameters!$E$16)*Parameters!$I$12*ISNUMBER(W53))&gt;0,((Parameters!$F$5=Parameters!$E$16)*Parameters!$I$5*ISNUMBER(P53)+(Parameters!$F$6=Parameters!$E$16)*Parameters!$I$6*ISNUMBER(Q53)+(Parameters!$F$7=Parameters!$E$16)*Parameters!$I$7*ISNUMBER(R53)+(Parameters!$F$8=Parameters!$E$16)*Parameters!$I$8*ISNUMBER(S53)+(Parameters!$F$9=Parameters!$E$16)*Parameters!$I$9*ISNUMBER(T53)+(Parameters!$F$10=Parameters!$E$16)*Parameters!$I$10*ISNUMBER(U53)+(Parameters!$F$11=Parameters!$E$16)*Parameters!$I$11*ISNUMBER(V53)+(Parameters!$F$12=Parameters!$E$16)*Parameters!$I$12*ISNUMBER(W53))/((Parameters!$F$5=Parameters!$E$16)*Parameters!$I$5*1+(Parameters!$F$6=Parameters!$E$16)*Parameters!$I$6*1+(Parameters!$F$7=Parameters!$E$16)*Parameters!$I$7*1+(Parameters!$F$8=Parameters!$E$16)*Parameters!$I$8*1+(Parameters!$F$9=Parameters!$E$16)*Parameters!$I$9*1+(Parameters!$F$10=Parameters!$E$16)*Parameters!$I$10*1+(Parameters!$F$11=Parameters!$E$16)*Parameters!$I$11*X53+(Parameters!$F$12=Parameters!$E$16)*Parameters!$I$12*Y53)&gt;=Parameters!$B$36),((Parameters!$F$5=Parameters!$E$16)*Parameters!$I$5*N(P53)+(Parameters!$F$6=Parameters!$E$16)*Parameters!$I$6*N(Q53)+(Parameters!$F$7=Parameters!$E$16)*Parameters!$I$7*N(R53)+(Parameters!$F$8=Parameters!$E$16)*Parameters!$I$8*N(S53)+(Parameters!$F$9=Parameters!$E$16)*Parameters!$I$9*N(T53)+(Parameters!$F$10=Parameters!$E$16)*Parameters!$I$10*N(U53)+(Parameters!$F$11=Parameters!$E$16)*Parameters!$I$11*N(V53)+(Parameters!$F$12=Parameters!$E$16)*Parameters!$I$12*N(W53))/((Parameters!$F$5=Parameters!$E$16)*Parameters!$I$5*ISNUMBER(P53)+(Parameters!$F$6=Parameters!$E$16)*Parameters!$I$6*ISNUMBER(Q53)+(Parameters!$F$7=Parameters!$E$16)*Parameters!$I$7*ISNUMBER(R53)+(Parameters!$F$8=Parameters!$E$16)*Parameters!$I$8*ISNUMBER(S53)+(Parameters!$F$9=Parameters!$E$16)*Parameters!$I$9*ISNUMBER(T53)+(Parameters!$F$10=Parameters!$E$16)*Parameters!$I$10*ISNUMBER(U53)+(Parameters!$F$11=Parameters!$E$16)*Parameters!$I$11*ISNUMBER(V53)+(Parameters!$F$12=Parameters!$E$16)*Parameters!$I$12*ISNUMBER(W53)),""))</f>
        <v>0.666666666666667</v>
      </c>
      <c r="AB53"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53+(Parameters!$F$12=Parameters!$E$17)*Parameters!$I$12*Y53)=0,"",IF(AND(((Parameters!$F$5=Parameters!$E$17)*Parameters!$I$5*ISNUMBER(P53)+(Parameters!$F$6=Parameters!$E$17)*Parameters!$I$6*ISNUMBER(Q53)+(Parameters!$F$7=Parameters!$E$17)*Parameters!$I$7*ISNUMBER(R53)+(Parameters!$F$8=Parameters!$E$17)*Parameters!$I$8*ISNUMBER(S53)+(Parameters!$F$9=Parameters!$E$17)*Parameters!$I$9*ISNUMBER(T53)+(Parameters!$F$10=Parameters!$E$17)*Parameters!$I$10*ISNUMBER(U53)+(Parameters!$F$11=Parameters!$E$17)*Parameters!$I$11*ISNUMBER(V53)+(Parameters!$F$12=Parameters!$E$17)*Parameters!$I$12*ISNUMBER(W53))&gt;0,((Parameters!$F$5=Parameters!$E$17)*Parameters!$I$5*ISNUMBER(P53)+(Parameters!$F$6=Parameters!$E$17)*Parameters!$I$6*ISNUMBER(Q53)+(Parameters!$F$7=Parameters!$E$17)*Parameters!$I$7*ISNUMBER(R53)+(Parameters!$F$8=Parameters!$E$17)*Parameters!$I$8*ISNUMBER(S53)+(Parameters!$F$9=Parameters!$E$17)*Parameters!$I$9*ISNUMBER(T53)+(Parameters!$F$10=Parameters!$E$17)*Parameters!$I$10*ISNUMBER(U53)+(Parameters!$F$11=Parameters!$E$17)*Parameters!$I$11*ISNUMBER(V53)+(Parameters!$F$12=Parameters!$E$17)*Parameters!$I$12*ISNUMBER(W53))/((Parameters!$F$5=Parameters!$E$17)*Parameters!$I$5*1+(Parameters!$F$6=Parameters!$E$17)*Parameters!$I$6*1+(Parameters!$F$7=Parameters!$E$17)*Parameters!$I$7*1+(Parameters!$F$8=Parameters!$E$17)*Parameters!$I$8*1+(Parameters!$F$9=Parameters!$E$17)*Parameters!$I$9*1+(Parameters!$F$10=Parameters!$E$17)*Parameters!$I$10*1+(Parameters!$F$11=Parameters!$E$17)*Parameters!$I$11*X53+(Parameters!$F$12=Parameters!$E$17)*Parameters!$I$12*Y53)&gt;=Parameters!$B$36),((Parameters!$F$5=Parameters!$E$17)*Parameters!$I$5*N(P53)+(Parameters!$F$6=Parameters!$E$17)*Parameters!$I$6*N(Q53)+(Parameters!$F$7=Parameters!$E$17)*Parameters!$I$7*N(R53)+(Parameters!$F$8=Parameters!$E$17)*Parameters!$I$8*N(S53)+(Parameters!$F$9=Parameters!$E$17)*Parameters!$I$9*N(T53)+(Parameters!$F$10=Parameters!$E$17)*Parameters!$I$10*N(U53)+(Parameters!$F$11=Parameters!$E$17)*Parameters!$I$11*N(V53)+(Parameters!$F$12=Parameters!$E$17)*Parameters!$I$12*N(W53))/((Parameters!$F$5=Parameters!$E$17)*Parameters!$I$5*ISNUMBER(P53)+(Parameters!$F$6=Parameters!$E$17)*Parameters!$I$6*ISNUMBER(Q53)+(Parameters!$F$7=Parameters!$E$17)*Parameters!$I$7*ISNUMBER(R53)+(Parameters!$F$8=Parameters!$E$17)*Parameters!$I$8*ISNUMBER(S53)+(Parameters!$F$9=Parameters!$E$17)*Parameters!$I$9*ISNUMBER(T53)+(Parameters!$F$10=Parameters!$E$17)*Parameters!$I$10*ISNUMBER(U53)+(Parameters!$F$11=Parameters!$E$17)*Parameters!$I$11*ISNUMBER(V53)+(Parameters!$F$12=Parameters!$E$17)*Parameters!$I$12*ISNUMBER(W53)),""))</f>
        <v>1</v>
      </c>
      <c r="AC53" s="17" t="n">
        <f aca="false">Parameters!$I$5*ISNUMBER(P53)+Parameters!$I$6*ISNUMBER(Q53)+Parameters!$I$7*ISNUMBER(R53)+Parameters!$I$8*ISNUMBER(S53)+Parameters!$I$9*ISNUMBER(T53)+Parameters!$I$10*ISNUMBER(U53)+Parameters!$I$11*ISNUMBER(V53)+Parameters!$I$12*ISNUMBER(W53)</f>
        <v>85</v>
      </c>
      <c r="AD53" s="17" t="n">
        <f aca="false">Parameters!$I$5*1+Parameters!$I$6*1+Parameters!$I$7*1+Parameters!$I$8*1+Parameters!$I$9*1+Parameters!$I$10*1+Parameters!$I$11*X53+Parameters!$I$12*Y53</f>
        <v>95</v>
      </c>
      <c r="AE53" s="18" t="n">
        <f aca="false">IF(AD53=0,"",AC53/AD53)</f>
        <v>0.894736842105263</v>
      </c>
      <c r="AF53" s="17" t="str">
        <f aca="false">IF(ISNUMBER(Z53),"M","")&amp;IF(ISNUMBER(AA53),"I","")&amp;IF(ISNUMBER(AB53),"O","")</f>
        <v>MIO</v>
      </c>
      <c r="AG53" s="19" t="n">
        <f aca="false">IF(AND(ISNUMBER(AE53),ISNUMBER(Z53)+ISNUMBER(AA53)+ISNUMBER(AB53)&gt;=Parameters!$B$37),IF(AE53&gt;=Parameters!$B$35,100*(Parameters!$F$15*N(Z53)+Parameters!$F$16*N(AA53)+Parameters!$F$17*N(AB53))/(Parameters!$F$15*ISNUMBER(Z53)+Parameters!$F$16*ISNUMBER(AA53)+Parameters!$F$17*ISNUMBER(AB53)),""),"")</f>
        <v>88.6666666666667</v>
      </c>
      <c r="AH53" s="17" t="n">
        <f aca="false">IF(ISNUMBER(AG53),RANK(AG53,$AG$2:$AG$113),"")</f>
        <v>37</v>
      </c>
    </row>
    <row r="54" customFormat="false" ht="15" hidden="false" customHeight="false" outlineLevel="0" collapsed="false">
      <c r="A54" s="5" t="s">
        <v>320</v>
      </c>
      <c r="B54" s="5" t="s">
        <v>318</v>
      </c>
      <c r="C54" s="5" t="s">
        <v>261</v>
      </c>
      <c r="D54" s="5" t="s">
        <v>31</v>
      </c>
      <c r="E54" s="5" t="s">
        <v>44</v>
      </c>
      <c r="F54" s="5" t="s">
        <v>146</v>
      </c>
      <c r="G54" s="15" t="s">
        <v>183</v>
      </c>
      <c r="H54" s="8" t="n">
        <v>0</v>
      </c>
      <c r="I54" s="5" t="s">
        <v>57</v>
      </c>
      <c r="J54" s="5" t="s">
        <v>70</v>
      </c>
      <c r="K54" s="15" t="s">
        <v>321</v>
      </c>
      <c r="L54" s="5" t="s">
        <v>81</v>
      </c>
      <c r="M54" s="5" t="s">
        <v>136</v>
      </c>
      <c r="N54" s="5" t="s">
        <v>142</v>
      </c>
      <c r="O54" s="5" t="s">
        <v>142</v>
      </c>
      <c r="P54" s="16" t="n">
        <f aca="false">IFERROR(IF(ISNUMBER(INDEX(Parameters!$B$5:$B$23,MATCH(D54,Parameters!$A$5:$A$23,0))),INDEX(Parameters!$B$5:$B$23,MATCH(D54,Parameters!$A$5:$A$23,0)),""),"")</f>
        <v>1</v>
      </c>
      <c r="Q54" s="16" t="n">
        <f aca="false">IFERROR(IF(ISNUMBER(INDEX(Parameters!$B$5:$B$23,MATCH(E54,Parameters!$A$5:$A$23,0))),INDEX(Parameters!$B$5:$B$23,MATCH(E54,Parameters!$A$5:$A$23,0)),""),"")</f>
        <v>1</v>
      </c>
      <c r="R54" s="16" t="n">
        <f aca="false">IF(F54="","",IFERROR(MIN(Parameters!$B$33,MAX(0,Parameters!$B$32-VALUE(LEFT(F54,4))))/Parameters!$B$33,""))</f>
        <v>0.533333333333333</v>
      </c>
      <c r="S54" s="16" t="n">
        <f aca="false">IF(ISNUMBER(H54),H54,IF(G54="",IF(ISNUMBER(Parameters!$B$34),Parameters!$B$34,""),""))</f>
        <v>0</v>
      </c>
      <c r="T54" s="16" t="n">
        <f aca="false">IFERROR(IF(ISNUMBER(INDEX(Parameters!$B$5:$B$23,MATCH(I54,Parameters!$A$5:$A$23,0))),INDEX(Parameters!$B$5:$B$23,MATCH(I54,Parameters!$A$5:$A$23,0)),""),"")</f>
        <v>0</v>
      </c>
      <c r="U54" s="16" t="n">
        <f aca="false">IFERROR(IF(ISNUMBER(INDEX(Parameters!$B$5:$B$23,MATCH(L54,Parameters!$A$5:$A$23,0))),INDEX(Parameters!$B$5:$B$23,MATCH(L54,Parameters!$A$5:$A$23,0)),""),"")</f>
        <v>1</v>
      </c>
      <c r="V54" s="16" t="n">
        <f aca="false">IFERROR(IF(ISNUMBER(INDEX(Parameters!$B$5:$B$23,MATCH(J54,Parameters!$A$5:$A$23,0))),INDEX(Parameters!$B$5:$B$23,MATCH(J54,Parameters!$A$5:$A$23,0)),""),"")</f>
        <v>1</v>
      </c>
      <c r="W54" s="16" t="n">
        <f aca="false">IF(K54&lt;&gt;"",1,IF(COUNTIF(Parameters!$A$27:$A$28,J54)&gt;0,0,""))</f>
        <v>1</v>
      </c>
      <c r="X54" s="17" t="n">
        <f aca="false">IF(J54="Not applicable",0,1)</f>
        <v>1</v>
      </c>
      <c r="Y54" s="17" t="n">
        <f aca="false">IF(OR(K54&lt;&gt;"",COUNTIF(Parameters!$A$27:$A$28,J54)&gt;0),1,0)</f>
        <v>1</v>
      </c>
      <c r="Z54"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54+(Parameters!$F$12=Parameters!$E$15)*Parameters!$I$12*Y54)=0,"",IF(AND(((Parameters!$F$5=Parameters!$E$15)*Parameters!$I$5*ISNUMBER(P54)+(Parameters!$F$6=Parameters!$E$15)*Parameters!$I$6*ISNUMBER(Q54)+(Parameters!$F$7=Parameters!$E$15)*Parameters!$I$7*ISNUMBER(R54)+(Parameters!$F$8=Parameters!$E$15)*Parameters!$I$8*ISNUMBER(S54)+(Parameters!$F$9=Parameters!$E$15)*Parameters!$I$9*ISNUMBER(T54)+(Parameters!$F$10=Parameters!$E$15)*Parameters!$I$10*ISNUMBER(U54)+(Parameters!$F$11=Parameters!$E$15)*Parameters!$I$11*ISNUMBER(V54)+(Parameters!$F$12=Parameters!$E$15)*Parameters!$I$12*ISNUMBER(W54))&gt;0,((Parameters!$F$5=Parameters!$E$15)*Parameters!$I$5*ISNUMBER(P54)+(Parameters!$F$6=Parameters!$E$15)*Parameters!$I$6*ISNUMBER(Q54)+(Parameters!$F$7=Parameters!$E$15)*Parameters!$I$7*ISNUMBER(R54)+(Parameters!$F$8=Parameters!$E$15)*Parameters!$I$8*ISNUMBER(S54)+(Parameters!$F$9=Parameters!$E$15)*Parameters!$I$9*ISNUMBER(T54)+(Parameters!$F$10=Parameters!$E$15)*Parameters!$I$10*ISNUMBER(U54)+(Parameters!$F$11=Parameters!$E$15)*Parameters!$I$11*ISNUMBER(V54)+(Parameters!$F$12=Parameters!$E$15)*Parameters!$I$12*ISNUMBER(W54))/((Parameters!$F$5=Parameters!$E$15)*Parameters!$I$5*1+(Parameters!$F$6=Parameters!$E$15)*Parameters!$I$6*1+(Parameters!$F$7=Parameters!$E$15)*Parameters!$I$7*1+(Parameters!$F$8=Parameters!$E$15)*Parameters!$I$8*1+(Parameters!$F$9=Parameters!$E$15)*Parameters!$I$9*1+(Parameters!$F$10=Parameters!$E$15)*Parameters!$I$10*1+(Parameters!$F$11=Parameters!$E$15)*Parameters!$I$11*X54+(Parameters!$F$12=Parameters!$E$15)*Parameters!$I$12*Y54)&gt;=Parameters!$B$36),((Parameters!$F$5=Parameters!$E$15)*Parameters!$I$5*N(P54)+(Parameters!$F$6=Parameters!$E$15)*Parameters!$I$6*N(Q54)+(Parameters!$F$7=Parameters!$E$15)*Parameters!$I$7*N(R54)+(Parameters!$F$8=Parameters!$E$15)*Parameters!$I$8*N(S54)+(Parameters!$F$9=Parameters!$E$15)*Parameters!$I$9*N(T54)+(Parameters!$F$10=Parameters!$E$15)*Parameters!$I$10*N(U54)+(Parameters!$F$11=Parameters!$E$15)*Parameters!$I$11*N(V54)+(Parameters!$F$12=Parameters!$E$15)*Parameters!$I$12*N(W54))/((Parameters!$F$5=Parameters!$E$15)*Parameters!$I$5*ISNUMBER(P54)+(Parameters!$F$6=Parameters!$E$15)*Parameters!$I$6*ISNUMBER(Q54)+(Parameters!$F$7=Parameters!$E$15)*Parameters!$I$7*ISNUMBER(R54)+(Parameters!$F$8=Parameters!$E$15)*Parameters!$I$8*ISNUMBER(S54)+(Parameters!$F$9=Parameters!$E$15)*Parameters!$I$9*ISNUMBER(T54)+(Parameters!$F$10=Parameters!$E$15)*Parameters!$I$10*ISNUMBER(U54)+(Parameters!$F$11=Parameters!$E$15)*Parameters!$I$11*ISNUMBER(V54)+(Parameters!$F$12=Parameters!$E$15)*Parameters!$I$12*ISNUMBER(W54)),""))</f>
        <v>0.953333333333333</v>
      </c>
      <c r="AA54"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54+(Parameters!$F$12=Parameters!$E$16)*Parameters!$I$12*Y54)=0,"",IF(AND(((Parameters!$F$5=Parameters!$E$16)*Parameters!$I$5*ISNUMBER(P54)+(Parameters!$F$6=Parameters!$E$16)*Parameters!$I$6*ISNUMBER(Q54)+(Parameters!$F$7=Parameters!$E$16)*Parameters!$I$7*ISNUMBER(R54)+(Parameters!$F$8=Parameters!$E$16)*Parameters!$I$8*ISNUMBER(S54)+(Parameters!$F$9=Parameters!$E$16)*Parameters!$I$9*ISNUMBER(T54)+(Parameters!$F$10=Parameters!$E$16)*Parameters!$I$10*ISNUMBER(U54)+(Parameters!$F$11=Parameters!$E$16)*Parameters!$I$11*ISNUMBER(V54)+(Parameters!$F$12=Parameters!$E$16)*Parameters!$I$12*ISNUMBER(W54))&gt;0,((Parameters!$F$5=Parameters!$E$16)*Parameters!$I$5*ISNUMBER(P54)+(Parameters!$F$6=Parameters!$E$16)*Parameters!$I$6*ISNUMBER(Q54)+(Parameters!$F$7=Parameters!$E$16)*Parameters!$I$7*ISNUMBER(R54)+(Parameters!$F$8=Parameters!$E$16)*Parameters!$I$8*ISNUMBER(S54)+(Parameters!$F$9=Parameters!$E$16)*Parameters!$I$9*ISNUMBER(T54)+(Parameters!$F$10=Parameters!$E$16)*Parameters!$I$10*ISNUMBER(U54)+(Parameters!$F$11=Parameters!$E$16)*Parameters!$I$11*ISNUMBER(V54)+(Parameters!$F$12=Parameters!$E$16)*Parameters!$I$12*ISNUMBER(W54))/((Parameters!$F$5=Parameters!$E$16)*Parameters!$I$5*1+(Parameters!$F$6=Parameters!$E$16)*Parameters!$I$6*1+(Parameters!$F$7=Parameters!$E$16)*Parameters!$I$7*1+(Parameters!$F$8=Parameters!$E$16)*Parameters!$I$8*1+(Parameters!$F$9=Parameters!$E$16)*Parameters!$I$9*1+(Parameters!$F$10=Parameters!$E$16)*Parameters!$I$10*1+(Parameters!$F$11=Parameters!$E$16)*Parameters!$I$11*X54+(Parameters!$F$12=Parameters!$E$16)*Parameters!$I$12*Y54)&gt;=Parameters!$B$36),((Parameters!$F$5=Parameters!$E$16)*Parameters!$I$5*N(P54)+(Parameters!$F$6=Parameters!$E$16)*Parameters!$I$6*N(Q54)+(Parameters!$F$7=Parameters!$E$16)*Parameters!$I$7*N(R54)+(Parameters!$F$8=Parameters!$E$16)*Parameters!$I$8*N(S54)+(Parameters!$F$9=Parameters!$E$16)*Parameters!$I$9*N(T54)+(Parameters!$F$10=Parameters!$E$16)*Parameters!$I$10*N(U54)+(Parameters!$F$11=Parameters!$E$16)*Parameters!$I$11*N(V54)+(Parameters!$F$12=Parameters!$E$16)*Parameters!$I$12*N(W54))/((Parameters!$F$5=Parameters!$E$16)*Parameters!$I$5*ISNUMBER(P54)+(Parameters!$F$6=Parameters!$E$16)*Parameters!$I$6*ISNUMBER(Q54)+(Parameters!$F$7=Parameters!$E$16)*Parameters!$I$7*ISNUMBER(R54)+(Parameters!$F$8=Parameters!$E$16)*Parameters!$I$8*ISNUMBER(S54)+(Parameters!$F$9=Parameters!$E$16)*Parameters!$I$9*ISNUMBER(T54)+(Parameters!$F$10=Parameters!$E$16)*Parameters!$I$10*ISNUMBER(U54)+(Parameters!$F$11=Parameters!$E$16)*Parameters!$I$11*ISNUMBER(V54)+(Parameters!$F$12=Parameters!$E$16)*Parameters!$I$12*ISNUMBER(W54)),""))</f>
        <v>0.4</v>
      </c>
      <c r="AB54"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54+(Parameters!$F$12=Parameters!$E$17)*Parameters!$I$12*Y54)=0,"",IF(AND(((Parameters!$F$5=Parameters!$E$17)*Parameters!$I$5*ISNUMBER(P54)+(Parameters!$F$6=Parameters!$E$17)*Parameters!$I$6*ISNUMBER(Q54)+(Parameters!$F$7=Parameters!$E$17)*Parameters!$I$7*ISNUMBER(R54)+(Parameters!$F$8=Parameters!$E$17)*Parameters!$I$8*ISNUMBER(S54)+(Parameters!$F$9=Parameters!$E$17)*Parameters!$I$9*ISNUMBER(T54)+(Parameters!$F$10=Parameters!$E$17)*Parameters!$I$10*ISNUMBER(U54)+(Parameters!$F$11=Parameters!$E$17)*Parameters!$I$11*ISNUMBER(V54)+(Parameters!$F$12=Parameters!$E$17)*Parameters!$I$12*ISNUMBER(W54))&gt;0,((Parameters!$F$5=Parameters!$E$17)*Parameters!$I$5*ISNUMBER(P54)+(Parameters!$F$6=Parameters!$E$17)*Parameters!$I$6*ISNUMBER(Q54)+(Parameters!$F$7=Parameters!$E$17)*Parameters!$I$7*ISNUMBER(R54)+(Parameters!$F$8=Parameters!$E$17)*Parameters!$I$8*ISNUMBER(S54)+(Parameters!$F$9=Parameters!$E$17)*Parameters!$I$9*ISNUMBER(T54)+(Parameters!$F$10=Parameters!$E$17)*Parameters!$I$10*ISNUMBER(U54)+(Parameters!$F$11=Parameters!$E$17)*Parameters!$I$11*ISNUMBER(V54)+(Parameters!$F$12=Parameters!$E$17)*Parameters!$I$12*ISNUMBER(W54))/((Parameters!$F$5=Parameters!$E$17)*Parameters!$I$5*1+(Parameters!$F$6=Parameters!$E$17)*Parameters!$I$6*1+(Parameters!$F$7=Parameters!$E$17)*Parameters!$I$7*1+(Parameters!$F$8=Parameters!$E$17)*Parameters!$I$8*1+(Parameters!$F$9=Parameters!$E$17)*Parameters!$I$9*1+(Parameters!$F$10=Parameters!$E$17)*Parameters!$I$10*1+(Parameters!$F$11=Parameters!$E$17)*Parameters!$I$11*X54+(Parameters!$F$12=Parameters!$E$17)*Parameters!$I$12*Y54)&gt;=Parameters!$B$36),((Parameters!$F$5=Parameters!$E$17)*Parameters!$I$5*N(P54)+(Parameters!$F$6=Parameters!$E$17)*Parameters!$I$6*N(Q54)+(Parameters!$F$7=Parameters!$E$17)*Parameters!$I$7*N(R54)+(Parameters!$F$8=Parameters!$E$17)*Parameters!$I$8*N(S54)+(Parameters!$F$9=Parameters!$E$17)*Parameters!$I$9*N(T54)+(Parameters!$F$10=Parameters!$E$17)*Parameters!$I$10*N(U54)+(Parameters!$F$11=Parameters!$E$17)*Parameters!$I$11*N(V54)+(Parameters!$F$12=Parameters!$E$17)*Parameters!$I$12*N(W54))/((Parameters!$F$5=Parameters!$E$17)*Parameters!$I$5*ISNUMBER(P54)+(Parameters!$F$6=Parameters!$E$17)*Parameters!$I$6*ISNUMBER(Q54)+(Parameters!$F$7=Parameters!$E$17)*Parameters!$I$7*ISNUMBER(R54)+(Parameters!$F$8=Parameters!$E$17)*Parameters!$I$8*ISNUMBER(S54)+(Parameters!$F$9=Parameters!$E$17)*Parameters!$I$9*ISNUMBER(T54)+(Parameters!$F$10=Parameters!$E$17)*Parameters!$I$10*ISNUMBER(U54)+(Parameters!$F$11=Parameters!$E$17)*Parameters!$I$11*ISNUMBER(V54)+(Parameters!$F$12=Parameters!$E$17)*Parameters!$I$12*ISNUMBER(W54)),""))</f>
        <v>1</v>
      </c>
      <c r="AC54" s="17" t="n">
        <f aca="false">Parameters!$I$5*ISNUMBER(P54)+Parameters!$I$6*ISNUMBER(Q54)+Parameters!$I$7*ISNUMBER(R54)+Parameters!$I$8*ISNUMBER(S54)+Parameters!$I$9*ISNUMBER(T54)+Parameters!$I$10*ISNUMBER(U54)+Parameters!$I$11*ISNUMBER(V54)+Parameters!$I$12*ISNUMBER(W54)</f>
        <v>95</v>
      </c>
      <c r="AD54" s="17" t="n">
        <f aca="false">Parameters!$I$5*1+Parameters!$I$6*1+Parameters!$I$7*1+Parameters!$I$8*1+Parameters!$I$9*1+Parameters!$I$10*1+Parameters!$I$11*X54+Parameters!$I$12*Y54</f>
        <v>95</v>
      </c>
      <c r="AE54" s="18" t="n">
        <f aca="false">IF(AD54=0,"",AC54/AD54)</f>
        <v>1</v>
      </c>
      <c r="AF54" s="17" t="str">
        <f aca="false">IF(ISNUMBER(Z54),"M","")&amp;IF(ISNUMBER(AA54),"I","")&amp;IF(ISNUMBER(AB54),"O","")</f>
        <v>MIO</v>
      </c>
      <c r="AG54" s="19" t="n">
        <f aca="false">IF(AND(ISNUMBER(AE54),ISNUMBER(Z54)+ISNUMBER(AA54)+ISNUMBER(AB54)&gt;=Parameters!$B$37),IF(AE54&gt;=Parameters!$B$35,100*(Parameters!$F$15*N(Z54)+Parameters!$F$16*N(AA54)+Parameters!$F$17*N(AB54))/(Parameters!$F$15*ISNUMBER(Z54)+Parameters!$F$16*ISNUMBER(AA54)+Parameters!$F$17*ISNUMBER(AB54)),""),"")</f>
        <v>79.6666666666667</v>
      </c>
      <c r="AH54" s="17" t="n">
        <f aca="false">IF(ISNUMBER(AG54),RANK(AG54,$AG$2:$AG$113),"")</f>
        <v>80</v>
      </c>
    </row>
    <row r="55" customFormat="false" ht="15" hidden="false" customHeight="false" outlineLevel="0" collapsed="false">
      <c r="A55" s="5" t="s">
        <v>322</v>
      </c>
      <c r="B55" s="5" t="s">
        <v>323</v>
      </c>
      <c r="C55" s="5" t="s">
        <v>160</v>
      </c>
      <c r="D55" s="5" t="s">
        <v>31</v>
      </c>
      <c r="E55" s="5" t="s">
        <v>44</v>
      </c>
      <c r="F55" s="5" t="s">
        <v>273</v>
      </c>
      <c r="G55" s="15"/>
      <c r="H55" s="8"/>
      <c r="I55" s="5" t="s">
        <v>57</v>
      </c>
      <c r="J55" s="5" t="s">
        <v>74</v>
      </c>
      <c r="K55" s="15" t="s">
        <v>324</v>
      </c>
      <c r="L55" s="5" t="s">
        <v>81</v>
      </c>
      <c r="M55" s="5" t="s">
        <v>136</v>
      </c>
      <c r="N55" s="5"/>
      <c r="O55" s="5"/>
      <c r="P55" s="16" t="n">
        <f aca="false">IFERROR(IF(ISNUMBER(INDEX(Parameters!$B$5:$B$23,MATCH(D55,Parameters!$A$5:$A$23,0))),INDEX(Parameters!$B$5:$B$23,MATCH(D55,Parameters!$A$5:$A$23,0)),""),"")</f>
        <v>1</v>
      </c>
      <c r="Q55" s="16" t="n">
        <f aca="false">IFERROR(IF(ISNUMBER(INDEX(Parameters!$B$5:$B$23,MATCH(E55,Parameters!$A$5:$A$23,0))),INDEX(Parameters!$B$5:$B$23,MATCH(E55,Parameters!$A$5:$A$23,0)),""),"")</f>
        <v>1</v>
      </c>
      <c r="R55" s="16" t="n">
        <f aca="false">IF(F55="","",IFERROR(MIN(Parameters!$B$33,MAX(0,Parameters!$B$32-VALUE(LEFT(F55,4))))/Parameters!$B$33,""))</f>
        <v>1</v>
      </c>
      <c r="S55" s="16" t="str">
        <f aca="false">IF(ISNUMBER(H55),H55,IF(G55="",IF(ISNUMBER(Parameters!$B$34),Parameters!$B$34,""),""))</f>
        <v/>
      </c>
      <c r="T55" s="16" t="n">
        <f aca="false">IFERROR(IF(ISNUMBER(INDEX(Parameters!$B$5:$B$23,MATCH(I55,Parameters!$A$5:$A$23,0))),INDEX(Parameters!$B$5:$B$23,MATCH(I55,Parameters!$A$5:$A$23,0)),""),"")</f>
        <v>0</v>
      </c>
      <c r="U55" s="16" t="n">
        <f aca="false">IFERROR(IF(ISNUMBER(INDEX(Parameters!$B$5:$B$23,MATCH(L55,Parameters!$A$5:$A$23,0))),INDEX(Parameters!$B$5:$B$23,MATCH(L55,Parameters!$A$5:$A$23,0)),""),"")</f>
        <v>1</v>
      </c>
      <c r="V55" s="16" t="str">
        <f aca="false">IFERROR(IF(ISNUMBER(INDEX(Parameters!$B$5:$B$23,MATCH(J55,Parameters!$A$5:$A$23,0))),INDEX(Parameters!$B$5:$B$23,MATCH(J55,Parameters!$A$5:$A$23,0)),""),"")</f>
        <v/>
      </c>
      <c r="W55" s="16" t="n">
        <f aca="false">IF(K55&lt;&gt;"",1,IF(COUNTIF(Parameters!$A$27:$A$28,J55)&gt;0,0,""))</f>
        <v>1</v>
      </c>
      <c r="X55" s="17" t="n">
        <f aca="false">IF(J55="Not applicable",0,1)</f>
        <v>0</v>
      </c>
      <c r="Y55" s="17" t="n">
        <f aca="false">IF(OR(K55&lt;&gt;"",COUNTIF(Parameters!$A$27:$A$28,J55)&gt;0),1,0)</f>
        <v>1</v>
      </c>
      <c r="Z55"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55+(Parameters!$F$12=Parameters!$E$15)*Parameters!$I$12*Y55)=0,"",IF(AND(((Parameters!$F$5=Parameters!$E$15)*Parameters!$I$5*ISNUMBER(P55)+(Parameters!$F$6=Parameters!$E$15)*Parameters!$I$6*ISNUMBER(Q55)+(Parameters!$F$7=Parameters!$E$15)*Parameters!$I$7*ISNUMBER(R55)+(Parameters!$F$8=Parameters!$E$15)*Parameters!$I$8*ISNUMBER(S55)+(Parameters!$F$9=Parameters!$E$15)*Parameters!$I$9*ISNUMBER(T55)+(Parameters!$F$10=Parameters!$E$15)*Parameters!$I$10*ISNUMBER(U55)+(Parameters!$F$11=Parameters!$E$15)*Parameters!$I$11*ISNUMBER(V55)+(Parameters!$F$12=Parameters!$E$15)*Parameters!$I$12*ISNUMBER(W55))&gt;0,((Parameters!$F$5=Parameters!$E$15)*Parameters!$I$5*ISNUMBER(P55)+(Parameters!$F$6=Parameters!$E$15)*Parameters!$I$6*ISNUMBER(Q55)+(Parameters!$F$7=Parameters!$E$15)*Parameters!$I$7*ISNUMBER(R55)+(Parameters!$F$8=Parameters!$E$15)*Parameters!$I$8*ISNUMBER(S55)+(Parameters!$F$9=Parameters!$E$15)*Parameters!$I$9*ISNUMBER(T55)+(Parameters!$F$10=Parameters!$E$15)*Parameters!$I$10*ISNUMBER(U55)+(Parameters!$F$11=Parameters!$E$15)*Parameters!$I$11*ISNUMBER(V55)+(Parameters!$F$12=Parameters!$E$15)*Parameters!$I$12*ISNUMBER(W55))/((Parameters!$F$5=Parameters!$E$15)*Parameters!$I$5*1+(Parameters!$F$6=Parameters!$E$15)*Parameters!$I$6*1+(Parameters!$F$7=Parameters!$E$15)*Parameters!$I$7*1+(Parameters!$F$8=Parameters!$E$15)*Parameters!$I$8*1+(Parameters!$F$9=Parameters!$E$15)*Parameters!$I$9*1+(Parameters!$F$10=Parameters!$E$15)*Parameters!$I$10*1+(Parameters!$F$11=Parameters!$E$15)*Parameters!$I$11*X55+(Parameters!$F$12=Parameters!$E$15)*Parameters!$I$12*Y55)&gt;=Parameters!$B$36),((Parameters!$F$5=Parameters!$E$15)*Parameters!$I$5*N(P55)+(Parameters!$F$6=Parameters!$E$15)*Parameters!$I$6*N(Q55)+(Parameters!$F$7=Parameters!$E$15)*Parameters!$I$7*N(R55)+(Parameters!$F$8=Parameters!$E$15)*Parameters!$I$8*N(S55)+(Parameters!$F$9=Parameters!$E$15)*Parameters!$I$9*N(T55)+(Parameters!$F$10=Parameters!$E$15)*Parameters!$I$10*N(U55)+(Parameters!$F$11=Parameters!$E$15)*Parameters!$I$11*N(V55)+(Parameters!$F$12=Parameters!$E$15)*Parameters!$I$12*N(W55))/((Parameters!$F$5=Parameters!$E$15)*Parameters!$I$5*ISNUMBER(P55)+(Parameters!$F$6=Parameters!$E$15)*Parameters!$I$6*ISNUMBER(Q55)+(Parameters!$F$7=Parameters!$E$15)*Parameters!$I$7*ISNUMBER(R55)+(Parameters!$F$8=Parameters!$E$15)*Parameters!$I$8*ISNUMBER(S55)+(Parameters!$F$9=Parameters!$E$15)*Parameters!$I$9*ISNUMBER(T55)+(Parameters!$F$10=Parameters!$E$15)*Parameters!$I$10*ISNUMBER(U55)+(Parameters!$F$11=Parameters!$E$15)*Parameters!$I$11*ISNUMBER(V55)+(Parameters!$F$12=Parameters!$E$15)*Parameters!$I$12*ISNUMBER(W55)),""))</f>
        <v>1</v>
      </c>
      <c r="AA55"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55+(Parameters!$F$12=Parameters!$E$16)*Parameters!$I$12*Y55)=0,"",IF(AND(((Parameters!$F$5=Parameters!$E$16)*Parameters!$I$5*ISNUMBER(P55)+(Parameters!$F$6=Parameters!$E$16)*Parameters!$I$6*ISNUMBER(Q55)+(Parameters!$F$7=Parameters!$E$16)*Parameters!$I$7*ISNUMBER(R55)+(Parameters!$F$8=Parameters!$E$16)*Parameters!$I$8*ISNUMBER(S55)+(Parameters!$F$9=Parameters!$E$16)*Parameters!$I$9*ISNUMBER(T55)+(Parameters!$F$10=Parameters!$E$16)*Parameters!$I$10*ISNUMBER(U55)+(Parameters!$F$11=Parameters!$E$16)*Parameters!$I$11*ISNUMBER(V55)+(Parameters!$F$12=Parameters!$E$16)*Parameters!$I$12*ISNUMBER(W55))&gt;0,((Parameters!$F$5=Parameters!$E$16)*Parameters!$I$5*ISNUMBER(P55)+(Parameters!$F$6=Parameters!$E$16)*Parameters!$I$6*ISNUMBER(Q55)+(Parameters!$F$7=Parameters!$E$16)*Parameters!$I$7*ISNUMBER(R55)+(Parameters!$F$8=Parameters!$E$16)*Parameters!$I$8*ISNUMBER(S55)+(Parameters!$F$9=Parameters!$E$16)*Parameters!$I$9*ISNUMBER(T55)+(Parameters!$F$10=Parameters!$E$16)*Parameters!$I$10*ISNUMBER(U55)+(Parameters!$F$11=Parameters!$E$16)*Parameters!$I$11*ISNUMBER(V55)+(Parameters!$F$12=Parameters!$E$16)*Parameters!$I$12*ISNUMBER(W55))/((Parameters!$F$5=Parameters!$E$16)*Parameters!$I$5*1+(Parameters!$F$6=Parameters!$E$16)*Parameters!$I$6*1+(Parameters!$F$7=Parameters!$E$16)*Parameters!$I$7*1+(Parameters!$F$8=Parameters!$E$16)*Parameters!$I$8*1+(Parameters!$F$9=Parameters!$E$16)*Parameters!$I$9*1+(Parameters!$F$10=Parameters!$E$16)*Parameters!$I$10*1+(Parameters!$F$11=Parameters!$E$16)*Parameters!$I$11*X55+(Parameters!$F$12=Parameters!$E$16)*Parameters!$I$12*Y55)&gt;=Parameters!$B$36),((Parameters!$F$5=Parameters!$E$16)*Parameters!$I$5*N(P55)+(Parameters!$F$6=Parameters!$E$16)*Parameters!$I$6*N(Q55)+(Parameters!$F$7=Parameters!$E$16)*Parameters!$I$7*N(R55)+(Parameters!$F$8=Parameters!$E$16)*Parameters!$I$8*N(S55)+(Parameters!$F$9=Parameters!$E$16)*Parameters!$I$9*N(T55)+(Parameters!$F$10=Parameters!$E$16)*Parameters!$I$10*N(U55)+(Parameters!$F$11=Parameters!$E$16)*Parameters!$I$11*N(V55)+(Parameters!$F$12=Parameters!$E$16)*Parameters!$I$12*N(W55))/((Parameters!$F$5=Parameters!$E$16)*Parameters!$I$5*ISNUMBER(P55)+(Parameters!$F$6=Parameters!$E$16)*Parameters!$I$6*ISNUMBER(Q55)+(Parameters!$F$7=Parameters!$E$16)*Parameters!$I$7*ISNUMBER(R55)+(Parameters!$F$8=Parameters!$E$16)*Parameters!$I$8*ISNUMBER(S55)+(Parameters!$F$9=Parameters!$E$16)*Parameters!$I$9*ISNUMBER(T55)+(Parameters!$F$10=Parameters!$E$16)*Parameters!$I$10*ISNUMBER(U55)+(Parameters!$F$11=Parameters!$E$16)*Parameters!$I$11*ISNUMBER(V55)+(Parameters!$F$12=Parameters!$E$16)*Parameters!$I$12*ISNUMBER(W55)),""))</f>
        <v>0.666666666666667</v>
      </c>
      <c r="AB55"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55+(Parameters!$F$12=Parameters!$E$17)*Parameters!$I$12*Y55)=0,"",IF(AND(((Parameters!$F$5=Parameters!$E$17)*Parameters!$I$5*ISNUMBER(P55)+(Parameters!$F$6=Parameters!$E$17)*Parameters!$I$6*ISNUMBER(Q55)+(Parameters!$F$7=Parameters!$E$17)*Parameters!$I$7*ISNUMBER(R55)+(Parameters!$F$8=Parameters!$E$17)*Parameters!$I$8*ISNUMBER(S55)+(Parameters!$F$9=Parameters!$E$17)*Parameters!$I$9*ISNUMBER(T55)+(Parameters!$F$10=Parameters!$E$17)*Parameters!$I$10*ISNUMBER(U55)+(Parameters!$F$11=Parameters!$E$17)*Parameters!$I$11*ISNUMBER(V55)+(Parameters!$F$12=Parameters!$E$17)*Parameters!$I$12*ISNUMBER(W55))&gt;0,((Parameters!$F$5=Parameters!$E$17)*Parameters!$I$5*ISNUMBER(P55)+(Parameters!$F$6=Parameters!$E$17)*Parameters!$I$6*ISNUMBER(Q55)+(Parameters!$F$7=Parameters!$E$17)*Parameters!$I$7*ISNUMBER(R55)+(Parameters!$F$8=Parameters!$E$17)*Parameters!$I$8*ISNUMBER(S55)+(Parameters!$F$9=Parameters!$E$17)*Parameters!$I$9*ISNUMBER(T55)+(Parameters!$F$10=Parameters!$E$17)*Parameters!$I$10*ISNUMBER(U55)+(Parameters!$F$11=Parameters!$E$17)*Parameters!$I$11*ISNUMBER(V55)+(Parameters!$F$12=Parameters!$E$17)*Parameters!$I$12*ISNUMBER(W55))/((Parameters!$F$5=Parameters!$E$17)*Parameters!$I$5*1+(Parameters!$F$6=Parameters!$E$17)*Parameters!$I$6*1+(Parameters!$F$7=Parameters!$E$17)*Parameters!$I$7*1+(Parameters!$F$8=Parameters!$E$17)*Parameters!$I$8*1+(Parameters!$F$9=Parameters!$E$17)*Parameters!$I$9*1+(Parameters!$F$10=Parameters!$E$17)*Parameters!$I$10*1+(Parameters!$F$11=Parameters!$E$17)*Parameters!$I$11*X55+(Parameters!$F$12=Parameters!$E$17)*Parameters!$I$12*Y55)&gt;=Parameters!$B$36),((Parameters!$F$5=Parameters!$E$17)*Parameters!$I$5*N(P55)+(Parameters!$F$6=Parameters!$E$17)*Parameters!$I$6*N(Q55)+(Parameters!$F$7=Parameters!$E$17)*Parameters!$I$7*N(R55)+(Parameters!$F$8=Parameters!$E$17)*Parameters!$I$8*N(S55)+(Parameters!$F$9=Parameters!$E$17)*Parameters!$I$9*N(T55)+(Parameters!$F$10=Parameters!$E$17)*Parameters!$I$10*N(U55)+(Parameters!$F$11=Parameters!$E$17)*Parameters!$I$11*N(V55)+(Parameters!$F$12=Parameters!$E$17)*Parameters!$I$12*N(W55))/((Parameters!$F$5=Parameters!$E$17)*Parameters!$I$5*ISNUMBER(P55)+(Parameters!$F$6=Parameters!$E$17)*Parameters!$I$6*ISNUMBER(Q55)+(Parameters!$F$7=Parameters!$E$17)*Parameters!$I$7*ISNUMBER(R55)+(Parameters!$F$8=Parameters!$E$17)*Parameters!$I$8*ISNUMBER(S55)+(Parameters!$F$9=Parameters!$E$17)*Parameters!$I$9*ISNUMBER(T55)+(Parameters!$F$10=Parameters!$E$17)*Parameters!$I$10*ISNUMBER(U55)+(Parameters!$F$11=Parameters!$E$17)*Parameters!$I$11*ISNUMBER(V55)+(Parameters!$F$12=Parameters!$E$17)*Parameters!$I$12*ISNUMBER(W55)),""))</f>
        <v>1</v>
      </c>
      <c r="AC55" s="17" t="n">
        <f aca="false">Parameters!$I$5*ISNUMBER(P55)+Parameters!$I$6*ISNUMBER(Q55)+Parameters!$I$7*ISNUMBER(R55)+Parameters!$I$8*ISNUMBER(S55)+Parameters!$I$9*ISNUMBER(T55)+Parameters!$I$10*ISNUMBER(U55)+Parameters!$I$11*ISNUMBER(V55)+Parameters!$I$12*ISNUMBER(W55)</f>
        <v>75</v>
      </c>
      <c r="AD55" s="17" t="n">
        <f aca="false">Parameters!$I$5*1+Parameters!$I$6*1+Parameters!$I$7*1+Parameters!$I$8*1+Parameters!$I$9*1+Parameters!$I$10*1+Parameters!$I$11*X55+Parameters!$I$12*Y55</f>
        <v>85</v>
      </c>
      <c r="AE55" s="18" t="n">
        <f aca="false">IF(AD55=0,"",AC55/AD55)</f>
        <v>0.882352941176471</v>
      </c>
      <c r="AF55" s="17" t="str">
        <f aca="false">IF(ISNUMBER(Z55),"M","")&amp;IF(ISNUMBER(AA55),"I","")&amp;IF(ISNUMBER(AB55),"O","")</f>
        <v>MIO</v>
      </c>
      <c r="AG55" s="19" t="n">
        <f aca="false">IF(AND(ISNUMBER(AE55),ISNUMBER(Z55)+ISNUMBER(AA55)+ISNUMBER(AB55)&gt;=Parameters!$B$37),IF(AE55&gt;=Parameters!$B$35,100*(Parameters!$F$15*N(Z55)+Parameters!$F$16*N(AA55)+Parameters!$F$17*N(AB55))/(Parameters!$F$15*ISNUMBER(Z55)+Parameters!$F$16*ISNUMBER(AA55)+Parameters!$F$17*ISNUMBER(AB55)),""),"")</f>
        <v>90</v>
      </c>
      <c r="AH55" s="17" t="n">
        <f aca="false">IF(ISNUMBER(AG55),RANK(AG55,$AG$2:$AG$113),"")</f>
        <v>25</v>
      </c>
    </row>
    <row r="56" customFormat="false" ht="15" hidden="false" customHeight="false" outlineLevel="0" collapsed="false">
      <c r="A56" s="5" t="s">
        <v>325</v>
      </c>
      <c r="B56" s="5" t="s">
        <v>326</v>
      </c>
      <c r="C56" s="5" t="s">
        <v>327</v>
      </c>
      <c r="D56" s="5" t="s">
        <v>31</v>
      </c>
      <c r="E56" s="5" t="s">
        <v>44</v>
      </c>
      <c r="F56" s="5" t="s">
        <v>250</v>
      </c>
      <c r="G56" s="15" t="s">
        <v>328</v>
      </c>
      <c r="H56" s="8" t="n">
        <v>1</v>
      </c>
      <c r="I56" s="5" t="s">
        <v>57</v>
      </c>
      <c r="J56" s="5" t="s">
        <v>68</v>
      </c>
      <c r="K56" s="15"/>
      <c r="L56" s="5" t="s">
        <v>79</v>
      </c>
      <c r="M56" s="5" t="s">
        <v>136</v>
      </c>
      <c r="N56" s="5"/>
      <c r="O56" s="5"/>
      <c r="P56" s="16" t="n">
        <f aca="false">IFERROR(IF(ISNUMBER(INDEX(Parameters!$B$5:$B$23,MATCH(D56,Parameters!$A$5:$A$23,0))),INDEX(Parameters!$B$5:$B$23,MATCH(D56,Parameters!$A$5:$A$23,0)),""),"")</f>
        <v>1</v>
      </c>
      <c r="Q56" s="16" t="n">
        <f aca="false">IFERROR(IF(ISNUMBER(INDEX(Parameters!$B$5:$B$23,MATCH(E56,Parameters!$A$5:$A$23,0))),INDEX(Parameters!$B$5:$B$23,MATCH(E56,Parameters!$A$5:$A$23,0)),""),"")</f>
        <v>1</v>
      </c>
      <c r="R56" s="16" t="n">
        <f aca="false">IF(F56="","",IFERROR(MIN(Parameters!$B$33,MAX(0,Parameters!$B$32-VALUE(LEFT(F56,4))))/Parameters!$B$33,""))</f>
        <v>0.133333333333333</v>
      </c>
      <c r="S56" s="16" t="n">
        <f aca="false">IF(ISNUMBER(H56),H56,IF(G56="",IF(ISNUMBER(Parameters!$B$34),Parameters!$B$34,""),""))</f>
        <v>1</v>
      </c>
      <c r="T56" s="16" t="n">
        <f aca="false">IFERROR(IF(ISNUMBER(INDEX(Parameters!$B$5:$B$23,MATCH(I56,Parameters!$A$5:$A$23,0))),INDEX(Parameters!$B$5:$B$23,MATCH(I56,Parameters!$A$5:$A$23,0)),""),"")</f>
        <v>0</v>
      </c>
      <c r="U56" s="16" t="n">
        <f aca="false">IFERROR(IF(ISNUMBER(INDEX(Parameters!$B$5:$B$23,MATCH(L56,Parameters!$A$5:$A$23,0))),INDEX(Parameters!$B$5:$B$23,MATCH(L56,Parameters!$A$5:$A$23,0)),""),"")</f>
        <v>1</v>
      </c>
      <c r="V56" s="16" t="n">
        <f aca="false">IFERROR(IF(ISNUMBER(INDEX(Parameters!$B$5:$B$23,MATCH(J56,Parameters!$A$5:$A$23,0))),INDEX(Parameters!$B$5:$B$23,MATCH(J56,Parameters!$A$5:$A$23,0)),""),"")</f>
        <v>1</v>
      </c>
      <c r="W56" s="16" t="n">
        <f aca="false">IF(K56&lt;&gt;"",1,IF(COUNTIF(Parameters!$A$27:$A$28,J56)&gt;0,0,""))</f>
        <v>0</v>
      </c>
      <c r="X56" s="17" t="n">
        <f aca="false">IF(J56="Not applicable",0,1)</f>
        <v>1</v>
      </c>
      <c r="Y56" s="17" t="n">
        <f aca="false">IF(OR(K56&lt;&gt;"",COUNTIF(Parameters!$A$27:$A$28,J56)&gt;0),1,0)</f>
        <v>1</v>
      </c>
      <c r="Z56"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56+(Parameters!$F$12=Parameters!$E$15)*Parameters!$I$12*Y56)=0,"",IF(AND(((Parameters!$F$5=Parameters!$E$15)*Parameters!$I$5*ISNUMBER(P56)+(Parameters!$F$6=Parameters!$E$15)*Parameters!$I$6*ISNUMBER(Q56)+(Parameters!$F$7=Parameters!$E$15)*Parameters!$I$7*ISNUMBER(R56)+(Parameters!$F$8=Parameters!$E$15)*Parameters!$I$8*ISNUMBER(S56)+(Parameters!$F$9=Parameters!$E$15)*Parameters!$I$9*ISNUMBER(T56)+(Parameters!$F$10=Parameters!$E$15)*Parameters!$I$10*ISNUMBER(U56)+(Parameters!$F$11=Parameters!$E$15)*Parameters!$I$11*ISNUMBER(V56)+(Parameters!$F$12=Parameters!$E$15)*Parameters!$I$12*ISNUMBER(W56))&gt;0,((Parameters!$F$5=Parameters!$E$15)*Parameters!$I$5*ISNUMBER(P56)+(Parameters!$F$6=Parameters!$E$15)*Parameters!$I$6*ISNUMBER(Q56)+(Parameters!$F$7=Parameters!$E$15)*Parameters!$I$7*ISNUMBER(R56)+(Parameters!$F$8=Parameters!$E$15)*Parameters!$I$8*ISNUMBER(S56)+(Parameters!$F$9=Parameters!$E$15)*Parameters!$I$9*ISNUMBER(T56)+(Parameters!$F$10=Parameters!$E$15)*Parameters!$I$10*ISNUMBER(U56)+(Parameters!$F$11=Parameters!$E$15)*Parameters!$I$11*ISNUMBER(V56)+(Parameters!$F$12=Parameters!$E$15)*Parameters!$I$12*ISNUMBER(W56))/((Parameters!$F$5=Parameters!$E$15)*Parameters!$I$5*1+(Parameters!$F$6=Parameters!$E$15)*Parameters!$I$6*1+(Parameters!$F$7=Parameters!$E$15)*Parameters!$I$7*1+(Parameters!$F$8=Parameters!$E$15)*Parameters!$I$8*1+(Parameters!$F$9=Parameters!$E$15)*Parameters!$I$9*1+(Parameters!$F$10=Parameters!$E$15)*Parameters!$I$10*1+(Parameters!$F$11=Parameters!$E$15)*Parameters!$I$11*X56+(Parameters!$F$12=Parameters!$E$15)*Parameters!$I$12*Y56)&gt;=Parameters!$B$36),((Parameters!$F$5=Parameters!$E$15)*Parameters!$I$5*N(P56)+(Parameters!$F$6=Parameters!$E$15)*Parameters!$I$6*N(Q56)+(Parameters!$F$7=Parameters!$E$15)*Parameters!$I$7*N(R56)+(Parameters!$F$8=Parameters!$E$15)*Parameters!$I$8*N(S56)+(Parameters!$F$9=Parameters!$E$15)*Parameters!$I$9*N(T56)+(Parameters!$F$10=Parameters!$E$15)*Parameters!$I$10*N(U56)+(Parameters!$F$11=Parameters!$E$15)*Parameters!$I$11*N(V56)+(Parameters!$F$12=Parameters!$E$15)*Parameters!$I$12*N(W56))/((Parameters!$F$5=Parameters!$E$15)*Parameters!$I$5*ISNUMBER(P56)+(Parameters!$F$6=Parameters!$E$15)*Parameters!$I$6*ISNUMBER(Q56)+(Parameters!$F$7=Parameters!$E$15)*Parameters!$I$7*ISNUMBER(R56)+(Parameters!$F$8=Parameters!$E$15)*Parameters!$I$8*ISNUMBER(S56)+(Parameters!$F$9=Parameters!$E$15)*Parameters!$I$9*ISNUMBER(T56)+(Parameters!$F$10=Parameters!$E$15)*Parameters!$I$10*ISNUMBER(U56)+(Parameters!$F$11=Parameters!$E$15)*Parameters!$I$11*ISNUMBER(V56)+(Parameters!$F$12=Parameters!$E$15)*Parameters!$I$12*ISNUMBER(W56)),""))</f>
        <v>0.913333333333333</v>
      </c>
      <c r="AA56"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56+(Parameters!$F$12=Parameters!$E$16)*Parameters!$I$12*Y56)=0,"",IF(AND(((Parameters!$F$5=Parameters!$E$16)*Parameters!$I$5*ISNUMBER(P56)+(Parameters!$F$6=Parameters!$E$16)*Parameters!$I$6*ISNUMBER(Q56)+(Parameters!$F$7=Parameters!$E$16)*Parameters!$I$7*ISNUMBER(R56)+(Parameters!$F$8=Parameters!$E$16)*Parameters!$I$8*ISNUMBER(S56)+(Parameters!$F$9=Parameters!$E$16)*Parameters!$I$9*ISNUMBER(T56)+(Parameters!$F$10=Parameters!$E$16)*Parameters!$I$10*ISNUMBER(U56)+(Parameters!$F$11=Parameters!$E$16)*Parameters!$I$11*ISNUMBER(V56)+(Parameters!$F$12=Parameters!$E$16)*Parameters!$I$12*ISNUMBER(W56))&gt;0,((Parameters!$F$5=Parameters!$E$16)*Parameters!$I$5*ISNUMBER(P56)+(Parameters!$F$6=Parameters!$E$16)*Parameters!$I$6*ISNUMBER(Q56)+(Parameters!$F$7=Parameters!$E$16)*Parameters!$I$7*ISNUMBER(R56)+(Parameters!$F$8=Parameters!$E$16)*Parameters!$I$8*ISNUMBER(S56)+(Parameters!$F$9=Parameters!$E$16)*Parameters!$I$9*ISNUMBER(T56)+(Parameters!$F$10=Parameters!$E$16)*Parameters!$I$10*ISNUMBER(U56)+(Parameters!$F$11=Parameters!$E$16)*Parameters!$I$11*ISNUMBER(V56)+(Parameters!$F$12=Parameters!$E$16)*Parameters!$I$12*ISNUMBER(W56))/((Parameters!$F$5=Parameters!$E$16)*Parameters!$I$5*1+(Parameters!$F$6=Parameters!$E$16)*Parameters!$I$6*1+(Parameters!$F$7=Parameters!$E$16)*Parameters!$I$7*1+(Parameters!$F$8=Parameters!$E$16)*Parameters!$I$8*1+(Parameters!$F$9=Parameters!$E$16)*Parameters!$I$9*1+(Parameters!$F$10=Parameters!$E$16)*Parameters!$I$10*1+(Parameters!$F$11=Parameters!$E$16)*Parameters!$I$11*X56+(Parameters!$F$12=Parameters!$E$16)*Parameters!$I$12*Y56)&gt;=Parameters!$B$36),((Parameters!$F$5=Parameters!$E$16)*Parameters!$I$5*N(P56)+(Parameters!$F$6=Parameters!$E$16)*Parameters!$I$6*N(Q56)+(Parameters!$F$7=Parameters!$E$16)*Parameters!$I$7*N(R56)+(Parameters!$F$8=Parameters!$E$16)*Parameters!$I$8*N(S56)+(Parameters!$F$9=Parameters!$E$16)*Parameters!$I$9*N(T56)+(Parameters!$F$10=Parameters!$E$16)*Parameters!$I$10*N(U56)+(Parameters!$F$11=Parameters!$E$16)*Parameters!$I$11*N(V56)+(Parameters!$F$12=Parameters!$E$16)*Parameters!$I$12*N(W56))/((Parameters!$F$5=Parameters!$E$16)*Parameters!$I$5*ISNUMBER(P56)+(Parameters!$F$6=Parameters!$E$16)*Parameters!$I$6*ISNUMBER(Q56)+(Parameters!$F$7=Parameters!$E$16)*Parameters!$I$7*ISNUMBER(R56)+(Parameters!$F$8=Parameters!$E$16)*Parameters!$I$8*ISNUMBER(S56)+(Parameters!$F$9=Parameters!$E$16)*Parameters!$I$9*ISNUMBER(T56)+(Parameters!$F$10=Parameters!$E$16)*Parameters!$I$10*ISNUMBER(U56)+(Parameters!$F$11=Parameters!$E$16)*Parameters!$I$11*ISNUMBER(V56)+(Parameters!$F$12=Parameters!$E$16)*Parameters!$I$12*ISNUMBER(W56)),""))</f>
        <v>0.8</v>
      </c>
      <c r="AB56"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56+(Parameters!$F$12=Parameters!$E$17)*Parameters!$I$12*Y56)=0,"",IF(AND(((Parameters!$F$5=Parameters!$E$17)*Parameters!$I$5*ISNUMBER(P56)+(Parameters!$F$6=Parameters!$E$17)*Parameters!$I$6*ISNUMBER(Q56)+(Parameters!$F$7=Parameters!$E$17)*Parameters!$I$7*ISNUMBER(R56)+(Parameters!$F$8=Parameters!$E$17)*Parameters!$I$8*ISNUMBER(S56)+(Parameters!$F$9=Parameters!$E$17)*Parameters!$I$9*ISNUMBER(T56)+(Parameters!$F$10=Parameters!$E$17)*Parameters!$I$10*ISNUMBER(U56)+(Parameters!$F$11=Parameters!$E$17)*Parameters!$I$11*ISNUMBER(V56)+(Parameters!$F$12=Parameters!$E$17)*Parameters!$I$12*ISNUMBER(W56))&gt;0,((Parameters!$F$5=Parameters!$E$17)*Parameters!$I$5*ISNUMBER(P56)+(Parameters!$F$6=Parameters!$E$17)*Parameters!$I$6*ISNUMBER(Q56)+(Parameters!$F$7=Parameters!$E$17)*Parameters!$I$7*ISNUMBER(R56)+(Parameters!$F$8=Parameters!$E$17)*Parameters!$I$8*ISNUMBER(S56)+(Parameters!$F$9=Parameters!$E$17)*Parameters!$I$9*ISNUMBER(T56)+(Parameters!$F$10=Parameters!$E$17)*Parameters!$I$10*ISNUMBER(U56)+(Parameters!$F$11=Parameters!$E$17)*Parameters!$I$11*ISNUMBER(V56)+(Parameters!$F$12=Parameters!$E$17)*Parameters!$I$12*ISNUMBER(W56))/((Parameters!$F$5=Parameters!$E$17)*Parameters!$I$5*1+(Parameters!$F$6=Parameters!$E$17)*Parameters!$I$6*1+(Parameters!$F$7=Parameters!$E$17)*Parameters!$I$7*1+(Parameters!$F$8=Parameters!$E$17)*Parameters!$I$8*1+(Parameters!$F$9=Parameters!$E$17)*Parameters!$I$9*1+(Parameters!$F$10=Parameters!$E$17)*Parameters!$I$10*1+(Parameters!$F$11=Parameters!$E$17)*Parameters!$I$11*X56+(Parameters!$F$12=Parameters!$E$17)*Parameters!$I$12*Y56)&gt;=Parameters!$B$36),((Parameters!$F$5=Parameters!$E$17)*Parameters!$I$5*N(P56)+(Parameters!$F$6=Parameters!$E$17)*Parameters!$I$6*N(Q56)+(Parameters!$F$7=Parameters!$E$17)*Parameters!$I$7*N(R56)+(Parameters!$F$8=Parameters!$E$17)*Parameters!$I$8*N(S56)+(Parameters!$F$9=Parameters!$E$17)*Parameters!$I$9*N(T56)+(Parameters!$F$10=Parameters!$E$17)*Parameters!$I$10*N(U56)+(Parameters!$F$11=Parameters!$E$17)*Parameters!$I$11*N(V56)+(Parameters!$F$12=Parameters!$E$17)*Parameters!$I$12*N(W56))/((Parameters!$F$5=Parameters!$E$17)*Parameters!$I$5*ISNUMBER(P56)+(Parameters!$F$6=Parameters!$E$17)*Parameters!$I$6*ISNUMBER(Q56)+(Parameters!$F$7=Parameters!$E$17)*Parameters!$I$7*ISNUMBER(R56)+(Parameters!$F$8=Parameters!$E$17)*Parameters!$I$8*ISNUMBER(S56)+(Parameters!$F$9=Parameters!$E$17)*Parameters!$I$9*ISNUMBER(T56)+(Parameters!$F$10=Parameters!$E$17)*Parameters!$I$10*ISNUMBER(U56)+(Parameters!$F$11=Parameters!$E$17)*Parameters!$I$11*ISNUMBER(V56)+(Parameters!$F$12=Parameters!$E$17)*Parameters!$I$12*ISNUMBER(W56)),""))</f>
        <v>0.5</v>
      </c>
      <c r="AC56" s="17" t="n">
        <f aca="false">Parameters!$I$5*ISNUMBER(P56)+Parameters!$I$6*ISNUMBER(Q56)+Parameters!$I$7*ISNUMBER(R56)+Parameters!$I$8*ISNUMBER(S56)+Parameters!$I$9*ISNUMBER(T56)+Parameters!$I$10*ISNUMBER(U56)+Parameters!$I$11*ISNUMBER(V56)+Parameters!$I$12*ISNUMBER(W56)</f>
        <v>95</v>
      </c>
      <c r="AD56" s="17" t="n">
        <f aca="false">Parameters!$I$5*1+Parameters!$I$6*1+Parameters!$I$7*1+Parameters!$I$8*1+Parameters!$I$9*1+Parameters!$I$10*1+Parameters!$I$11*X56+Parameters!$I$12*Y56</f>
        <v>95</v>
      </c>
      <c r="AE56" s="18" t="n">
        <f aca="false">IF(AD56=0,"",AC56/AD56)</f>
        <v>1</v>
      </c>
      <c r="AF56" s="17" t="str">
        <f aca="false">IF(ISNUMBER(Z56),"M","")&amp;IF(ISNUMBER(AA56),"I","")&amp;IF(ISNUMBER(AB56),"O","")</f>
        <v>MIO</v>
      </c>
      <c r="AG56" s="19" t="n">
        <f aca="false">IF(AND(ISNUMBER(AE56),ISNUMBER(Z56)+ISNUMBER(AA56)+ISNUMBER(AB56)&gt;=Parameters!$B$37),IF(AE56&gt;=Parameters!$B$35,100*(Parameters!$F$15*N(Z56)+Parameters!$F$16*N(AA56)+Parameters!$F$17*N(AB56))/(Parameters!$F$15*ISNUMBER(Z56)+Parameters!$F$16*ISNUMBER(AA56)+Parameters!$F$17*ISNUMBER(AB56)),""),"")</f>
        <v>79.6666666666667</v>
      </c>
      <c r="AH56" s="17" t="n">
        <f aca="false">IF(ISNUMBER(AG56),RANK(AG56,$AG$2:$AG$113),"")</f>
        <v>80</v>
      </c>
    </row>
    <row r="57" customFormat="false" ht="15" hidden="false" customHeight="false" outlineLevel="0" collapsed="false">
      <c r="A57" s="5" t="s">
        <v>329</v>
      </c>
      <c r="B57" s="5" t="s">
        <v>330</v>
      </c>
      <c r="C57" s="5" t="s">
        <v>331</v>
      </c>
      <c r="D57" s="5" t="s">
        <v>31</v>
      </c>
      <c r="E57" s="5" t="s">
        <v>44</v>
      </c>
      <c r="F57" s="5" t="s">
        <v>273</v>
      </c>
      <c r="G57" s="20" t="s">
        <v>332</v>
      </c>
      <c r="H57" s="8" t="n">
        <v>1</v>
      </c>
      <c r="I57" s="5" t="s">
        <v>57</v>
      </c>
      <c r="J57" s="5" t="s">
        <v>66</v>
      </c>
      <c r="K57" s="15" t="s">
        <v>333</v>
      </c>
      <c r="L57" s="5" t="s">
        <v>76</v>
      </c>
      <c r="M57" s="5" t="s">
        <v>136</v>
      </c>
      <c r="N57" s="5" t="s">
        <v>142</v>
      </c>
      <c r="O57" s="5" t="s">
        <v>252</v>
      </c>
      <c r="P57" s="16" t="n">
        <f aca="false">IFERROR(IF(ISNUMBER(INDEX(Parameters!$B$5:$B$23,MATCH(D57,Parameters!$A$5:$A$23,0))),INDEX(Parameters!$B$5:$B$23,MATCH(D57,Parameters!$A$5:$A$23,0)),""),"")</f>
        <v>1</v>
      </c>
      <c r="Q57" s="16" t="n">
        <f aca="false">IFERROR(IF(ISNUMBER(INDEX(Parameters!$B$5:$B$23,MATCH(E57,Parameters!$A$5:$A$23,0))),INDEX(Parameters!$B$5:$B$23,MATCH(E57,Parameters!$A$5:$A$23,0)),""),"")</f>
        <v>1</v>
      </c>
      <c r="R57" s="16" t="n">
        <f aca="false">IF(F57="","",IFERROR(MIN(Parameters!$B$33,MAX(0,Parameters!$B$32-VALUE(LEFT(F57,4))))/Parameters!$B$33,""))</f>
        <v>1</v>
      </c>
      <c r="S57" s="16" t="n">
        <f aca="false">IF(ISNUMBER(H57),H57,IF(G57="",IF(ISNUMBER(Parameters!$B$34),Parameters!$B$34,""),""))</f>
        <v>1</v>
      </c>
      <c r="T57" s="16" t="n">
        <f aca="false">IFERROR(IF(ISNUMBER(INDEX(Parameters!$B$5:$B$23,MATCH(I57,Parameters!$A$5:$A$23,0))),INDEX(Parameters!$B$5:$B$23,MATCH(I57,Parameters!$A$5:$A$23,0)),""),"")</f>
        <v>0</v>
      </c>
      <c r="U57" s="16" t="n">
        <f aca="false">IFERROR(IF(ISNUMBER(INDEX(Parameters!$B$5:$B$23,MATCH(L57,Parameters!$A$5:$A$23,0))),INDEX(Parameters!$B$5:$B$23,MATCH(L57,Parameters!$A$5:$A$23,0)),""),"")</f>
        <v>1</v>
      </c>
      <c r="V57" s="16" t="n">
        <f aca="false">IFERROR(IF(ISNUMBER(INDEX(Parameters!$B$5:$B$23,MATCH(J57,Parameters!$A$5:$A$23,0))),INDEX(Parameters!$B$5:$B$23,MATCH(J57,Parameters!$A$5:$A$23,0)),""),"")</f>
        <v>1</v>
      </c>
      <c r="W57" s="16" t="n">
        <f aca="false">IF(K57&lt;&gt;"",1,IF(COUNTIF(Parameters!$A$27:$A$28,J57)&gt;0,0,""))</f>
        <v>1</v>
      </c>
      <c r="X57" s="17" t="n">
        <f aca="false">IF(J57="Not applicable",0,1)</f>
        <v>1</v>
      </c>
      <c r="Y57" s="17" t="n">
        <f aca="false">IF(OR(K57&lt;&gt;"",COUNTIF(Parameters!$A$27:$A$28,J57)&gt;0),1,0)</f>
        <v>1</v>
      </c>
      <c r="Z57"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57+(Parameters!$F$12=Parameters!$E$15)*Parameters!$I$12*Y57)=0,"",IF(AND(((Parameters!$F$5=Parameters!$E$15)*Parameters!$I$5*ISNUMBER(P57)+(Parameters!$F$6=Parameters!$E$15)*Parameters!$I$6*ISNUMBER(Q57)+(Parameters!$F$7=Parameters!$E$15)*Parameters!$I$7*ISNUMBER(R57)+(Parameters!$F$8=Parameters!$E$15)*Parameters!$I$8*ISNUMBER(S57)+(Parameters!$F$9=Parameters!$E$15)*Parameters!$I$9*ISNUMBER(T57)+(Parameters!$F$10=Parameters!$E$15)*Parameters!$I$10*ISNUMBER(U57)+(Parameters!$F$11=Parameters!$E$15)*Parameters!$I$11*ISNUMBER(V57)+(Parameters!$F$12=Parameters!$E$15)*Parameters!$I$12*ISNUMBER(W57))&gt;0,((Parameters!$F$5=Parameters!$E$15)*Parameters!$I$5*ISNUMBER(P57)+(Parameters!$F$6=Parameters!$E$15)*Parameters!$I$6*ISNUMBER(Q57)+(Parameters!$F$7=Parameters!$E$15)*Parameters!$I$7*ISNUMBER(R57)+(Parameters!$F$8=Parameters!$E$15)*Parameters!$I$8*ISNUMBER(S57)+(Parameters!$F$9=Parameters!$E$15)*Parameters!$I$9*ISNUMBER(T57)+(Parameters!$F$10=Parameters!$E$15)*Parameters!$I$10*ISNUMBER(U57)+(Parameters!$F$11=Parameters!$E$15)*Parameters!$I$11*ISNUMBER(V57)+(Parameters!$F$12=Parameters!$E$15)*Parameters!$I$12*ISNUMBER(W57))/((Parameters!$F$5=Parameters!$E$15)*Parameters!$I$5*1+(Parameters!$F$6=Parameters!$E$15)*Parameters!$I$6*1+(Parameters!$F$7=Parameters!$E$15)*Parameters!$I$7*1+(Parameters!$F$8=Parameters!$E$15)*Parameters!$I$8*1+(Parameters!$F$9=Parameters!$E$15)*Parameters!$I$9*1+(Parameters!$F$10=Parameters!$E$15)*Parameters!$I$10*1+(Parameters!$F$11=Parameters!$E$15)*Parameters!$I$11*X57+(Parameters!$F$12=Parameters!$E$15)*Parameters!$I$12*Y57)&gt;=Parameters!$B$36),((Parameters!$F$5=Parameters!$E$15)*Parameters!$I$5*N(P57)+(Parameters!$F$6=Parameters!$E$15)*Parameters!$I$6*N(Q57)+(Parameters!$F$7=Parameters!$E$15)*Parameters!$I$7*N(R57)+(Parameters!$F$8=Parameters!$E$15)*Parameters!$I$8*N(S57)+(Parameters!$F$9=Parameters!$E$15)*Parameters!$I$9*N(T57)+(Parameters!$F$10=Parameters!$E$15)*Parameters!$I$10*N(U57)+(Parameters!$F$11=Parameters!$E$15)*Parameters!$I$11*N(V57)+(Parameters!$F$12=Parameters!$E$15)*Parameters!$I$12*N(W57))/((Parameters!$F$5=Parameters!$E$15)*Parameters!$I$5*ISNUMBER(P57)+(Parameters!$F$6=Parameters!$E$15)*Parameters!$I$6*ISNUMBER(Q57)+(Parameters!$F$7=Parameters!$E$15)*Parameters!$I$7*ISNUMBER(R57)+(Parameters!$F$8=Parameters!$E$15)*Parameters!$I$8*ISNUMBER(S57)+(Parameters!$F$9=Parameters!$E$15)*Parameters!$I$9*ISNUMBER(T57)+(Parameters!$F$10=Parameters!$E$15)*Parameters!$I$10*ISNUMBER(U57)+(Parameters!$F$11=Parameters!$E$15)*Parameters!$I$11*ISNUMBER(V57)+(Parameters!$F$12=Parameters!$E$15)*Parameters!$I$12*ISNUMBER(W57)),""))</f>
        <v>1</v>
      </c>
      <c r="AA57"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57+(Parameters!$F$12=Parameters!$E$16)*Parameters!$I$12*Y57)=0,"",IF(AND(((Parameters!$F$5=Parameters!$E$16)*Parameters!$I$5*ISNUMBER(P57)+(Parameters!$F$6=Parameters!$E$16)*Parameters!$I$6*ISNUMBER(Q57)+(Parameters!$F$7=Parameters!$E$16)*Parameters!$I$7*ISNUMBER(R57)+(Parameters!$F$8=Parameters!$E$16)*Parameters!$I$8*ISNUMBER(S57)+(Parameters!$F$9=Parameters!$E$16)*Parameters!$I$9*ISNUMBER(T57)+(Parameters!$F$10=Parameters!$E$16)*Parameters!$I$10*ISNUMBER(U57)+(Parameters!$F$11=Parameters!$E$16)*Parameters!$I$11*ISNUMBER(V57)+(Parameters!$F$12=Parameters!$E$16)*Parameters!$I$12*ISNUMBER(W57))&gt;0,((Parameters!$F$5=Parameters!$E$16)*Parameters!$I$5*ISNUMBER(P57)+(Parameters!$F$6=Parameters!$E$16)*Parameters!$I$6*ISNUMBER(Q57)+(Parameters!$F$7=Parameters!$E$16)*Parameters!$I$7*ISNUMBER(R57)+(Parameters!$F$8=Parameters!$E$16)*Parameters!$I$8*ISNUMBER(S57)+(Parameters!$F$9=Parameters!$E$16)*Parameters!$I$9*ISNUMBER(T57)+(Parameters!$F$10=Parameters!$E$16)*Parameters!$I$10*ISNUMBER(U57)+(Parameters!$F$11=Parameters!$E$16)*Parameters!$I$11*ISNUMBER(V57)+(Parameters!$F$12=Parameters!$E$16)*Parameters!$I$12*ISNUMBER(W57))/((Parameters!$F$5=Parameters!$E$16)*Parameters!$I$5*1+(Parameters!$F$6=Parameters!$E$16)*Parameters!$I$6*1+(Parameters!$F$7=Parameters!$E$16)*Parameters!$I$7*1+(Parameters!$F$8=Parameters!$E$16)*Parameters!$I$8*1+(Parameters!$F$9=Parameters!$E$16)*Parameters!$I$9*1+(Parameters!$F$10=Parameters!$E$16)*Parameters!$I$10*1+(Parameters!$F$11=Parameters!$E$16)*Parameters!$I$11*X57+(Parameters!$F$12=Parameters!$E$16)*Parameters!$I$12*Y57)&gt;=Parameters!$B$36),((Parameters!$F$5=Parameters!$E$16)*Parameters!$I$5*N(P57)+(Parameters!$F$6=Parameters!$E$16)*Parameters!$I$6*N(Q57)+(Parameters!$F$7=Parameters!$E$16)*Parameters!$I$7*N(R57)+(Parameters!$F$8=Parameters!$E$16)*Parameters!$I$8*N(S57)+(Parameters!$F$9=Parameters!$E$16)*Parameters!$I$9*N(T57)+(Parameters!$F$10=Parameters!$E$16)*Parameters!$I$10*N(U57)+(Parameters!$F$11=Parameters!$E$16)*Parameters!$I$11*N(V57)+(Parameters!$F$12=Parameters!$E$16)*Parameters!$I$12*N(W57))/((Parameters!$F$5=Parameters!$E$16)*Parameters!$I$5*ISNUMBER(P57)+(Parameters!$F$6=Parameters!$E$16)*Parameters!$I$6*ISNUMBER(Q57)+(Parameters!$F$7=Parameters!$E$16)*Parameters!$I$7*ISNUMBER(R57)+(Parameters!$F$8=Parameters!$E$16)*Parameters!$I$8*ISNUMBER(S57)+(Parameters!$F$9=Parameters!$E$16)*Parameters!$I$9*ISNUMBER(T57)+(Parameters!$F$10=Parameters!$E$16)*Parameters!$I$10*ISNUMBER(U57)+(Parameters!$F$11=Parameters!$E$16)*Parameters!$I$11*ISNUMBER(V57)+(Parameters!$F$12=Parameters!$E$16)*Parameters!$I$12*ISNUMBER(W57)),""))</f>
        <v>0.8</v>
      </c>
      <c r="AB57"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57+(Parameters!$F$12=Parameters!$E$17)*Parameters!$I$12*Y57)=0,"",IF(AND(((Parameters!$F$5=Parameters!$E$17)*Parameters!$I$5*ISNUMBER(P57)+(Parameters!$F$6=Parameters!$E$17)*Parameters!$I$6*ISNUMBER(Q57)+(Parameters!$F$7=Parameters!$E$17)*Parameters!$I$7*ISNUMBER(R57)+(Parameters!$F$8=Parameters!$E$17)*Parameters!$I$8*ISNUMBER(S57)+(Parameters!$F$9=Parameters!$E$17)*Parameters!$I$9*ISNUMBER(T57)+(Parameters!$F$10=Parameters!$E$17)*Parameters!$I$10*ISNUMBER(U57)+(Parameters!$F$11=Parameters!$E$17)*Parameters!$I$11*ISNUMBER(V57)+(Parameters!$F$12=Parameters!$E$17)*Parameters!$I$12*ISNUMBER(W57))&gt;0,((Parameters!$F$5=Parameters!$E$17)*Parameters!$I$5*ISNUMBER(P57)+(Parameters!$F$6=Parameters!$E$17)*Parameters!$I$6*ISNUMBER(Q57)+(Parameters!$F$7=Parameters!$E$17)*Parameters!$I$7*ISNUMBER(R57)+(Parameters!$F$8=Parameters!$E$17)*Parameters!$I$8*ISNUMBER(S57)+(Parameters!$F$9=Parameters!$E$17)*Parameters!$I$9*ISNUMBER(T57)+(Parameters!$F$10=Parameters!$E$17)*Parameters!$I$10*ISNUMBER(U57)+(Parameters!$F$11=Parameters!$E$17)*Parameters!$I$11*ISNUMBER(V57)+(Parameters!$F$12=Parameters!$E$17)*Parameters!$I$12*ISNUMBER(W57))/((Parameters!$F$5=Parameters!$E$17)*Parameters!$I$5*1+(Parameters!$F$6=Parameters!$E$17)*Parameters!$I$6*1+(Parameters!$F$7=Parameters!$E$17)*Parameters!$I$7*1+(Parameters!$F$8=Parameters!$E$17)*Parameters!$I$8*1+(Parameters!$F$9=Parameters!$E$17)*Parameters!$I$9*1+(Parameters!$F$10=Parameters!$E$17)*Parameters!$I$10*1+(Parameters!$F$11=Parameters!$E$17)*Parameters!$I$11*X57+(Parameters!$F$12=Parameters!$E$17)*Parameters!$I$12*Y57)&gt;=Parameters!$B$36),((Parameters!$F$5=Parameters!$E$17)*Parameters!$I$5*N(P57)+(Parameters!$F$6=Parameters!$E$17)*Parameters!$I$6*N(Q57)+(Parameters!$F$7=Parameters!$E$17)*Parameters!$I$7*N(R57)+(Parameters!$F$8=Parameters!$E$17)*Parameters!$I$8*N(S57)+(Parameters!$F$9=Parameters!$E$17)*Parameters!$I$9*N(T57)+(Parameters!$F$10=Parameters!$E$17)*Parameters!$I$10*N(U57)+(Parameters!$F$11=Parameters!$E$17)*Parameters!$I$11*N(V57)+(Parameters!$F$12=Parameters!$E$17)*Parameters!$I$12*N(W57))/((Parameters!$F$5=Parameters!$E$17)*Parameters!$I$5*ISNUMBER(P57)+(Parameters!$F$6=Parameters!$E$17)*Parameters!$I$6*ISNUMBER(Q57)+(Parameters!$F$7=Parameters!$E$17)*Parameters!$I$7*ISNUMBER(R57)+(Parameters!$F$8=Parameters!$E$17)*Parameters!$I$8*ISNUMBER(S57)+(Parameters!$F$9=Parameters!$E$17)*Parameters!$I$9*ISNUMBER(T57)+(Parameters!$F$10=Parameters!$E$17)*Parameters!$I$10*ISNUMBER(U57)+(Parameters!$F$11=Parameters!$E$17)*Parameters!$I$11*ISNUMBER(V57)+(Parameters!$F$12=Parameters!$E$17)*Parameters!$I$12*ISNUMBER(W57)),""))</f>
        <v>1</v>
      </c>
      <c r="AC57" s="17" t="n">
        <f aca="false">Parameters!$I$5*ISNUMBER(P57)+Parameters!$I$6*ISNUMBER(Q57)+Parameters!$I$7*ISNUMBER(R57)+Parameters!$I$8*ISNUMBER(S57)+Parameters!$I$9*ISNUMBER(T57)+Parameters!$I$10*ISNUMBER(U57)+Parameters!$I$11*ISNUMBER(V57)+Parameters!$I$12*ISNUMBER(W57)</f>
        <v>95</v>
      </c>
      <c r="AD57" s="17" t="n">
        <f aca="false">Parameters!$I$5*1+Parameters!$I$6*1+Parameters!$I$7*1+Parameters!$I$8*1+Parameters!$I$9*1+Parameters!$I$10*1+Parameters!$I$11*X57+Parameters!$I$12*Y57</f>
        <v>95</v>
      </c>
      <c r="AE57" s="18" t="n">
        <f aca="false">IF(AD57=0,"",AC57/AD57)</f>
        <v>1</v>
      </c>
      <c r="AF57" s="17" t="str">
        <f aca="false">IF(ISNUMBER(Z57),"M","")&amp;IF(ISNUMBER(AA57),"I","")&amp;IF(ISNUMBER(AB57),"O","")</f>
        <v>MIO</v>
      </c>
      <c r="AG57" s="19" t="n">
        <f aca="false">IF(AND(ISNUMBER(AE57),ISNUMBER(Z57)+ISNUMBER(AA57)+ISNUMBER(AB57)&gt;=Parameters!$B$37),IF(AE57&gt;=Parameters!$B$35,100*(Parameters!$F$15*N(Z57)+Parameters!$F$16*N(AA57)+Parameters!$F$17*N(AB57))/(Parameters!$F$15*ISNUMBER(Z57)+Parameters!$F$16*ISNUMBER(AA57)+Parameters!$F$17*ISNUMBER(AB57)),""),"")</f>
        <v>94</v>
      </c>
      <c r="AH57" s="17" t="n">
        <f aca="false">IF(ISNUMBER(AG57),RANK(AG57,$AG$2:$AG$113),"")</f>
        <v>5</v>
      </c>
    </row>
    <row r="58" customFormat="false" ht="15" hidden="false" customHeight="false" outlineLevel="0" collapsed="false">
      <c r="A58" s="5" t="s">
        <v>334</v>
      </c>
      <c r="B58" s="5" t="s">
        <v>335</v>
      </c>
      <c r="C58" s="5" t="s">
        <v>261</v>
      </c>
      <c r="D58" s="5" t="s">
        <v>36</v>
      </c>
      <c r="E58" s="5" t="s">
        <v>44</v>
      </c>
      <c r="F58" s="5" t="s">
        <v>146</v>
      </c>
      <c r="G58" s="15"/>
      <c r="H58" s="8"/>
      <c r="I58" s="5" t="s">
        <v>57</v>
      </c>
      <c r="J58" s="5" t="s">
        <v>62</v>
      </c>
      <c r="K58" s="15"/>
      <c r="L58" s="5" t="s">
        <v>87</v>
      </c>
      <c r="M58" s="5" t="s">
        <v>136</v>
      </c>
      <c r="N58" s="5"/>
      <c r="O58" s="5"/>
      <c r="P58" s="16" t="n">
        <f aca="false">IFERROR(IF(ISNUMBER(INDEX(Parameters!$B$5:$B$23,MATCH(D58,Parameters!$A$5:$A$23,0))),INDEX(Parameters!$B$5:$B$23,MATCH(D58,Parameters!$A$5:$A$23,0)),""),"")</f>
        <v>0.888888888888889</v>
      </c>
      <c r="Q58" s="16" t="n">
        <f aca="false">IFERROR(IF(ISNUMBER(INDEX(Parameters!$B$5:$B$23,MATCH(E58,Parameters!$A$5:$A$23,0))),INDEX(Parameters!$B$5:$B$23,MATCH(E58,Parameters!$A$5:$A$23,0)),""),"")</f>
        <v>1</v>
      </c>
      <c r="R58" s="16" t="n">
        <f aca="false">IF(F58="","",IFERROR(MIN(Parameters!$B$33,MAX(0,Parameters!$B$32-VALUE(LEFT(F58,4))))/Parameters!$B$33,""))</f>
        <v>0.533333333333333</v>
      </c>
      <c r="S58" s="16" t="str">
        <f aca="false">IF(ISNUMBER(H58),H58,IF(G58="",IF(ISNUMBER(Parameters!$B$34),Parameters!$B$34,""),""))</f>
        <v/>
      </c>
      <c r="T58" s="16" t="n">
        <f aca="false">IFERROR(IF(ISNUMBER(INDEX(Parameters!$B$5:$B$23,MATCH(I58,Parameters!$A$5:$A$23,0))),INDEX(Parameters!$B$5:$B$23,MATCH(I58,Parameters!$A$5:$A$23,0)),""),"")</f>
        <v>0</v>
      </c>
      <c r="U58" s="16" t="n">
        <f aca="false">IFERROR(IF(ISNUMBER(INDEX(Parameters!$B$5:$B$23,MATCH(L58,Parameters!$A$5:$A$23,0))),INDEX(Parameters!$B$5:$B$23,MATCH(L58,Parameters!$A$5:$A$23,0)),""),"")</f>
        <v>0</v>
      </c>
      <c r="V58" s="16" t="n">
        <f aca="false">IFERROR(IF(ISNUMBER(INDEX(Parameters!$B$5:$B$23,MATCH(J58,Parameters!$A$5:$A$23,0))),INDEX(Parameters!$B$5:$B$23,MATCH(J58,Parameters!$A$5:$A$23,0)),""),"")</f>
        <v>0</v>
      </c>
      <c r="W58" s="16" t="str">
        <f aca="false">IF(K58&lt;&gt;"",1,IF(COUNTIF(Parameters!$A$27:$A$28,J58)&gt;0,0,""))</f>
        <v/>
      </c>
      <c r="X58" s="17" t="n">
        <f aca="false">IF(J58="Not applicable",0,1)</f>
        <v>1</v>
      </c>
      <c r="Y58" s="17" t="n">
        <f aca="false">IF(OR(K58&lt;&gt;"",COUNTIF(Parameters!$A$27:$A$28,J58)&gt;0),1,0)</f>
        <v>0</v>
      </c>
      <c r="Z58"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58+(Parameters!$F$12=Parameters!$E$15)*Parameters!$I$12*Y58)=0,"",IF(AND(((Parameters!$F$5=Parameters!$E$15)*Parameters!$I$5*ISNUMBER(P58)+(Parameters!$F$6=Parameters!$E$15)*Parameters!$I$6*ISNUMBER(Q58)+(Parameters!$F$7=Parameters!$E$15)*Parameters!$I$7*ISNUMBER(R58)+(Parameters!$F$8=Parameters!$E$15)*Parameters!$I$8*ISNUMBER(S58)+(Parameters!$F$9=Parameters!$E$15)*Parameters!$I$9*ISNUMBER(T58)+(Parameters!$F$10=Parameters!$E$15)*Parameters!$I$10*ISNUMBER(U58)+(Parameters!$F$11=Parameters!$E$15)*Parameters!$I$11*ISNUMBER(V58)+(Parameters!$F$12=Parameters!$E$15)*Parameters!$I$12*ISNUMBER(W58))&gt;0,((Parameters!$F$5=Parameters!$E$15)*Parameters!$I$5*ISNUMBER(P58)+(Parameters!$F$6=Parameters!$E$15)*Parameters!$I$6*ISNUMBER(Q58)+(Parameters!$F$7=Parameters!$E$15)*Parameters!$I$7*ISNUMBER(R58)+(Parameters!$F$8=Parameters!$E$15)*Parameters!$I$8*ISNUMBER(S58)+(Parameters!$F$9=Parameters!$E$15)*Parameters!$I$9*ISNUMBER(T58)+(Parameters!$F$10=Parameters!$E$15)*Parameters!$I$10*ISNUMBER(U58)+(Parameters!$F$11=Parameters!$E$15)*Parameters!$I$11*ISNUMBER(V58)+(Parameters!$F$12=Parameters!$E$15)*Parameters!$I$12*ISNUMBER(W58))/((Parameters!$F$5=Parameters!$E$15)*Parameters!$I$5*1+(Parameters!$F$6=Parameters!$E$15)*Parameters!$I$6*1+(Parameters!$F$7=Parameters!$E$15)*Parameters!$I$7*1+(Parameters!$F$8=Parameters!$E$15)*Parameters!$I$8*1+(Parameters!$F$9=Parameters!$E$15)*Parameters!$I$9*1+(Parameters!$F$10=Parameters!$E$15)*Parameters!$I$10*1+(Parameters!$F$11=Parameters!$E$15)*Parameters!$I$11*X58+(Parameters!$F$12=Parameters!$E$15)*Parameters!$I$12*Y58)&gt;=Parameters!$B$36),((Parameters!$F$5=Parameters!$E$15)*Parameters!$I$5*N(P58)+(Parameters!$F$6=Parameters!$E$15)*Parameters!$I$6*N(Q58)+(Parameters!$F$7=Parameters!$E$15)*Parameters!$I$7*N(R58)+(Parameters!$F$8=Parameters!$E$15)*Parameters!$I$8*N(S58)+(Parameters!$F$9=Parameters!$E$15)*Parameters!$I$9*N(T58)+(Parameters!$F$10=Parameters!$E$15)*Parameters!$I$10*N(U58)+(Parameters!$F$11=Parameters!$E$15)*Parameters!$I$11*N(V58)+(Parameters!$F$12=Parameters!$E$15)*Parameters!$I$12*N(W58))/((Parameters!$F$5=Parameters!$E$15)*Parameters!$I$5*ISNUMBER(P58)+(Parameters!$F$6=Parameters!$E$15)*Parameters!$I$6*ISNUMBER(Q58)+(Parameters!$F$7=Parameters!$E$15)*Parameters!$I$7*ISNUMBER(R58)+(Parameters!$F$8=Parameters!$E$15)*Parameters!$I$8*ISNUMBER(S58)+(Parameters!$F$9=Parameters!$E$15)*Parameters!$I$9*ISNUMBER(T58)+(Parameters!$F$10=Parameters!$E$15)*Parameters!$I$10*ISNUMBER(U58)+(Parameters!$F$11=Parameters!$E$15)*Parameters!$I$11*ISNUMBER(V58)+(Parameters!$F$12=Parameters!$E$15)*Parameters!$I$12*ISNUMBER(W58)),""))</f>
        <v>0.908888888888889</v>
      </c>
      <c r="AA58"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58+(Parameters!$F$12=Parameters!$E$16)*Parameters!$I$12*Y58)=0,"",IF(AND(((Parameters!$F$5=Parameters!$E$16)*Parameters!$I$5*ISNUMBER(P58)+(Parameters!$F$6=Parameters!$E$16)*Parameters!$I$6*ISNUMBER(Q58)+(Parameters!$F$7=Parameters!$E$16)*Parameters!$I$7*ISNUMBER(R58)+(Parameters!$F$8=Parameters!$E$16)*Parameters!$I$8*ISNUMBER(S58)+(Parameters!$F$9=Parameters!$E$16)*Parameters!$I$9*ISNUMBER(T58)+(Parameters!$F$10=Parameters!$E$16)*Parameters!$I$10*ISNUMBER(U58)+(Parameters!$F$11=Parameters!$E$16)*Parameters!$I$11*ISNUMBER(V58)+(Parameters!$F$12=Parameters!$E$16)*Parameters!$I$12*ISNUMBER(W58))&gt;0,((Parameters!$F$5=Parameters!$E$16)*Parameters!$I$5*ISNUMBER(P58)+(Parameters!$F$6=Parameters!$E$16)*Parameters!$I$6*ISNUMBER(Q58)+(Parameters!$F$7=Parameters!$E$16)*Parameters!$I$7*ISNUMBER(R58)+(Parameters!$F$8=Parameters!$E$16)*Parameters!$I$8*ISNUMBER(S58)+(Parameters!$F$9=Parameters!$E$16)*Parameters!$I$9*ISNUMBER(T58)+(Parameters!$F$10=Parameters!$E$16)*Parameters!$I$10*ISNUMBER(U58)+(Parameters!$F$11=Parameters!$E$16)*Parameters!$I$11*ISNUMBER(V58)+(Parameters!$F$12=Parameters!$E$16)*Parameters!$I$12*ISNUMBER(W58))/((Parameters!$F$5=Parameters!$E$16)*Parameters!$I$5*1+(Parameters!$F$6=Parameters!$E$16)*Parameters!$I$6*1+(Parameters!$F$7=Parameters!$E$16)*Parameters!$I$7*1+(Parameters!$F$8=Parameters!$E$16)*Parameters!$I$8*1+(Parameters!$F$9=Parameters!$E$16)*Parameters!$I$9*1+(Parameters!$F$10=Parameters!$E$16)*Parameters!$I$10*1+(Parameters!$F$11=Parameters!$E$16)*Parameters!$I$11*X58+(Parameters!$F$12=Parameters!$E$16)*Parameters!$I$12*Y58)&gt;=Parameters!$B$36),((Parameters!$F$5=Parameters!$E$16)*Parameters!$I$5*N(P58)+(Parameters!$F$6=Parameters!$E$16)*Parameters!$I$6*N(Q58)+(Parameters!$F$7=Parameters!$E$16)*Parameters!$I$7*N(R58)+(Parameters!$F$8=Parameters!$E$16)*Parameters!$I$8*N(S58)+(Parameters!$F$9=Parameters!$E$16)*Parameters!$I$9*N(T58)+(Parameters!$F$10=Parameters!$E$16)*Parameters!$I$10*N(U58)+(Parameters!$F$11=Parameters!$E$16)*Parameters!$I$11*N(V58)+(Parameters!$F$12=Parameters!$E$16)*Parameters!$I$12*N(W58))/((Parameters!$F$5=Parameters!$E$16)*Parameters!$I$5*ISNUMBER(P58)+(Parameters!$F$6=Parameters!$E$16)*Parameters!$I$6*ISNUMBER(Q58)+(Parameters!$F$7=Parameters!$E$16)*Parameters!$I$7*ISNUMBER(R58)+(Parameters!$F$8=Parameters!$E$16)*Parameters!$I$8*ISNUMBER(S58)+(Parameters!$F$9=Parameters!$E$16)*Parameters!$I$9*ISNUMBER(T58)+(Parameters!$F$10=Parameters!$E$16)*Parameters!$I$10*ISNUMBER(U58)+(Parameters!$F$11=Parameters!$E$16)*Parameters!$I$11*ISNUMBER(V58)+(Parameters!$F$12=Parameters!$E$16)*Parameters!$I$12*ISNUMBER(W58)),""))</f>
        <v>0</v>
      </c>
      <c r="AB58"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58+(Parameters!$F$12=Parameters!$E$17)*Parameters!$I$12*Y58)=0,"",IF(AND(((Parameters!$F$5=Parameters!$E$17)*Parameters!$I$5*ISNUMBER(P58)+(Parameters!$F$6=Parameters!$E$17)*Parameters!$I$6*ISNUMBER(Q58)+(Parameters!$F$7=Parameters!$E$17)*Parameters!$I$7*ISNUMBER(R58)+(Parameters!$F$8=Parameters!$E$17)*Parameters!$I$8*ISNUMBER(S58)+(Parameters!$F$9=Parameters!$E$17)*Parameters!$I$9*ISNUMBER(T58)+(Parameters!$F$10=Parameters!$E$17)*Parameters!$I$10*ISNUMBER(U58)+(Parameters!$F$11=Parameters!$E$17)*Parameters!$I$11*ISNUMBER(V58)+(Parameters!$F$12=Parameters!$E$17)*Parameters!$I$12*ISNUMBER(W58))&gt;0,((Parameters!$F$5=Parameters!$E$17)*Parameters!$I$5*ISNUMBER(P58)+(Parameters!$F$6=Parameters!$E$17)*Parameters!$I$6*ISNUMBER(Q58)+(Parameters!$F$7=Parameters!$E$17)*Parameters!$I$7*ISNUMBER(R58)+(Parameters!$F$8=Parameters!$E$17)*Parameters!$I$8*ISNUMBER(S58)+(Parameters!$F$9=Parameters!$E$17)*Parameters!$I$9*ISNUMBER(T58)+(Parameters!$F$10=Parameters!$E$17)*Parameters!$I$10*ISNUMBER(U58)+(Parameters!$F$11=Parameters!$E$17)*Parameters!$I$11*ISNUMBER(V58)+(Parameters!$F$12=Parameters!$E$17)*Parameters!$I$12*ISNUMBER(W58))/((Parameters!$F$5=Parameters!$E$17)*Parameters!$I$5*1+(Parameters!$F$6=Parameters!$E$17)*Parameters!$I$6*1+(Parameters!$F$7=Parameters!$E$17)*Parameters!$I$7*1+(Parameters!$F$8=Parameters!$E$17)*Parameters!$I$8*1+(Parameters!$F$9=Parameters!$E$17)*Parameters!$I$9*1+(Parameters!$F$10=Parameters!$E$17)*Parameters!$I$10*1+(Parameters!$F$11=Parameters!$E$17)*Parameters!$I$11*X58+(Parameters!$F$12=Parameters!$E$17)*Parameters!$I$12*Y58)&gt;=Parameters!$B$36),((Parameters!$F$5=Parameters!$E$17)*Parameters!$I$5*N(P58)+(Parameters!$F$6=Parameters!$E$17)*Parameters!$I$6*N(Q58)+(Parameters!$F$7=Parameters!$E$17)*Parameters!$I$7*N(R58)+(Parameters!$F$8=Parameters!$E$17)*Parameters!$I$8*N(S58)+(Parameters!$F$9=Parameters!$E$17)*Parameters!$I$9*N(T58)+(Parameters!$F$10=Parameters!$E$17)*Parameters!$I$10*N(U58)+(Parameters!$F$11=Parameters!$E$17)*Parameters!$I$11*N(V58)+(Parameters!$F$12=Parameters!$E$17)*Parameters!$I$12*N(W58))/((Parameters!$F$5=Parameters!$E$17)*Parameters!$I$5*ISNUMBER(P58)+(Parameters!$F$6=Parameters!$E$17)*Parameters!$I$6*ISNUMBER(Q58)+(Parameters!$F$7=Parameters!$E$17)*Parameters!$I$7*ISNUMBER(R58)+(Parameters!$F$8=Parameters!$E$17)*Parameters!$I$8*ISNUMBER(S58)+(Parameters!$F$9=Parameters!$E$17)*Parameters!$I$9*ISNUMBER(T58)+(Parameters!$F$10=Parameters!$E$17)*Parameters!$I$10*ISNUMBER(U58)+(Parameters!$F$11=Parameters!$E$17)*Parameters!$I$11*ISNUMBER(V58)+(Parameters!$F$12=Parameters!$E$17)*Parameters!$I$12*ISNUMBER(W58)),""))</f>
        <v>0</v>
      </c>
      <c r="AC58" s="17" t="n">
        <f aca="false">Parameters!$I$5*ISNUMBER(P58)+Parameters!$I$6*ISNUMBER(Q58)+Parameters!$I$7*ISNUMBER(R58)+Parameters!$I$8*ISNUMBER(S58)+Parameters!$I$9*ISNUMBER(T58)+Parameters!$I$10*ISNUMBER(U58)+Parameters!$I$11*ISNUMBER(V58)+Parameters!$I$12*ISNUMBER(W58)</f>
        <v>75</v>
      </c>
      <c r="AD58" s="17" t="n">
        <f aca="false">Parameters!$I$5*1+Parameters!$I$6*1+Parameters!$I$7*1+Parameters!$I$8*1+Parameters!$I$9*1+Parameters!$I$10*1+Parameters!$I$11*X58+Parameters!$I$12*Y58</f>
        <v>85</v>
      </c>
      <c r="AE58" s="18" t="n">
        <f aca="false">IF(AD58=0,"",AC58/AD58)</f>
        <v>0.882352941176471</v>
      </c>
      <c r="AF58" s="17" t="str">
        <f aca="false">IF(ISNUMBER(Z58),"M","")&amp;IF(ISNUMBER(AA58),"I","")&amp;IF(ISNUMBER(AB58),"O","")</f>
        <v>MIO</v>
      </c>
      <c r="AG58" s="19" t="n">
        <f aca="false">IF(AND(ISNUMBER(AE58),ISNUMBER(Z58)+ISNUMBER(AA58)+ISNUMBER(AB58)&gt;=Parameters!$B$37),IF(AE58&gt;=Parameters!$B$35,100*(Parameters!$F$15*N(Z58)+Parameters!$F$16*N(AA58)+Parameters!$F$17*N(AB58))/(Parameters!$F$15*ISNUMBER(Z58)+Parameters!$F$16*ISNUMBER(AA58)+Parameters!$F$17*ISNUMBER(AB58)),""),"")</f>
        <v>45.4444444444444</v>
      </c>
      <c r="AH58" s="17" t="n">
        <f aca="false">IF(ISNUMBER(AG58),RANK(AG58,$AG$2:$AG$113),"")</f>
        <v>109</v>
      </c>
    </row>
    <row r="59" customFormat="false" ht="15" hidden="false" customHeight="false" outlineLevel="0" collapsed="false">
      <c r="A59" s="5" t="s">
        <v>336</v>
      </c>
      <c r="B59" s="5" t="s">
        <v>337</v>
      </c>
      <c r="C59" s="5" t="s">
        <v>338</v>
      </c>
      <c r="D59" s="5" t="s">
        <v>31</v>
      </c>
      <c r="E59" s="5" t="s">
        <v>44</v>
      </c>
      <c r="F59" s="5" t="s">
        <v>200</v>
      </c>
      <c r="G59" s="15" t="s">
        <v>339</v>
      </c>
      <c r="H59" s="8" t="n">
        <v>1</v>
      </c>
      <c r="I59" s="5" t="s">
        <v>57</v>
      </c>
      <c r="J59" s="5" t="s">
        <v>68</v>
      </c>
      <c r="K59" s="15" t="s">
        <v>340</v>
      </c>
      <c r="L59" s="5" t="s">
        <v>79</v>
      </c>
      <c r="M59" s="5" t="s">
        <v>141</v>
      </c>
      <c r="N59" s="5" t="s">
        <v>173</v>
      </c>
      <c r="O59" s="5" t="s">
        <v>197</v>
      </c>
      <c r="P59" s="16" t="n">
        <f aca="false">IFERROR(IF(ISNUMBER(INDEX(Parameters!$B$5:$B$23,MATCH(D59,Parameters!$A$5:$A$23,0))),INDEX(Parameters!$B$5:$B$23,MATCH(D59,Parameters!$A$5:$A$23,0)),""),"")</f>
        <v>1</v>
      </c>
      <c r="Q59" s="16" t="n">
        <f aca="false">IFERROR(IF(ISNUMBER(INDEX(Parameters!$B$5:$B$23,MATCH(E59,Parameters!$A$5:$A$23,0))),INDEX(Parameters!$B$5:$B$23,MATCH(E59,Parameters!$A$5:$A$23,0)),""),"")</f>
        <v>1</v>
      </c>
      <c r="R59" s="16" t="n">
        <f aca="false">IF(F59="","",IFERROR(MIN(Parameters!$B$33,MAX(0,Parameters!$B$32-VALUE(LEFT(F59,4))))/Parameters!$B$33,""))</f>
        <v>1</v>
      </c>
      <c r="S59" s="16" t="n">
        <f aca="false">IF(ISNUMBER(H59),H59,IF(G59="",IF(ISNUMBER(Parameters!$B$34),Parameters!$B$34,""),""))</f>
        <v>1</v>
      </c>
      <c r="T59" s="16" t="n">
        <f aca="false">IFERROR(IF(ISNUMBER(INDEX(Parameters!$B$5:$B$23,MATCH(I59,Parameters!$A$5:$A$23,0))),INDEX(Parameters!$B$5:$B$23,MATCH(I59,Parameters!$A$5:$A$23,0)),""),"")</f>
        <v>0</v>
      </c>
      <c r="U59" s="16" t="n">
        <f aca="false">IFERROR(IF(ISNUMBER(INDEX(Parameters!$B$5:$B$23,MATCH(L59,Parameters!$A$5:$A$23,0))),INDEX(Parameters!$B$5:$B$23,MATCH(L59,Parameters!$A$5:$A$23,0)),""),"")</f>
        <v>1</v>
      </c>
      <c r="V59" s="16" t="n">
        <f aca="false">IFERROR(IF(ISNUMBER(INDEX(Parameters!$B$5:$B$23,MATCH(J59,Parameters!$A$5:$A$23,0))),INDEX(Parameters!$B$5:$B$23,MATCH(J59,Parameters!$A$5:$A$23,0)),""),"")</f>
        <v>1</v>
      </c>
      <c r="W59" s="16" t="n">
        <f aca="false">IF(K59&lt;&gt;"",1,IF(COUNTIF(Parameters!$A$27:$A$28,J59)&gt;0,0,""))</f>
        <v>1</v>
      </c>
      <c r="X59" s="17" t="n">
        <f aca="false">IF(J59="Not applicable",0,1)</f>
        <v>1</v>
      </c>
      <c r="Y59" s="17" t="n">
        <f aca="false">IF(OR(K59&lt;&gt;"",COUNTIF(Parameters!$A$27:$A$28,J59)&gt;0),1,0)</f>
        <v>1</v>
      </c>
      <c r="Z59"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59+(Parameters!$F$12=Parameters!$E$15)*Parameters!$I$12*Y59)=0,"",IF(AND(((Parameters!$F$5=Parameters!$E$15)*Parameters!$I$5*ISNUMBER(P59)+(Parameters!$F$6=Parameters!$E$15)*Parameters!$I$6*ISNUMBER(Q59)+(Parameters!$F$7=Parameters!$E$15)*Parameters!$I$7*ISNUMBER(R59)+(Parameters!$F$8=Parameters!$E$15)*Parameters!$I$8*ISNUMBER(S59)+(Parameters!$F$9=Parameters!$E$15)*Parameters!$I$9*ISNUMBER(T59)+(Parameters!$F$10=Parameters!$E$15)*Parameters!$I$10*ISNUMBER(U59)+(Parameters!$F$11=Parameters!$E$15)*Parameters!$I$11*ISNUMBER(V59)+(Parameters!$F$12=Parameters!$E$15)*Parameters!$I$12*ISNUMBER(W59))&gt;0,((Parameters!$F$5=Parameters!$E$15)*Parameters!$I$5*ISNUMBER(P59)+(Parameters!$F$6=Parameters!$E$15)*Parameters!$I$6*ISNUMBER(Q59)+(Parameters!$F$7=Parameters!$E$15)*Parameters!$I$7*ISNUMBER(R59)+(Parameters!$F$8=Parameters!$E$15)*Parameters!$I$8*ISNUMBER(S59)+(Parameters!$F$9=Parameters!$E$15)*Parameters!$I$9*ISNUMBER(T59)+(Parameters!$F$10=Parameters!$E$15)*Parameters!$I$10*ISNUMBER(U59)+(Parameters!$F$11=Parameters!$E$15)*Parameters!$I$11*ISNUMBER(V59)+(Parameters!$F$12=Parameters!$E$15)*Parameters!$I$12*ISNUMBER(W59))/((Parameters!$F$5=Parameters!$E$15)*Parameters!$I$5*1+(Parameters!$F$6=Parameters!$E$15)*Parameters!$I$6*1+(Parameters!$F$7=Parameters!$E$15)*Parameters!$I$7*1+(Parameters!$F$8=Parameters!$E$15)*Parameters!$I$8*1+(Parameters!$F$9=Parameters!$E$15)*Parameters!$I$9*1+(Parameters!$F$10=Parameters!$E$15)*Parameters!$I$10*1+(Parameters!$F$11=Parameters!$E$15)*Parameters!$I$11*X59+(Parameters!$F$12=Parameters!$E$15)*Parameters!$I$12*Y59)&gt;=Parameters!$B$36),((Parameters!$F$5=Parameters!$E$15)*Parameters!$I$5*N(P59)+(Parameters!$F$6=Parameters!$E$15)*Parameters!$I$6*N(Q59)+(Parameters!$F$7=Parameters!$E$15)*Parameters!$I$7*N(R59)+(Parameters!$F$8=Parameters!$E$15)*Parameters!$I$8*N(S59)+(Parameters!$F$9=Parameters!$E$15)*Parameters!$I$9*N(T59)+(Parameters!$F$10=Parameters!$E$15)*Parameters!$I$10*N(U59)+(Parameters!$F$11=Parameters!$E$15)*Parameters!$I$11*N(V59)+(Parameters!$F$12=Parameters!$E$15)*Parameters!$I$12*N(W59))/((Parameters!$F$5=Parameters!$E$15)*Parameters!$I$5*ISNUMBER(P59)+(Parameters!$F$6=Parameters!$E$15)*Parameters!$I$6*ISNUMBER(Q59)+(Parameters!$F$7=Parameters!$E$15)*Parameters!$I$7*ISNUMBER(R59)+(Parameters!$F$8=Parameters!$E$15)*Parameters!$I$8*ISNUMBER(S59)+(Parameters!$F$9=Parameters!$E$15)*Parameters!$I$9*ISNUMBER(T59)+(Parameters!$F$10=Parameters!$E$15)*Parameters!$I$10*ISNUMBER(U59)+(Parameters!$F$11=Parameters!$E$15)*Parameters!$I$11*ISNUMBER(V59)+(Parameters!$F$12=Parameters!$E$15)*Parameters!$I$12*ISNUMBER(W59)),""))</f>
        <v>1</v>
      </c>
      <c r="AA59"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59+(Parameters!$F$12=Parameters!$E$16)*Parameters!$I$12*Y59)=0,"",IF(AND(((Parameters!$F$5=Parameters!$E$16)*Parameters!$I$5*ISNUMBER(P59)+(Parameters!$F$6=Parameters!$E$16)*Parameters!$I$6*ISNUMBER(Q59)+(Parameters!$F$7=Parameters!$E$16)*Parameters!$I$7*ISNUMBER(R59)+(Parameters!$F$8=Parameters!$E$16)*Parameters!$I$8*ISNUMBER(S59)+(Parameters!$F$9=Parameters!$E$16)*Parameters!$I$9*ISNUMBER(T59)+(Parameters!$F$10=Parameters!$E$16)*Parameters!$I$10*ISNUMBER(U59)+(Parameters!$F$11=Parameters!$E$16)*Parameters!$I$11*ISNUMBER(V59)+(Parameters!$F$12=Parameters!$E$16)*Parameters!$I$12*ISNUMBER(W59))&gt;0,((Parameters!$F$5=Parameters!$E$16)*Parameters!$I$5*ISNUMBER(P59)+(Parameters!$F$6=Parameters!$E$16)*Parameters!$I$6*ISNUMBER(Q59)+(Parameters!$F$7=Parameters!$E$16)*Parameters!$I$7*ISNUMBER(R59)+(Parameters!$F$8=Parameters!$E$16)*Parameters!$I$8*ISNUMBER(S59)+(Parameters!$F$9=Parameters!$E$16)*Parameters!$I$9*ISNUMBER(T59)+(Parameters!$F$10=Parameters!$E$16)*Parameters!$I$10*ISNUMBER(U59)+(Parameters!$F$11=Parameters!$E$16)*Parameters!$I$11*ISNUMBER(V59)+(Parameters!$F$12=Parameters!$E$16)*Parameters!$I$12*ISNUMBER(W59))/((Parameters!$F$5=Parameters!$E$16)*Parameters!$I$5*1+(Parameters!$F$6=Parameters!$E$16)*Parameters!$I$6*1+(Parameters!$F$7=Parameters!$E$16)*Parameters!$I$7*1+(Parameters!$F$8=Parameters!$E$16)*Parameters!$I$8*1+(Parameters!$F$9=Parameters!$E$16)*Parameters!$I$9*1+(Parameters!$F$10=Parameters!$E$16)*Parameters!$I$10*1+(Parameters!$F$11=Parameters!$E$16)*Parameters!$I$11*X59+(Parameters!$F$12=Parameters!$E$16)*Parameters!$I$12*Y59)&gt;=Parameters!$B$36),((Parameters!$F$5=Parameters!$E$16)*Parameters!$I$5*N(P59)+(Parameters!$F$6=Parameters!$E$16)*Parameters!$I$6*N(Q59)+(Parameters!$F$7=Parameters!$E$16)*Parameters!$I$7*N(R59)+(Parameters!$F$8=Parameters!$E$16)*Parameters!$I$8*N(S59)+(Parameters!$F$9=Parameters!$E$16)*Parameters!$I$9*N(T59)+(Parameters!$F$10=Parameters!$E$16)*Parameters!$I$10*N(U59)+(Parameters!$F$11=Parameters!$E$16)*Parameters!$I$11*N(V59)+(Parameters!$F$12=Parameters!$E$16)*Parameters!$I$12*N(W59))/((Parameters!$F$5=Parameters!$E$16)*Parameters!$I$5*ISNUMBER(P59)+(Parameters!$F$6=Parameters!$E$16)*Parameters!$I$6*ISNUMBER(Q59)+(Parameters!$F$7=Parameters!$E$16)*Parameters!$I$7*ISNUMBER(R59)+(Parameters!$F$8=Parameters!$E$16)*Parameters!$I$8*ISNUMBER(S59)+(Parameters!$F$9=Parameters!$E$16)*Parameters!$I$9*ISNUMBER(T59)+(Parameters!$F$10=Parameters!$E$16)*Parameters!$I$10*ISNUMBER(U59)+(Parameters!$F$11=Parameters!$E$16)*Parameters!$I$11*ISNUMBER(V59)+(Parameters!$F$12=Parameters!$E$16)*Parameters!$I$12*ISNUMBER(W59)),""))</f>
        <v>0.8</v>
      </c>
      <c r="AB59"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59+(Parameters!$F$12=Parameters!$E$17)*Parameters!$I$12*Y59)=0,"",IF(AND(((Parameters!$F$5=Parameters!$E$17)*Parameters!$I$5*ISNUMBER(P59)+(Parameters!$F$6=Parameters!$E$17)*Parameters!$I$6*ISNUMBER(Q59)+(Parameters!$F$7=Parameters!$E$17)*Parameters!$I$7*ISNUMBER(R59)+(Parameters!$F$8=Parameters!$E$17)*Parameters!$I$8*ISNUMBER(S59)+(Parameters!$F$9=Parameters!$E$17)*Parameters!$I$9*ISNUMBER(T59)+(Parameters!$F$10=Parameters!$E$17)*Parameters!$I$10*ISNUMBER(U59)+(Parameters!$F$11=Parameters!$E$17)*Parameters!$I$11*ISNUMBER(V59)+(Parameters!$F$12=Parameters!$E$17)*Parameters!$I$12*ISNUMBER(W59))&gt;0,((Parameters!$F$5=Parameters!$E$17)*Parameters!$I$5*ISNUMBER(P59)+(Parameters!$F$6=Parameters!$E$17)*Parameters!$I$6*ISNUMBER(Q59)+(Parameters!$F$7=Parameters!$E$17)*Parameters!$I$7*ISNUMBER(R59)+(Parameters!$F$8=Parameters!$E$17)*Parameters!$I$8*ISNUMBER(S59)+(Parameters!$F$9=Parameters!$E$17)*Parameters!$I$9*ISNUMBER(T59)+(Parameters!$F$10=Parameters!$E$17)*Parameters!$I$10*ISNUMBER(U59)+(Parameters!$F$11=Parameters!$E$17)*Parameters!$I$11*ISNUMBER(V59)+(Parameters!$F$12=Parameters!$E$17)*Parameters!$I$12*ISNUMBER(W59))/((Parameters!$F$5=Parameters!$E$17)*Parameters!$I$5*1+(Parameters!$F$6=Parameters!$E$17)*Parameters!$I$6*1+(Parameters!$F$7=Parameters!$E$17)*Parameters!$I$7*1+(Parameters!$F$8=Parameters!$E$17)*Parameters!$I$8*1+(Parameters!$F$9=Parameters!$E$17)*Parameters!$I$9*1+(Parameters!$F$10=Parameters!$E$17)*Parameters!$I$10*1+(Parameters!$F$11=Parameters!$E$17)*Parameters!$I$11*X59+(Parameters!$F$12=Parameters!$E$17)*Parameters!$I$12*Y59)&gt;=Parameters!$B$36),((Parameters!$F$5=Parameters!$E$17)*Parameters!$I$5*N(P59)+(Parameters!$F$6=Parameters!$E$17)*Parameters!$I$6*N(Q59)+(Parameters!$F$7=Parameters!$E$17)*Parameters!$I$7*N(R59)+(Parameters!$F$8=Parameters!$E$17)*Parameters!$I$8*N(S59)+(Parameters!$F$9=Parameters!$E$17)*Parameters!$I$9*N(T59)+(Parameters!$F$10=Parameters!$E$17)*Parameters!$I$10*N(U59)+(Parameters!$F$11=Parameters!$E$17)*Parameters!$I$11*N(V59)+(Parameters!$F$12=Parameters!$E$17)*Parameters!$I$12*N(W59))/((Parameters!$F$5=Parameters!$E$17)*Parameters!$I$5*ISNUMBER(P59)+(Parameters!$F$6=Parameters!$E$17)*Parameters!$I$6*ISNUMBER(Q59)+(Parameters!$F$7=Parameters!$E$17)*Parameters!$I$7*ISNUMBER(R59)+(Parameters!$F$8=Parameters!$E$17)*Parameters!$I$8*ISNUMBER(S59)+(Parameters!$F$9=Parameters!$E$17)*Parameters!$I$9*ISNUMBER(T59)+(Parameters!$F$10=Parameters!$E$17)*Parameters!$I$10*ISNUMBER(U59)+(Parameters!$F$11=Parameters!$E$17)*Parameters!$I$11*ISNUMBER(V59)+(Parameters!$F$12=Parameters!$E$17)*Parameters!$I$12*ISNUMBER(W59)),""))</f>
        <v>1</v>
      </c>
      <c r="AC59" s="17" t="n">
        <f aca="false">Parameters!$I$5*ISNUMBER(P59)+Parameters!$I$6*ISNUMBER(Q59)+Parameters!$I$7*ISNUMBER(R59)+Parameters!$I$8*ISNUMBER(S59)+Parameters!$I$9*ISNUMBER(T59)+Parameters!$I$10*ISNUMBER(U59)+Parameters!$I$11*ISNUMBER(V59)+Parameters!$I$12*ISNUMBER(W59)</f>
        <v>95</v>
      </c>
      <c r="AD59" s="17" t="n">
        <f aca="false">Parameters!$I$5*1+Parameters!$I$6*1+Parameters!$I$7*1+Parameters!$I$8*1+Parameters!$I$9*1+Parameters!$I$10*1+Parameters!$I$11*X59+Parameters!$I$12*Y59</f>
        <v>95</v>
      </c>
      <c r="AE59" s="18" t="n">
        <f aca="false">IF(AD59=0,"",AC59/AD59)</f>
        <v>1</v>
      </c>
      <c r="AF59" s="17" t="str">
        <f aca="false">IF(ISNUMBER(Z59),"M","")&amp;IF(ISNUMBER(AA59),"I","")&amp;IF(ISNUMBER(AB59),"O","")</f>
        <v>MIO</v>
      </c>
      <c r="AG59" s="19" t="n">
        <f aca="false">IF(AND(ISNUMBER(AE59),ISNUMBER(Z59)+ISNUMBER(AA59)+ISNUMBER(AB59)&gt;=Parameters!$B$37),IF(AE59&gt;=Parameters!$B$35,100*(Parameters!$F$15*N(Z59)+Parameters!$F$16*N(AA59)+Parameters!$F$17*N(AB59))/(Parameters!$F$15*ISNUMBER(Z59)+Parameters!$F$16*ISNUMBER(AA59)+Parameters!$F$17*ISNUMBER(AB59)),""),"")</f>
        <v>94</v>
      </c>
      <c r="AH59" s="17" t="n">
        <f aca="false">IF(ISNUMBER(AG59),RANK(AG59,$AG$2:$AG$113),"")</f>
        <v>5</v>
      </c>
    </row>
    <row r="60" customFormat="false" ht="15" hidden="false" customHeight="false" outlineLevel="0" collapsed="false">
      <c r="A60" s="5" t="s">
        <v>341</v>
      </c>
      <c r="B60" s="5" t="s">
        <v>342</v>
      </c>
      <c r="C60" s="5" t="s">
        <v>343</v>
      </c>
      <c r="D60" s="5" t="s">
        <v>31</v>
      </c>
      <c r="E60" s="5" t="s">
        <v>44</v>
      </c>
      <c r="F60" s="5" t="s">
        <v>227</v>
      </c>
      <c r="G60" s="15"/>
      <c r="H60" s="8"/>
      <c r="I60" s="5" t="s">
        <v>57</v>
      </c>
      <c r="J60" s="5" t="s">
        <v>70</v>
      </c>
      <c r="K60" s="15"/>
      <c r="L60" s="5" t="s">
        <v>81</v>
      </c>
      <c r="M60" s="5" t="s">
        <v>136</v>
      </c>
      <c r="N60" s="5"/>
      <c r="O60" s="5"/>
      <c r="P60" s="16" t="n">
        <f aca="false">IFERROR(IF(ISNUMBER(INDEX(Parameters!$B$5:$B$23,MATCH(D60,Parameters!$A$5:$A$23,0))),INDEX(Parameters!$B$5:$B$23,MATCH(D60,Parameters!$A$5:$A$23,0)),""),"")</f>
        <v>1</v>
      </c>
      <c r="Q60" s="16" t="n">
        <f aca="false">IFERROR(IF(ISNUMBER(INDEX(Parameters!$B$5:$B$23,MATCH(E60,Parameters!$A$5:$A$23,0))),INDEX(Parameters!$B$5:$B$23,MATCH(E60,Parameters!$A$5:$A$23,0)),""),"")</f>
        <v>1</v>
      </c>
      <c r="R60" s="16" t="n">
        <f aca="false">IF(F60="","",IFERROR(MIN(Parameters!$B$33,MAX(0,Parameters!$B$32-VALUE(LEFT(F60,4))))/Parameters!$B$33,""))</f>
        <v>1</v>
      </c>
      <c r="S60" s="16" t="str">
        <f aca="false">IF(ISNUMBER(H60),H60,IF(G60="",IF(ISNUMBER(Parameters!$B$34),Parameters!$B$34,""),""))</f>
        <v/>
      </c>
      <c r="T60" s="16" t="n">
        <f aca="false">IFERROR(IF(ISNUMBER(INDEX(Parameters!$B$5:$B$23,MATCH(I60,Parameters!$A$5:$A$23,0))),INDEX(Parameters!$B$5:$B$23,MATCH(I60,Parameters!$A$5:$A$23,0)),""),"")</f>
        <v>0</v>
      </c>
      <c r="U60" s="16" t="n">
        <f aca="false">IFERROR(IF(ISNUMBER(INDEX(Parameters!$B$5:$B$23,MATCH(L60,Parameters!$A$5:$A$23,0))),INDEX(Parameters!$B$5:$B$23,MATCH(L60,Parameters!$A$5:$A$23,0)),""),"")</f>
        <v>1</v>
      </c>
      <c r="V60" s="16" t="n">
        <f aca="false">IFERROR(IF(ISNUMBER(INDEX(Parameters!$B$5:$B$23,MATCH(J60,Parameters!$A$5:$A$23,0))),INDEX(Parameters!$B$5:$B$23,MATCH(J60,Parameters!$A$5:$A$23,0)),""),"")</f>
        <v>1</v>
      </c>
      <c r="W60" s="16" t="n">
        <f aca="false">IF(K60&lt;&gt;"",1,IF(COUNTIF(Parameters!$A$27:$A$28,J60)&gt;0,0,""))</f>
        <v>0</v>
      </c>
      <c r="X60" s="17" t="n">
        <f aca="false">IF(J60="Not applicable",0,1)</f>
        <v>1</v>
      </c>
      <c r="Y60" s="17" t="n">
        <f aca="false">IF(OR(K60&lt;&gt;"",COUNTIF(Parameters!$A$27:$A$28,J60)&gt;0),1,0)</f>
        <v>1</v>
      </c>
      <c r="Z60"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60+(Parameters!$F$12=Parameters!$E$15)*Parameters!$I$12*Y60)=0,"",IF(AND(((Parameters!$F$5=Parameters!$E$15)*Parameters!$I$5*ISNUMBER(P60)+(Parameters!$F$6=Parameters!$E$15)*Parameters!$I$6*ISNUMBER(Q60)+(Parameters!$F$7=Parameters!$E$15)*Parameters!$I$7*ISNUMBER(R60)+(Parameters!$F$8=Parameters!$E$15)*Parameters!$I$8*ISNUMBER(S60)+(Parameters!$F$9=Parameters!$E$15)*Parameters!$I$9*ISNUMBER(T60)+(Parameters!$F$10=Parameters!$E$15)*Parameters!$I$10*ISNUMBER(U60)+(Parameters!$F$11=Parameters!$E$15)*Parameters!$I$11*ISNUMBER(V60)+(Parameters!$F$12=Parameters!$E$15)*Parameters!$I$12*ISNUMBER(W60))&gt;0,((Parameters!$F$5=Parameters!$E$15)*Parameters!$I$5*ISNUMBER(P60)+(Parameters!$F$6=Parameters!$E$15)*Parameters!$I$6*ISNUMBER(Q60)+(Parameters!$F$7=Parameters!$E$15)*Parameters!$I$7*ISNUMBER(R60)+(Parameters!$F$8=Parameters!$E$15)*Parameters!$I$8*ISNUMBER(S60)+(Parameters!$F$9=Parameters!$E$15)*Parameters!$I$9*ISNUMBER(T60)+(Parameters!$F$10=Parameters!$E$15)*Parameters!$I$10*ISNUMBER(U60)+(Parameters!$F$11=Parameters!$E$15)*Parameters!$I$11*ISNUMBER(V60)+(Parameters!$F$12=Parameters!$E$15)*Parameters!$I$12*ISNUMBER(W60))/((Parameters!$F$5=Parameters!$E$15)*Parameters!$I$5*1+(Parameters!$F$6=Parameters!$E$15)*Parameters!$I$6*1+(Parameters!$F$7=Parameters!$E$15)*Parameters!$I$7*1+(Parameters!$F$8=Parameters!$E$15)*Parameters!$I$8*1+(Parameters!$F$9=Parameters!$E$15)*Parameters!$I$9*1+(Parameters!$F$10=Parameters!$E$15)*Parameters!$I$10*1+(Parameters!$F$11=Parameters!$E$15)*Parameters!$I$11*X60+(Parameters!$F$12=Parameters!$E$15)*Parameters!$I$12*Y60)&gt;=Parameters!$B$36),((Parameters!$F$5=Parameters!$E$15)*Parameters!$I$5*N(P60)+(Parameters!$F$6=Parameters!$E$15)*Parameters!$I$6*N(Q60)+(Parameters!$F$7=Parameters!$E$15)*Parameters!$I$7*N(R60)+(Parameters!$F$8=Parameters!$E$15)*Parameters!$I$8*N(S60)+(Parameters!$F$9=Parameters!$E$15)*Parameters!$I$9*N(T60)+(Parameters!$F$10=Parameters!$E$15)*Parameters!$I$10*N(U60)+(Parameters!$F$11=Parameters!$E$15)*Parameters!$I$11*N(V60)+(Parameters!$F$12=Parameters!$E$15)*Parameters!$I$12*N(W60))/((Parameters!$F$5=Parameters!$E$15)*Parameters!$I$5*ISNUMBER(P60)+(Parameters!$F$6=Parameters!$E$15)*Parameters!$I$6*ISNUMBER(Q60)+(Parameters!$F$7=Parameters!$E$15)*Parameters!$I$7*ISNUMBER(R60)+(Parameters!$F$8=Parameters!$E$15)*Parameters!$I$8*ISNUMBER(S60)+(Parameters!$F$9=Parameters!$E$15)*Parameters!$I$9*ISNUMBER(T60)+(Parameters!$F$10=Parameters!$E$15)*Parameters!$I$10*ISNUMBER(U60)+(Parameters!$F$11=Parameters!$E$15)*Parameters!$I$11*ISNUMBER(V60)+(Parameters!$F$12=Parameters!$E$15)*Parameters!$I$12*ISNUMBER(W60)),""))</f>
        <v>1</v>
      </c>
      <c r="AA60"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60+(Parameters!$F$12=Parameters!$E$16)*Parameters!$I$12*Y60)=0,"",IF(AND(((Parameters!$F$5=Parameters!$E$16)*Parameters!$I$5*ISNUMBER(P60)+(Parameters!$F$6=Parameters!$E$16)*Parameters!$I$6*ISNUMBER(Q60)+(Parameters!$F$7=Parameters!$E$16)*Parameters!$I$7*ISNUMBER(R60)+(Parameters!$F$8=Parameters!$E$16)*Parameters!$I$8*ISNUMBER(S60)+(Parameters!$F$9=Parameters!$E$16)*Parameters!$I$9*ISNUMBER(T60)+(Parameters!$F$10=Parameters!$E$16)*Parameters!$I$10*ISNUMBER(U60)+(Parameters!$F$11=Parameters!$E$16)*Parameters!$I$11*ISNUMBER(V60)+(Parameters!$F$12=Parameters!$E$16)*Parameters!$I$12*ISNUMBER(W60))&gt;0,((Parameters!$F$5=Parameters!$E$16)*Parameters!$I$5*ISNUMBER(P60)+(Parameters!$F$6=Parameters!$E$16)*Parameters!$I$6*ISNUMBER(Q60)+(Parameters!$F$7=Parameters!$E$16)*Parameters!$I$7*ISNUMBER(R60)+(Parameters!$F$8=Parameters!$E$16)*Parameters!$I$8*ISNUMBER(S60)+(Parameters!$F$9=Parameters!$E$16)*Parameters!$I$9*ISNUMBER(T60)+(Parameters!$F$10=Parameters!$E$16)*Parameters!$I$10*ISNUMBER(U60)+(Parameters!$F$11=Parameters!$E$16)*Parameters!$I$11*ISNUMBER(V60)+(Parameters!$F$12=Parameters!$E$16)*Parameters!$I$12*ISNUMBER(W60))/((Parameters!$F$5=Parameters!$E$16)*Parameters!$I$5*1+(Parameters!$F$6=Parameters!$E$16)*Parameters!$I$6*1+(Parameters!$F$7=Parameters!$E$16)*Parameters!$I$7*1+(Parameters!$F$8=Parameters!$E$16)*Parameters!$I$8*1+(Parameters!$F$9=Parameters!$E$16)*Parameters!$I$9*1+(Parameters!$F$10=Parameters!$E$16)*Parameters!$I$10*1+(Parameters!$F$11=Parameters!$E$16)*Parameters!$I$11*X60+(Parameters!$F$12=Parameters!$E$16)*Parameters!$I$12*Y60)&gt;=Parameters!$B$36),((Parameters!$F$5=Parameters!$E$16)*Parameters!$I$5*N(P60)+(Parameters!$F$6=Parameters!$E$16)*Parameters!$I$6*N(Q60)+(Parameters!$F$7=Parameters!$E$16)*Parameters!$I$7*N(R60)+(Parameters!$F$8=Parameters!$E$16)*Parameters!$I$8*N(S60)+(Parameters!$F$9=Parameters!$E$16)*Parameters!$I$9*N(T60)+(Parameters!$F$10=Parameters!$E$16)*Parameters!$I$10*N(U60)+(Parameters!$F$11=Parameters!$E$16)*Parameters!$I$11*N(V60)+(Parameters!$F$12=Parameters!$E$16)*Parameters!$I$12*N(W60))/((Parameters!$F$5=Parameters!$E$16)*Parameters!$I$5*ISNUMBER(P60)+(Parameters!$F$6=Parameters!$E$16)*Parameters!$I$6*ISNUMBER(Q60)+(Parameters!$F$7=Parameters!$E$16)*Parameters!$I$7*ISNUMBER(R60)+(Parameters!$F$8=Parameters!$E$16)*Parameters!$I$8*ISNUMBER(S60)+(Parameters!$F$9=Parameters!$E$16)*Parameters!$I$9*ISNUMBER(T60)+(Parameters!$F$10=Parameters!$E$16)*Parameters!$I$10*ISNUMBER(U60)+(Parameters!$F$11=Parameters!$E$16)*Parameters!$I$11*ISNUMBER(V60)+(Parameters!$F$12=Parameters!$E$16)*Parameters!$I$12*ISNUMBER(W60)),""))</f>
        <v>0.666666666666667</v>
      </c>
      <c r="AB60"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60+(Parameters!$F$12=Parameters!$E$17)*Parameters!$I$12*Y60)=0,"",IF(AND(((Parameters!$F$5=Parameters!$E$17)*Parameters!$I$5*ISNUMBER(P60)+(Parameters!$F$6=Parameters!$E$17)*Parameters!$I$6*ISNUMBER(Q60)+(Parameters!$F$7=Parameters!$E$17)*Parameters!$I$7*ISNUMBER(R60)+(Parameters!$F$8=Parameters!$E$17)*Parameters!$I$8*ISNUMBER(S60)+(Parameters!$F$9=Parameters!$E$17)*Parameters!$I$9*ISNUMBER(T60)+(Parameters!$F$10=Parameters!$E$17)*Parameters!$I$10*ISNUMBER(U60)+(Parameters!$F$11=Parameters!$E$17)*Parameters!$I$11*ISNUMBER(V60)+(Parameters!$F$12=Parameters!$E$17)*Parameters!$I$12*ISNUMBER(W60))&gt;0,((Parameters!$F$5=Parameters!$E$17)*Parameters!$I$5*ISNUMBER(P60)+(Parameters!$F$6=Parameters!$E$17)*Parameters!$I$6*ISNUMBER(Q60)+(Parameters!$F$7=Parameters!$E$17)*Parameters!$I$7*ISNUMBER(R60)+(Parameters!$F$8=Parameters!$E$17)*Parameters!$I$8*ISNUMBER(S60)+(Parameters!$F$9=Parameters!$E$17)*Parameters!$I$9*ISNUMBER(T60)+(Parameters!$F$10=Parameters!$E$17)*Parameters!$I$10*ISNUMBER(U60)+(Parameters!$F$11=Parameters!$E$17)*Parameters!$I$11*ISNUMBER(V60)+(Parameters!$F$12=Parameters!$E$17)*Parameters!$I$12*ISNUMBER(W60))/((Parameters!$F$5=Parameters!$E$17)*Parameters!$I$5*1+(Parameters!$F$6=Parameters!$E$17)*Parameters!$I$6*1+(Parameters!$F$7=Parameters!$E$17)*Parameters!$I$7*1+(Parameters!$F$8=Parameters!$E$17)*Parameters!$I$8*1+(Parameters!$F$9=Parameters!$E$17)*Parameters!$I$9*1+(Parameters!$F$10=Parameters!$E$17)*Parameters!$I$10*1+(Parameters!$F$11=Parameters!$E$17)*Parameters!$I$11*X60+(Parameters!$F$12=Parameters!$E$17)*Parameters!$I$12*Y60)&gt;=Parameters!$B$36),((Parameters!$F$5=Parameters!$E$17)*Parameters!$I$5*N(P60)+(Parameters!$F$6=Parameters!$E$17)*Parameters!$I$6*N(Q60)+(Parameters!$F$7=Parameters!$E$17)*Parameters!$I$7*N(R60)+(Parameters!$F$8=Parameters!$E$17)*Parameters!$I$8*N(S60)+(Parameters!$F$9=Parameters!$E$17)*Parameters!$I$9*N(T60)+(Parameters!$F$10=Parameters!$E$17)*Parameters!$I$10*N(U60)+(Parameters!$F$11=Parameters!$E$17)*Parameters!$I$11*N(V60)+(Parameters!$F$12=Parameters!$E$17)*Parameters!$I$12*N(W60))/((Parameters!$F$5=Parameters!$E$17)*Parameters!$I$5*ISNUMBER(P60)+(Parameters!$F$6=Parameters!$E$17)*Parameters!$I$6*ISNUMBER(Q60)+(Parameters!$F$7=Parameters!$E$17)*Parameters!$I$7*ISNUMBER(R60)+(Parameters!$F$8=Parameters!$E$17)*Parameters!$I$8*ISNUMBER(S60)+(Parameters!$F$9=Parameters!$E$17)*Parameters!$I$9*ISNUMBER(T60)+(Parameters!$F$10=Parameters!$E$17)*Parameters!$I$10*ISNUMBER(U60)+(Parameters!$F$11=Parameters!$E$17)*Parameters!$I$11*ISNUMBER(V60)+(Parameters!$F$12=Parameters!$E$17)*Parameters!$I$12*ISNUMBER(W60)),""))</f>
        <v>0.5</v>
      </c>
      <c r="AC60" s="17" t="n">
        <f aca="false">Parameters!$I$5*ISNUMBER(P60)+Parameters!$I$6*ISNUMBER(Q60)+Parameters!$I$7*ISNUMBER(R60)+Parameters!$I$8*ISNUMBER(S60)+Parameters!$I$9*ISNUMBER(T60)+Parameters!$I$10*ISNUMBER(U60)+Parameters!$I$11*ISNUMBER(V60)+Parameters!$I$12*ISNUMBER(W60)</f>
        <v>85</v>
      </c>
      <c r="AD60" s="17" t="n">
        <f aca="false">Parameters!$I$5*1+Parameters!$I$6*1+Parameters!$I$7*1+Parameters!$I$8*1+Parameters!$I$9*1+Parameters!$I$10*1+Parameters!$I$11*X60+Parameters!$I$12*Y60</f>
        <v>95</v>
      </c>
      <c r="AE60" s="18" t="n">
        <f aca="false">IF(AD60=0,"",AC60/AD60)</f>
        <v>0.894736842105263</v>
      </c>
      <c r="AF60" s="17" t="str">
        <f aca="false">IF(ISNUMBER(Z60),"M","")&amp;IF(ISNUMBER(AA60),"I","")&amp;IF(ISNUMBER(AB60),"O","")</f>
        <v>MIO</v>
      </c>
      <c r="AG60" s="19" t="n">
        <f aca="false">IF(AND(ISNUMBER(AE60),ISNUMBER(Z60)+ISNUMBER(AA60)+ISNUMBER(AB60)&gt;=Parameters!$B$37),IF(AE60&gt;=Parameters!$B$35,100*(Parameters!$F$15*N(Z60)+Parameters!$F$16*N(AA60)+Parameters!$F$17*N(AB60))/(Parameters!$F$15*ISNUMBER(Z60)+Parameters!$F$16*ISNUMBER(AA60)+Parameters!$F$17*ISNUMBER(AB60)),""),"")</f>
        <v>80</v>
      </c>
      <c r="AH60" s="17" t="n">
        <f aca="false">IF(ISNUMBER(AG60),RANK(AG60,$AG$2:$AG$113),"")</f>
        <v>73</v>
      </c>
    </row>
    <row r="61" customFormat="false" ht="15" hidden="false" customHeight="false" outlineLevel="0" collapsed="false">
      <c r="A61" s="5" t="s">
        <v>344</v>
      </c>
      <c r="B61" s="5" t="s">
        <v>345</v>
      </c>
      <c r="C61" s="5" t="s">
        <v>306</v>
      </c>
      <c r="D61" s="5" t="s">
        <v>31</v>
      </c>
      <c r="E61" s="5" t="s">
        <v>44</v>
      </c>
      <c r="F61" s="5" t="s">
        <v>265</v>
      </c>
      <c r="G61" s="15"/>
      <c r="H61" s="8"/>
      <c r="I61" s="5" t="s">
        <v>57</v>
      </c>
      <c r="J61" s="5" t="s">
        <v>66</v>
      </c>
      <c r="K61" s="15"/>
      <c r="L61" s="5" t="s">
        <v>79</v>
      </c>
      <c r="M61" s="5" t="s">
        <v>141</v>
      </c>
      <c r="N61" s="5"/>
      <c r="O61" s="5"/>
      <c r="P61" s="16" t="n">
        <f aca="false">IFERROR(IF(ISNUMBER(INDEX(Parameters!$B$5:$B$23,MATCH(D61,Parameters!$A$5:$A$23,0))),INDEX(Parameters!$B$5:$B$23,MATCH(D61,Parameters!$A$5:$A$23,0)),""),"")</f>
        <v>1</v>
      </c>
      <c r="Q61" s="16" t="n">
        <f aca="false">IFERROR(IF(ISNUMBER(INDEX(Parameters!$B$5:$B$23,MATCH(E61,Parameters!$A$5:$A$23,0))),INDEX(Parameters!$B$5:$B$23,MATCH(E61,Parameters!$A$5:$A$23,0)),""),"")</f>
        <v>1</v>
      </c>
      <c r="R61" s="16" t="n">
        <f aca="false">IF(F61="","",IFERROR(MIN(Parameters!$B$33,MAX(0,Parameters!$B$32-VALUE(LEFT(F61,4))))/Parameters!$B$33,""))</f>
        <v>0.6</v>
      </c>
      <c r="S61" s="16" t="str">
        <f aca="false">IF(ISNUMBER(H61),H61,IF(G61="",IF(ISNUMBER(Parameters!$B$34),Parameters!$B$34,""),""))</f>
        <v/>
      </c>
      <c r="T61" s="16" t="n">
        <f aca="false">IFERROR(IF(ISNUMBER(INDEX(Parameters!$B$5:$B$23,MATCH(I61,Parameters!$A$5:$A$23,0))),INDEX(Parameters!$B$5:$B$23,MATCH(I61,Parameters!$A$5:$A$23,0)),""),"")</f>
        <v>0</v>
      </c>
      <c r="U61" s="16" t="n">
        <f aca="false">IFERROR(IF(ISNUMBER(INDEX(Parameters!$B$5:$B$23,MATCH(L61,Parameters!$A$5:$A$23,0))),INDEX(Parameters!$B$5:$B$23,MATCH(L61,Parameters!$A$5:$A$23,0)),""),"")</f>
        <v>1</v>
      </c>
      <c r="V61" s="16" t="n">
        <f aca="false">IFERROR(IF(ISNUMBER(INDEX(Parameters!$B$5:$B$23,MATCH(J61,Parameters!$A$5:$A$23,0))),INDEX(Parameters!$B$5:$B$23,MATCH(J61,Parameters!$A$5:$A$23,0)),""),"")</f>
        <v>1</v>
      </c>
      <c r="W61" s="16" t="str">
        <f aca="false">IF(K61&lt;&gt;"",1,IF(COUNTIF(Parameters!$A$27:$A$28,J61)&gt;0,0,""))</f>
        <v/>
      </c>
      <c r="X61" s="17" t="n">
        <f aca="false">IF(J61="Not applicable",0,1)</f>
        <v>1</v>
      </c>
      <c r="Y61" s="17" t="n">
        <f aca="false">IF(OR(K61&lt;&gt;"",COUNTIF(Parameters!$A$27:$A$28,J61)&gt;0),1,0)</f>
        <v>0</v>
      </c>
      <c r="Z61"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61+(Parameters!$F$12=Parameters!$E$15)*Parameters!$I$12*Y61)=0,"",IF(AND(((Parameters!$F$5=Parameters!$E$15)*Parameters!$I$5*ISNUMBER(P61)+(Parameters!$F$6=Parameters!$E$15)*Parameters!$I$6*ISNUMBER(Q61)+(Parameters!$F$7=Parameters!$E$15)*Parameters!$I$7*ISNUMBER(R61)+(Parameters!$F$8=Parameters!$E$15)*Parameters!$I$8*ISNUMBER(S61)+(Parameters!$F$9=Parameters!$E$15)*Parameters!$I$9*ISNUMBER(T61)+(Parameters!$F$10=Parameters!$E$15)*Parameters!$I$10*ISNUMBER(U61)+(Parameters!$F$11=Parameters!$E$15)*Parameters!$I$11*ISNUMBER(V61)+(Parameters!$F$12=Parameters!$E$15)*Parameters!$I$12*ISNUMBER(W61))&gt;0,((Parameters!$F$5=Parameters!$E$15)*Parameters!$I$5*ISNUMBER(P61)+(Parameters!$F$6=Parameters!$E$15)*Parameters!$I$6*ISNUMBER(Q61)+(Parameters!$F$7=Parameters!$E$15)*Parameters!$I$7*ISNUMBER(R61)+(Parameters!$F$8=Parameters!$E$15)*Parameters!$I$8*ISNUMBER(S61)+(Parameters!$F$9=Parameters!$E$15)*Parameters!$I$9*ISNUMBER(T61)+(Parameters!$F$10=Parameters!$E$15)*Parameters!$I$10*ISNUMBER(U61)+(Parameters!$F$11=Parameters!$E$15)*Parameters!$I$11*ISNUMBER(V61)+(Parameters!$F$12=Parameters!$E$15)*Parameters!$I$12*ISNUMBER(W61))/((Parameters!$F$5=Parameters!$E$15)*Parameters!$I$5*1+(Parameters!$F$6=Parameters!$E$15)*Parameters!$I$6*1+(Parameters!$F$7=Parameters!$E$15)*Parameters!$I$7*1+(Parameters!$F$8=Parameters!$E$15)*Parameters!$I$8*1+(Parameters!$F$9=Parameters!$E$15)*Parameters!$I$9*1+(Parameters!$F$10=Parameters!$E$15)*Parameters!$I$10*1+(Parameters!$F$11=Parameters!$E$15)*Parameters!$I$11*X61+(Parameters!$F$12=Parameters!$E$15)*Parameters!$I$12*Y61)&gt;=Parameters!$B$36),((Parameters!$F$5=Parameters!$E$15)*Parameters!$I$5*N(P61)+(Parameters!$F$6=Parameters!$E$15)*Parameters!$I$6*N(Q61)+(Parameters!$F$7=Parameters!$E$15)*Parameters!$I$7*N(R61)+(Parameters!$F$8=Parameters!$E$15)*Parameters!$I$8*N(S61)+(Parameters!$F$9=Parameters!$E$15)*Parameters!$I$9*N(T61)+(Parameters!$F$10=Parameters!$E$15)*Parameters!$I$10*N(U61)+(Parameters!$F$11=Parameters!$E$15)*Parameters!$I$11*N(V61)+(Parameters!$F$12=Parameters!$E$15)*Parameters!$I$12*N(W61))/((Parameters!$F$5=Parameters!$E$15)*Parameters!$I$5*ISNUMBER(P61)+(Parameters!$F$6=Parameters!$E$15)*Parameters!$I$6*ISNUMBER(Q61)+(Parameters!$F$7=Parameters!$E$15)*Parameters!$I$7*ISNUMBER(R61)+(Parameters!$F$8=Parameters!$E$15)*Parameters!$I$8*ISNUMBER(S61)+(Parameters!$F$9=Parameters!$E$15)*Parameters!$I$9*ISNUMBER(T61)+(Parameters!$F$10=Parameters!$E$15)*Parameters!$I$10*ISNUMBER(U61)+(Parameters!$F$11=Parameters!$E$15)*Parameters!$I$11*ISNUMBER(V61)+(Parameters!$F$12=Parameters!$E$15)*Parameters!$I$12*ISNUMBER(W61)),""))</f>
        <v>0.96</v>
      </c>
      <c r="AA61"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61+(Parameters!$F$12=Parameters!$E$16)*Parameters!$I$12*Y61)=0,"",IF(AND(((Parameters!$F$5=Parameters!$E$16)*Parameters!$I$5*ISNUMBER(P61)+(Parameters!$F$6=Parameters!$E$16)*Parameters!$I$6*ISNUMBER(Q61)+(Parameters!$F$7=Parameters!$E$16)*Parameters!$I$7*ISNUMBER(R61)+(Parameters!$F$8=Parameters!$E$16)*Parameters!$I$8*ISNUMBER(S61)+(Parameters!$F$9=Parameters!$E$16)*Parameters!$I$9*ISNUMBER(T61)+(Parameters!$F$10=Parameters!$E$16)*Parameters!$I$10*ISNUMBER(U61)+(Parameters!$F$11=Parameters!$E$16)*Parameters!$I$11*ISNUMBER(V61)+(Parameters!$F$12=Parameters!$E$16)*Parameters!$I$12*ISNUMBER(W61))&gt;0,((Parameters!$F$5=Parameters!$E$16)*Parameters!$I$5*ISNUMBER(P61)+(Parameters!$F$6=Parameters!$E$16)*Parameters!$I$6*ISNUMBER(Q61)+(Parameters!$F$7=Parameters!$E$16)*Parameters!$I$7*ISNUMBER(R61)+(Parameters!$F$8=Parameters!$E$16)*Parameters!$I$8*ISNUMBER(S61)+(Parameters!$F$9=Parameters!$E$16)*Parameters!$I$9*ISNUMBER(T61)+(Parameters!$F$10=Parameters!$E$16)*Parameters!$I$10*ISNUMBER(U61)+(Parameters!$F$11=Parameters!$E$16)*Parameters!$I$11*ISNUMBER(V61)+(Parameters!$F$12=Parameters!$E$16)*Parameters!$I$12*ISNUMBER(W61))/((Parameters!$F$5=Parameters!$E$16)*Parameters!$I$5*1+(Parameters!$F$6=Parameters!$E$16)*Parameters!$I$6*1+(Parameters!$F$7=Parameters!$E$16)*Parameters!$I$7*1+(Parameters!$F$8=Parameters!$E$16)*Parameters!$I$8*1+(Parameters!$F$9=Parameters!$E$16)*Parameters!$I$9*1+(Parameters!$F$10=Parameters!$E$16)*Parameters!$I$10*1+(Parameters!$F$11=Parameters!$E$16)*Parameters!$I$11*X61+(Parameters!$F$12=Parameters!$E$16)*Parameters!$I$12*Y61)&gt;=Parameters!$B$36),((Parameters!$F$5=Parameters!$E$16)*Parameters!$I$5*N(P61)+(Parameters!$F$6=Parameters!$E$16)*Parameters!$I$6*N(Q61)+(Parameters!$F$7=Parameters!$E$16)*Parameters!$I$7*N(R61)+(Parameters!$F$8=Parameters!$E$16)*Parameters!$I$8*N(S61)+(Parameters!$F$9=Parameters!$E$16)*Parameters!$I$9*N(T61)+(Parameters!$F$10=Parameters!$E$16)*Parameters!$I$10*N(U61)+(Parameters!$F$11=Parameters!$E$16)*Parameters!$I$11*N(V61)+(Parameters!$F$12=Parameters!$E$16)*Parameters!$I$12*N(W61))/((Parameters!$F$5=Parameters!$E$16)*Parameters!$I$5*ISNUMBER(P61)+(Parameters!$F$6=Parameters!$E$16)*Parameters!$I$6*ISNUMBER(Q61)+(Parameters!$F$7=Parameters!$E$16)*Parameters!$I$7*ISNUMBER(R61)+(Parameters!$F$8=Parameters!$E$16)*Parameters!$I$8*ISNUMBER(S61)+(Parameters!$F$9=Parameters!$E$16)*Parameters!$I$9*ISNUMBER(T61)+(Parameters!$F$10=Parameters!$E$16)*Parameters!$I$10*ISNUMBER(U61)+(Parameters!$F$11=Parameters!$E$16)*Parameters!$I$11*ISNUMBER(V61)+(Parameters!$F$12=Parameters!$E$16)*Parameters!$I$12*ISNUMBER(W61)),""))</f>
        <v>0.666666666666667</v>
      </c>
      <c r="AB61"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61+(Parameters!$F$12=Parameters!$E$17)*Parameters!$I$12*Y61)=0,"",IF(AND(((Parameters!$F$5=Parameters!$E$17)*Parameters!$I$5*ISNUMBER(P61)+(Parameters!$F$6=Parameters!$E$17)*Parameters!$I$6*ISNUMBER(Q61)+(Parameters!$F$7=Parameters!$E$17)*Parameters!$I$7*ISNUMBER(R61)+(Parameters!$F$8=Parameters!$E$17)*Parameters!$I$8*ISNUMBER(S61)+(Parameters!$F$9=Parameters!$E$17)*Parameters!$I$9*ISNUMBER(T61)+(Parameters!$F$10=Parameters!$E$17)*Parameters!$I$10*ISNUMBER(U61)+(Parameters!$F$11=Parameters!$E$17)*Parameters!$I$11*ISNUMBER(V61)+(Parameters!$F$12=Parameters!$E$17)*Parameters!$I$12*ISNUMBER(W61))&gt;0,((Parameters!$F$5=Parameters!$E$17)*Parameters!$I$5*ISNUMBER(P61)+(Parameters!$F$6=Parameters!$E$17)*Parameters!$I$6*ISNUMBER(Q61)+(Parameters!$F$7=Parameters!$E$17)*Parameters!$I$7*ISNUMBER(R61)+(Parameters!$F$8=Parameters!$E$17)*Parameters!$I$8*ISNUMBER(S61)+(Parameters!$F$9=Parameters!$E$17)*Parameters!$I$9*ISNUMBER(T61)+(Parameters!$F$10=Parameters!$E$17)*Parameters!$I$10*ISNUMBER(U61)+(Parameters!$F$11=Parameters!$E$17)*Parameters!$I$11*ISNUMBER(V61)+(Parameters!$F$12=Parameters!$E$17)*Parameters!$I$12*ISNUMBER(W61))/((Parameters!$F$5=Parameters!$E$17)*Parameters!$I$5*1+(Parameters!$F$6=Parameters!$E$17)*Parameters!$I$6*1+(Parameters!$F$7=Parameters!$E$17)*Parameters!$I$7*1+(Parameters!$F$8=Parameters!$E$17)*Parameters!$I$8*1+(Parameters!$F$9=Parameters!$E$17)*Parameters!$I$9*1+(Parameters!$F$10=Parameters!$E$17)*Parameters!$I$10*1+(Parameters!$F$11=Parameters!$E$17)*Parameters!$I$11*X61+(Parameters!$F$12=Parameters!$E$17)*Parameters!$I$12*Y61)&gt;=Parameters!$B$36),((Parameters!$F$5=Parameters!$E$17)*Parameters!$I$5*N(P61)+(Parameters!$F$6=Parameters!$E$17)*Parameters!$I$6*N(Q61)+(Parameters!$F$7=Parameters!$E$17)*Parameters!$I$7*N(R61)+(Parameters!$F$8=Parameters!$E$17)*Parameters!$I$8*N(S61)+(Parameters!$F$9=Parameters!$E$17)*Parameters!$I$9*N(T61)+(Parameters!$F$10=Parameters!$E$17)*Parameters!$I$10*N(U61)+(Parameters!$F$11=Parameters!$E$17)*Parameters!$I$11*N(V61)+(Parameters!$F$12=Parameters!$E$17)*Parameters!$I$12*N(W61))/((Parameters!$F$5=Parameters!$E$17)*Parameters!$I$5*ISNUMBER(P61)+(Parameters!$F$6=Parameters!$E$17)*Parameters!$I$6*ISNUMBER(Q61)+(Parameters!$F$7=Parameters!$E$17)*Parameters!$I$7*ISNUMBER(R61)+(Parameters!$F$8=Parameters!$E$17)*Parameters!$I$8*ISNUMBER(S61)+(Parameters!$F$9=Parameters!$E$17)*Parameters!$I$9*ISNUMBER(T61)+(Parameters!$F$10=Parameters!$E$17)*Parameters!$I$10*ISNUMBER(U61)+(Parameters!$F$11=Parameters!$E$17)*Parameters!$I$11*ISNUMBER(V61)+(Parameters!$F$12=Parameters!$E$17)*Parameters!$I$12*ISNUMBER(W61)),""))</f>
        <v>1</v>
      </c>
      <c r="AC61" s="17" t="n">
        <f aca="false">Parameters!$I$5*ISNUMBER(P61)+Parameters!$I$6*ISNUMBER(Q61)+Parameters!$I$7*ISNUMBER(R61)+Parameters!$I$8*ISNUMBER(S61)+Parameters!$I$9*ISNUMBER(T61)+Parameters!$I$10*ISNUMBER(U61)+Parameters!$I$11*ISNUMBER(V61)+Parameters!$I$12*ISNUMBER(W61)</f>
        <v>75</v>
      </c>
      <c r="AD61" s="17" t="n">
        <f aca="false">Parameters!$I$5*1+Parameters!$I$6*1+Parameters!$I$7*1+Parameters!$I$8*1+Parameters!$I$9*1+Parameters!$I$10*1+Parameters!$I$11*X61+Parameters!$I$12*Y61</f>
        <v>85</v>
      </c>
      <c r="AE61" s="18" t="n">
        <f aca="false">IF(AD61=0,"",AC61/AD61)</f>
        <v>0.882352941176471</v>
      </c>
      <c r="AF61" s="17" t="str">
        <f aca="false">IF(ISNUMBER(Z61),"M","")&amp;IF(ISNUMBER(AA61),"I","")&amp;IF(ISNUMBER(AB61),"O","")</f>
        <v>MIO</v>
      </c>
      <c r="AG61" s="19" t="n">
        <f aca="false">IF(AND(ISNUMBER(AE61),ISNUMBER(Z61)+ISNUMBER(AA61)+ISNUMBER(AB61)&gt;=Parameters!$B$37),IF(AE61&gt;=Parameters!$B$35,100*(Parameters!$F$15*N(Z61)+Parameters!$F$16*N(AA61)+Parameters!$F$17*N(AB61))/(Parameters!$F$15*ISNUMBER(Z61)+Parameters!$F$16*ISNUMBER(AA61)+Parameters!$F$17*ISNUMBER(AB61)),""),"")</f>
        <v>88</v>
      </c>
      <c r="AH61" s="17" t="n">
        <f aca="false">IF(ISNUMBER(AG61),RANK(AG61,$AG$2:$AG$113),"")</f>
        <v>39</v>
      </c>
    </row>
    <row r="62" customFormat="false" ht="15" hidden="false" customHeight="false" outlineLevel="0" collapsed="false">
      <c r="A62" s="5" t="s">
        <v>346</v>
      </c>
      <c r="B62" s="5" t="s">
        <v>303</v>
      </c>
      <c r="C62" s="5" t="s">
        <v>347</v>
      </c>
      <c r="D62" s="5" t="s">
        <v>31</v>
      </c>
      <c r="E62" s="5" t="s">
        <v>44</v>
      </c>
      <c r="F62" s="5" t="s">
        <v>200</v>
      </c>
      <c r="G62" s="15" t="s">
        <v>348</v>
      </c>
      <c r="H62" s="8" t="n">
        <v>1</v>
      </c>
      <c r="I62" s="5" t="s">
        <v>57</v>
      </c>
      <c r="J62" s="5" t="s">
        <v>62</v>
      </c>
      <c r="K62" s="15"/>
      <c r="L62" s="5" t="s">
        <v>76</v>
      </c>
      <c r="M62" s="5" t="s">
        <v>136</v>
      </c>
      <c r="N62" s="5" t="s">
        <v>142</v>
      </c>
      <c r="O62" s="5" t="s">
        <v>197</v>
      </c>
      <c r="P62" s="16" t="n">
        <f aca="false">IFERROR(IF(ISNUMBER(INDEX(Parameters!$B$5:$B$23,MATCH(D62,Parameters!$A$5:$A$23,0))),INDEX(Parameters!$B$5:$B$23,MATCH(D62,Parameters!$A$5:$A$23,0)),""),"")</f>
        <v>1</v>
      </c>
      <c r="Q62" s="16" t="n">
        <f aca="false">IFERROR(IF(ISNUMBER(INDEX(Parameters!$B$5:$B$23,MATCH(E62,Parameters!$A$5:$A$23,0))),INDEX(Parameters!$B$5:$B$23,MATCH(E62,Parameters!$A$5:$A$23,0)),""),"")</f>
        <v>1</v>
      </c>
      <c r="R62" s="16" t="n">
        <f aca="false">IF(F62="","",IFERROR(MIN(Parameters!$B$33,MAX(0,Parameters!$B$32-VALUE(LEFT(F62,4))))/Parameters!$B$33,""))</f>
        <v>1</v>
      </c>
      <c r="S62" s="16" t="n">
        <f aca="false">IF(ISNUMBER(H62),H62,IF(G62="",IF(ISNUMBER(Parameters!$B$34),Parameters!$B$34,""),""))</f>
        <v>1</v>
      </c>
      <c r="T62" s="16" t="n">
        <f aca="false">IFERROR(IF(ISNUMBER(INDEX(Parameters!$B$5:$B$23,MATCH(I62,Parameters!$A$5:$A$23,0))),INDEX(Parameters!$B$5:$B$23,MATCH(I62,Parameters!$A$5:$A$23,0)),""),"")</f>
        <v>0</v>
      </c>
      <c r="U62" s="16" t="n">
        <f aca="false">IFERROR(IF(ISNUMBER(INDEX(Parameters!$B$5:$B$23,MATCH(L62,Parameters!$A$5:$A$23,0))),INDEX(Parameters!$B$5:$B$23,MATCH(L62,Parameters!$A$5:$A$23,0)),""),"")</f>
        <v>1</v>
      </c>
      <c r="V62" s="16" t="n">
        <f aca="false">IFERROR(IF(ISNUMBER(INDEX(Parameters!$B$5:$B$23,MATCH(J62,Parameters!$A$5:$A$23,0))),INDEX(Parameters!$B$5:$B$23,MATCH(J62,Parameters!$A$5:$A$23,0)),""),"")</f>
        <v>0</v>
      </c>
      <c r="W62" s="16" t="str">
        <f aca="false">IF(K62&lt;&gt;"",1,IF(COUNTIF(Parameters!$A$27:$A$28,J62)&gt;0,0,""))</f>
        <v/>
      </c>
      <c r="X62" s="17" t="n">
        <f aca="false">IF(J62="Not applicable",0,1)</f>
        <v>1</v>
      </c>
      <c r="Y62" s="17" t="n">
        <f aca="false">IF(OR(K62&lt;&gt;"",COUNTIF(Parameters!$A$27:$A$28,J62)&gt;0),1,0)</f>
        <v>0</v>
      </c>
      <c r="Z62"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62+(Parameters!$F$12=Parameters!$E$15)*Parameters!$I$12*Y62)=0,"",IF(AND(((Parameters!$F$5=Parameters!$E$15)*Parameters!$I$5*ISNUMBER(P62)+(Parameters!$F$6=Parameters!$E$15)*Parameters!$I$6*ISNUMBER(Q62)+(Parameters!$F$7=Parameters!$E$15)*Parameters!$I$7*ISNUMBER(R62)+(Parameters!$F$8=Parameters!$E$15)*Parameters!$I$8*ISNUMBER(S62)+(Parameters!$F$9=Parameters!$E$15)*Parameters!$I$9*ISNUMBER(T62)+(Parameters!$F$10=Parameters!$E$15)*Parameters!$I$10*ISNUMBER(U62)+(Parameters!$F$11=Parameters!$E$15)*Parameters!$I$11*ISNUMBER(V62)+(Parameters!$F$12=Parameters!$E$15)*Parameters!$I$12*ISNUMBER(W62))&gt;0,((Parameters!$F$5=Parameters!$E$15)*Parameters!$I$5*ISNUMBER(P62)+(Parameters!$F$6=Parameters!$E$15)*Parameters!$I$6*ISNUMBER(Q62)+(Parameters!$F$7=Parameters!$E$15)*Parameters!$I$7*ISNUMBER(R62)+(Parameters!$F$8=Parameters!$E$15)*Parameters!$I$8*ISNUMBER(S62)+(Parameters!$F$9=Parameters!$E$15)*Parameters!$I$9*ISNUMBER(T62)+(Parameters!$F$10=Parameters!$E$15)*Parameters!$I$10*ISNUMBER(U62)+(Parameters!$F$11=Parameters!$E$15)*Parameters!$I$11*ISNUMBER(V62)+(Parameters!$F$12=Parameters!$E$15)*Parameters!$I$12*ISNUMBER(W62))/((Parameters!$F$5=Parameters!$E$15)*Parameters!$I$5*1+(Parameters!$F$6=Parameters!$E$15)*Parameters!$I$6*1+(Parameters!$F$7=Parameters!$E$15)*Parameters!$I$7*1+(Parameters!$F$8=Parameters!$E$15)*Parameters!$I$8*1+(Parameters!$F$9=Parameters!$E$15)*Parameters!$I$9*1+(Parameters!$F$10=Parameters!$E$15)*Parameters!$I$10*1+(Parameters!$F$11=Parameters!$E$15)*Parameters!$I$11*X62+(Parameters!$F$12=Parameters!$E$15)*Parameters!$I$12*Y62)&gt;=Parameters!$B$36),((Parameters!$F$5=Parameters!$E$15)*Parameters!$I$5*N(P62)+(Parameters!$F$6=Parameters!$E$15)*Parameters!$I$6*N(Q62)+(Parameters!$F$7=Parameters!$E$15)*Parameters!$I$7*N(R62)+(Parameters!$F$8=Parameters!$E$15)*Parameters!$I$8*N(S62)+(Parameters!$F$9=Parameters!$E$15)*Parameters!$I$9*N(T62)+(Parameters!$F$10=Parameters!$E$15)*Parameters!$I$10*N(U62)+(Parameters!$F$11=Parameters!$E$15)*Parameters!$I$11*N(V62)+(Parameters!$F$12=Parameters!$E$15)*Parameters!$I$12*N(W62))/((Parameters!$F$5=Parameters!$E$15)*Parameters!$I$5*ISNUMBER(P62)+(Parameters!$F$6=Parameters!$E$15)*Parameters!$I$6*ISNUMBER(Q62)+(Parameters!$F$7=Parameters!$E$15)*Parameters!$I$7*ISNUMBER(R62)+(Parameters!$F$8=Parameters!$E$15)*Parameters!$I$8*ISNUMBER(S62)+(Parameters!$F$9=Parameters!$E$15)*Parameters!$I$9*ISNUMBER(T62)+(Parameters!$F$10=Parameters!$E$15)*Parameters!$I$10*ISNUMBER(U62)+(Parameters!$F$11=Parameters!$E$15)*Parameters!$I$11*ISNUMBER(V62)+(Parameters!$F$12=Parameters!$E$15)*Parameters!$I$12*ISNUMBER(W62)),""))</f>
        <v>1</v>
      </c>
      <c r="AA62"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62+(Parameters!$F$12=Parameters!$E$16)*Parameters!$I$12*Y62)=0,"",IF(AND(((Parameters!$F$5=Parameters!$E$16)*Parameters!$I$5*ISNUMBER(P62)+(Parameters!$F$6=Parameters!$E$16)*Parameters!$I$6*ISNUMBER(Q62)+(Parameters!$F$7=Parameters!$E$16)*Parameters!$I$7*ISNUMBER(R62)+(Parameters!$F$8=Parameters!$E$16)*Parameters!$I$8*ISNUMBER(S62)+(Parameters!$F$9=Parameters!$E$16)*Parameters!$I$9*ISNUMBER(T62)+(Parameters!$F$10=Parameters!$E$16)*Parameters!$I$10*ISNUMBER(U62)+(Parameters!$F$11=Parameters!$E$16)*Parameters!$I$11*ISNUMBER(V62)+(Parameters!$F$12=Parameters!$E$16)*Parameters!$I$12*ISNUMBER(W62))&gt;0,((Parameters!$F$5=Parameters!$E$16)*Parameters!$I$5*ISNUMBER(P62)+(Parameters!$F$6=Parameters!$E$16)*Parameters!$I$6*ISNUMBER(Q62)+(Parameters!$F$7=Parameters!$E$16)*Parameters!$I$7*ISNUMBER(R62)+(Parameters!$F$8=Parameters!$E$16)*Parameters!$I$8*ISNUMBER(S62)+(Parameters!$F$9=Parameters!$E$16)*Parameters!$I$9*ISNUMBER(T62)+(Parameters!$F$10=Parameters!$E$16)*Parameters!$I$10*ISNUMBER(U62)+(Parameters!$F$11=Parameters!$E$16)*Parameters!$I$11*ISNUMBER(V62)+(Parameters!$F$12=Parameters!$E$16)*Parameters!$I$12*ISNUMBER(W62))/((Parameters!$F$5=Parameters!$E$16)*Parameters!$I$5*1+(Parameters!$F$6=Parameters!$E$16)*Parameters!$I$6*1+(Parameters!$F$7=Parameters!$E$16)*Parameters!$I$7*1+(Parameters!$F$8=Parameters!$E$16)*Parameters!$I$8*1+(Parameters!$F$9=Parameters!$E$16)*Parameters!$I$9*1+(Parameters!$F$10=Parameters!$E$16)*Parameters!$I$10*1+(Parameters!$F$11=Parameters!$E$16)*Parameters!$I$11*X62+(Parameters!$F$12=Parameters!$E$16)*Parameters!$I$12*Y62)&gt;=Parameters!$B$36),((Parameters!$F$5=Parameters!$E$16)*Parameters!$I$5*N(P62)+(Parameters!$F$6=Parameters!$E$16)*Parameters!$I$6*N(Q62)+(Parameters!$F$7=Parameters!$E$16)*Parameters!$I$7*N(R62)+(Parameters!$F$8=Parameters!$E$16)*Parameters!$I$8*N(S62)+(Parameters!$F$9=Parameters!$E$16)*Parameters!$I$9*N(T62)+(Parameters!$F$10=Parameters!$E$16)*Parameters!$I$10*N(U62)+(Parameters!$F$11=Parameters!$E$16)*Parameters!$I$11*N(V62)+(Parameters!$F$12=Parameters!$E$16)*Parameters!$I$12*N(W62))/((Parameters!$F$5=Parameters!$E$16)*Parameters!$I$5*ISNUMBER(P62)+(Parameters!$F$6=Parameters!$E$16)*Parameters!$I$6*ISNUMBER(Q62)+(Parameters!$F$7=Parameters!$E$16)*Parameters!$I$7*ISNUMBER(R62)+(Parameters!$F$8=Parameters!$E$16)*Parameters!$I$8*ISNUMBER(S62)+(Parameters!$F$9=Parameters!$E$16)*Parameters!$I$9*ISNUMBER(T62)+(Parameters!$F$10=Parameters!$E$16)*Parameters!$I$10*ISNUMBER(U62)+(Parameters!$F$11=Parameters!$E$16)*Parameters!$I$11*ISNUMBER(V62)+(Parameters!$F$12=Parameters!$E$16)*Parameters!$I$12*ISNUMBER(W62)),""))</f>
        <v>0.8</v>
      </c>
      <c r="AB62"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62+(Parameters!$F$12=Parameters!$E$17)*Parameters!$I$12*Y62)=0,"",IF(AND(((Parameters!$F$5=Parameters!$E$17)*Parameters!$I$5*ISNUMBER(P62)+(Parameters!$F$6=Parameters!$E$17)*Parameters!$I$6*ISNUMBER(Q62)+(Parameters!$F$7=Parameters!$E$17)*Parameters!$I$7*ISNUMBER(R62)+(Parameters!$F$8=Parameters!$E$17)*Parameters!$I$8*ISNUMBER(S62)+(Parameters!$F$9=Parameters!$E$17)*Parameters!$I$9*ISNUMBER(T62)+(Parameters!$F$10=Parameters!$E$17)*Parameters!$I$10*ISNUMBER(U62)+(Parameters!$F$11=Parameters!$E$17)*Parameters!$I$11*ISNUMBER(V62)+(Parameters!$F$12=Parameters!$E$17)*Parameters!$I$12*ISNUMBER(W62))&gt;0,((Parameters!$F$5=Parameters!$E$17)*Parameters!$I$5*ISNUMBER(P62)+(Parameters!$F$6=Parameters!$E$17)*Parameters!$I$6*ISNUMBER(Q62)+(Parameters!$F$7=Parameters!$E$17)*Parameters!$I$7*ISNUMBER(R62)+(Parameters!$F$8=Parameters!$E$17)*Parameters!$I$8*ISNUMBER(S62)+(Parameters!$F$9=Parameters!$E$17)*Parameters!$I$9*ISNUMBER(T62)+(Parameters!$F$10=Parameters!$E$17)*Parameters!$I$10*ISNUMBER(U62)+(Parameters!$F$11=Parameters!$E$17)*Parameters!$I$11*ISNUMBER(V62)+(Parameters!$F$12=Parameters!$E$17)*Parameters!$I$12*ISNUMBER(W62))/((Parameters!$F$5=Parameters!$E$17)*Parameters!$I$5*1+(Parameters!$F$6=Parameters!$E$17)*Parameters!$I$6*1+(Parameters!$F$7=Parameters!$E$17)*Parameters!$I$7*1+(Parameters!$F$8=Parameters!$E$17)*Parameters!$I$8*1+(Parameters!$F$9=Parameters!$E$17)*Parameters!$I$9*1+(Parameters!$F$10=Parameters!$E$17)*Parameters!$I$10*1+(Parameters!$F$11=Parameters!$E$17)*Parameters!$I$11*X62+(Parameters!$F$12=Parameters!$E$17)*Parameters!$I$12*Y62)&gt;=Parameters!$B$36),((Parameters!$F$5=Parameters!$E$17)*Parameters!$I$5*N(P62)+(Parameters!$F$6=Parameters!$E$17)*Parameters!$I$6*N(Q62)+(Parameters!$F$7=Parameters!$E$17)*Parameters!$I$7*N(R62)+(Parameters!$F$8=Parameters!$E$17)*Parameters!$I$8*N(S62)+(Parameters!$F$9=Parameters!$E$17)*Parameters!$I$9*N(T62)+(Parameters!$F$10=Parameters!$E$17)*Parameters!$I$10*N(U62)+(Parameters!$F$11=Parameters!$E$17)*Parameters!$I$11*N(V62)+(Parameters!$F$12=Parameters!$E$17)*Parameters!$I$12*N(W62))/((Parameters!$F$5=Parameters!$E$17)*Parameters!$I$5*ISNUMBER(P62)+(Parameters!$F$6=Parameters!$E$17)*Parameters!$I$6*ISNUMBER(Q62)+(Parameters!$F$7=Parameters!$E$17)*Parameters!$I$7*ISNUMBER(R62)+(Parameters!$F$8=Parameters!$E$17)*Parameters!$I$8*ISNUMBER(S62)+(Parameters!$F$9=Parameters!$E$17)*Parameters!$I$9*ISNUMBER(T62)+(Parameters!$F$10=Parameters!$E$17)*Parameters!$I$10*ISNUMBER(U62)+(Parameters!$F$11=Parameters!$E$17)*Parameters!$I$11*ISNUMBER(V62)+(Parameters!$F$12=Parameters!$E$17)*Parameters!$I$12*ISNUMBER(W62)),""))</f>
        <v>0</v>
      </c>
      <c r="AC62" s="17" t="n">
        <f aca="false">Parameters!$I$5*ISNUMBER(P62)+Parameters!$I$6*ISNUMBER(Q62)+Parameters!$I$7*ISNUMBER(R62)+Parameters!$I$8*ISNUMBER(S62)+Parameters!$I$9*ISNUMBER(T62)+Parameters!$I$10*ISNUMBER(U62)+Parameters!$I$11*ISNUMBER(V62)+Parameters!$I$12*ISNUMBER(W62)</f>
        <v>85</v>
      </c>
      <c r="AD62" s="17" t="n">
        <f aca="false">Parameters!$I$5*1+Parameters!$I$6*1+Parameters!$I$7*1+Parameters!$I$8*1+Parameters!$I$9*1+Parameters!$I$10*1+Parameters!$I$11*X62+Parameters!$I$12*Y62</f>
        <v>85</v>
      </c>
      <c r="AE62" s="18" t="n">
        <f aca="false">IF(AD62=0,"",AC62/AD62)</f>
        <v>1</v>
      </c>
      <c r="AF62" s="17" t="str">
        <f aca="false">IF(ISNUMBER(Z62),"M","")&amp;IF(ISNUMBER(AA62),"I","")&amp;IF(ISNUMBER(AB62),"O","")</f>
        <v>MIO</v>
      </c>
      <c r="AG62" s="19" t="n">
        <f aca="false">IF(AND(ISNUMBER(AE62),ISNUMBER(Z62)+ISNUMBER(AA62)+ISNUMBER(AB62)&gt;=Parameters!$B$37),IF(AE62&gt;=Parameters!$B$35,100*(Parameters!$F$15*N(Z62)+Parameters!$F$16*N(AA62)+Parameters!$F$17*N(AB62))/(Parameters!$F$15*ISNUMBER(Z62)+Parameters!$F$16*ISNUMBER(AA62)+Parameters!$F$17*ISNUMBER(AB62)),""),"")</f>
        <v>74</v>
      </c>
      <c r="AH62" s="17" t="n">
        <f aca="false">IF(ISNUMBER(AG62),RANK(AG62,$AG$2:$AG$113),"")</f>
        <v>92</v>
      </c>
    </row>
    <row r="63" customFormat="false" ht="15" hidden="false" customHeight="false" outlineLevel="0" collapsed="false">
      <c r="A63" s="5" t="s">
        <v>349</v>
      </c>
      <c r="B63" s="5" t="s">
        <v>349</v>
      </c>
      <c r="C63" s="5" t="s">
        <v>226</v>
      </c>
      <c r="D63" s="5" t="s">
        <v>31</v>
      </c>
      <c r="E63" s="5" t="s">
        <v>44</v>
      </c>
      <c r="F63" s="5" t="s">
        <v>195</v>
      </c>
      <c r="G63" s="15"/>
      <c r="H63" s="8"/>
      <c r="I63" s="5" t="s">
        <v>57</v>
      </c>
      <c r="J63" s="5" t="s">
        <v>74</v>
      </c>
      <c r="K63" s="15"/>
      <c r="L63" s="5" t="s">
        <v>76</v>
      </c>
      <c r="M63" s="5" t="s">
        <v>157</v>
      </c>
      <c r="N63" s="5"/>
      <c r="O63" s="5"/>
      <c r="P63" s="16" t="n">
        <f aca="false">IFERROR(IF(ISNUMBER(INDEX(Parameters!$B$5:$B$23,MATCH(D63,Parameters!$A$5:$A$23,0))),INDEX(Parameters!$B$5:$B$23,MATCH(D63,Parameters!$A$5:$A$23,0)),""),"")</f>
        <v>1</v>
      </c>
      <c r="Q63" s="16" t="n">
        <f aca="false">IFERROR(IF(ISNUMBER(INDEX(Parameters!$B$5:$B$23,MATCH(E63,Parameters!$A$5:$A$23,0))),INDEX(Parameters!$B$5:$B$23,MATCH(E63,Parameters!$A$5:$A$23,0)),""),"")</f>
        <v>1</v>
      </c>
      <c r="R63" s="16" t="n">
        <f aca="false">IF(F63="","",IFERROR(MIN(Parameters!$B$33,MAX(0,Parameters!$B$32-VALUE(LEFT(F63,4))))/Parameters!$B$33,""))</f>
        <v>0.933333333333333</v>
      </c>
      <c r="S63" s="16" t="str">
        <f aca="false">IF(ISNUMBER(H63),H63,IF(G63="",IF(ISNUMBER(Parameters!$B$34),Parameters!$B$34,""),""))</f>
        <v/>
      </c>
      <c r="T63" s="16" t="n">
        <f aca="false">IFERROR(IF(ISNUMBER(INDEX(Parameters!$B$5:$B$23,MATCH(I63,Parameters!$A$5:$A$23,0))),INDEX(Parameters!$B$5:$B$23,MATCH(I63,Parameters!$A$5:$A$23,0)),""),"")</f>
        <v>0</v>
      </c>
      <c r="U63" s="16" t="n">
        <f aca="false">IFERROR(IF(ISNUMBER(INDEX(Parameters!$B$5:$B$23,MATCH(L63,Parameters!$A$5:$A$23,0))),INDEX(Parameters!$B$5:$B$23,MATCH(L63,Parameters!$A$5:$A$23,0)),""),"")</f>
        <v>1</v>
      </c>
      <c r="V63" s="16" t="str">
        <f aca="false">IFERROR(IF(ISNUMBER(INDEX(Parameters!$B$5:$B$23,MATCH(J63,Parameters!$A$5:$A$23,0))),INDEX(Parameters!$B$5:$B$23,MATCH(J63,Parameters!$A$5:$A$23,0)),""),"")</f>
        <v/>
      </c>
      <c r="W63" s="16" t="str">
        <f aca="false">IF(K63&lt;&gt;"",1,IF(COUNTIF(Parameters!$A$27:$A$28,J63)&gt;0,0,""))</f>
        <v/>
      </c>
      <c r="X63" s="17" t="n">
        <f aca="false">IF(J63="Not applicable",0,1)</f>
        <v>0</v>
      </c>
      <c r="Y63" s="17" t="n">
        <f aca="false">IF(OR(K63&lt;&gt;"",COUNTIF(Parameters!$A$27:$A$28,J63)&gt;0),1,0)</f>
        <v>0</v>
      </c>
      <c r="Z63"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63+(Parameters!$F$12=Parameters!$E$15)*Parameters!$I$12*Y63)=0,"",IF(AND(((Parameters!$F$5=Parameters!$E$15)*Parameters!$I$5*ISNUMBER(P63)+(Parameters!$F$6=Parameters!$E$15)*Parameters!$I$6*ISNUMBER(Q63)+(Parameters!$F$7=Parameters!$E$15)*Parameters!$I$7*ISNUMBER(R63)+(Parameters!$F$8=Parameters!$E$15)*Parameters!$I$8*ISNUMBER(S63)+(Parameters!$F$9=Parameters!$E$15)*Parameters!$I$9*ISNUMBER(T63)+(Parameters!$F$10=Parameters!$E$15)*Parameters!$I$10*ISNUMBER(U63)+(Parameters!$F$11=Parameters!$E$15)*Parameters!$I$11*ISNUMBER(V63)+(Parameters!$F$12=Parameters!$E$15)*Parameters!$I$12*ISNUMBER(W63))&gt;0,((Parameters!$F$5=Parameters!$E$15)*Parameters!$I$5*ISNUMBER(P63)+(Parameters!$F$6=Parameters!$E$15)*Parameters!$I$6*ISNUMBER(Q63)+(Parameters!$F$7=Parameters!$E$15)*Parameters!$I$7*ISNUMBER(R63)+(Parameters!$F$8=Parameters!$E$15)*Parameters!$I$8*ISNUMBER(S63)+(Parameters!$F$9=Parameters!$E$15)*Parameters!$I$9*ISNUMBER(T63)+(Parameters!$F$10=Parameters!$E$15)*Parameters!$I$10*ISNUMBER(U63)+(Parameters!$F$11=Parameters!$E$15)*Parameters!$I$11*ISNUMBER(V63)+(Parameters!$F$12=Parameters!$E$15)*Parameters!$I$12*ISNUMBER(W63))/((Parameters!$F$5=Parameters!$E$15)*Parameters!$I$5*1+(Parameters!$F$6=Parameters!$E$15)*Parameters!$I$6*1+(Parameters!$F$7=Parameters!$E$15)*Parameters!$I$7*1+(Parameters!$F$8=Parameters!$E$15)*Parameters!$I$8*1+(Parameters!$F$9=Parameters!$E$15)*Parameters!$I$9*1+(Parameters!$F$10=Parameters!$E$15)*Parameters!$I$10*1+(Parameters!$F$11=Parameters!$E$15)*Parameters!$I$11*X63+(Parameters!$F$12=Parameters!$E$15)*Parameters!$I$12*Y63)&gt;=Parameters!$B$36),((Parameters!$F$5=Parameters!$E$15)*Parameters!$I$5*N(P63)+(Parameters!$F$6=Parameters!$E$15)*Parameters!$I$6*N(Q63)+(Parameters!$F$7=Parameters!$E$15)*Parameters!$I$7*N(R63)+(Parameters!$F$8=Parameters!$E$15)*Parameters!$I$8*N(S63)+(Parameters!$F$9=Parameters!$E$15)*Parameters!$I$9*N(T63)+(Parameters!$F$10=Parameters!$E$15)*Parameters!$I$10*N(U63)+(Parameters!$F$11=Parameters!$E$15)*Parameters!$I$11*N(V63)+(Parameters!$F$12=Parameters!$E$15)*Parameters!$I$12*N(W63))/((Parameters!$F$5=Parameters!$E$15)*Parameters!$I$5*ISNUMBER(P63)+(Parameters!$F$6=Parameters!$E$15)*Parameters!$I$6*ISNUMBER(Q63)+(Parameters!$F$7=Parameters!$E$15)*Parameters!$I$7*ISNUMBER(R63)+(Parameters!$F$8=Parameters!$E$15)*Parameters!$I$8*ISNUMBER(S63)+(Parameters!$F$9=Parameters!$E$15)*Parameters!$I$9*ISNUMBER(T63)+(Parameters!$F$10=Parameters!$E$15)*Parameters!$I$10*ISNUMBER(U63)+(Parameters!$F$11=Parameters!$E$15)*Parameters!$I$11*ISNUMBER(V63)+(Parameters!$F$12=Parameters!$E$15)*Parameters!$I$12*ISNUMBER(W63)),""))</f>
        <v>0.993333333333333</v>
      </c>
      <c r="AA63"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63+(Parameters!$F$12=Parameters!$E$16)*Parameters!$I$12*Y63)=0,"",IF(AND(((Parameters!$F$5=Parameters!$E$16)*Parameters!$I$5*ISNUMBER(P63)+(Parameters!$F$6=Parameters!$E$16)*Parameters!$I$6*ISNUMBER(Q63)+(Parameters!$F$7=Parameters!$E$16)*Parameters!$I$7*ISNUMBER(R63)+(Parameters!$F$8=Parameters!$E$16)*Parameters!$I$8*ISNUMBER(S63)+(Parameters!$F$9=Parameters!$E$16)*Parameters!$I$9*ISNUMBER(T63)+(Parameters!$F$10=Parameters!$E$16)*Parameters!$I$10*ISNUMBER(U63)+(Parameters!$F$11=Parameters!$E$16)*Parameters!$I$11*ISNUMBER(V63)+(Parameters!$F$12=Parameters!$E$16)*Parameters!$I$12*ISNUMBER(W63))&gt;0,((Parameters!$F$5=Parameters!$E$16)*Parameters!$I$5*ISNUMBER(P63)+(Parameters!$F$6=Parameters!$E$16)*Parameters!$I$6*ISNUMBER(Q63)+(Parameters!$F$7=Parameters!$E$16)*Parameters!$I$7*ISNUMBER(R63)+(Parameters!$F$8=Parameters!$E$16)*Parameters!$I$8*ISNUMBER(S63)+(Parameters!$F$9=Parameters!$E$16)*Parameters!$I$9*ISNUMBER(T63)+(Parameters!$F$10=Parameters!$E$16)*Parameters!$I$10*ISNUMBER(U63)+(Parameters!$F$11=Parameters!$E$16)*Parameters!$I$11*ISNUMBER(V63)+(Parameters!$F$12=Parameters!$E$16)*Parameters!$I$12*ISNUMBER(W63))/((Parameters!$F$5=Parameters!$E$16)*Parameters!$I$5*1+(Parameters!$F$6=Parameters!$E$16)*Parameters!$I$6*1+(Parameters!$F$7=Parameters!$E$16)*Parameters!$I$7*1+(Parameters!$F$8=Parameters!$E$16)*Parameters!$I$8*1+(Parameters!$F$9=Parameters!$E$16)*Parameters!$I$9*1+(Parameters!$F$10=Parameters!$E$16)*Parameters!$I$10*1+(Parameters!$F$11=Parameters!$E$16)*Parameters!$I$11*X63+(Parameters!$F$12=Parameters!$E$16)*Parameters!$I$12*Y63)&gt;=Parameters!$B$36),((Parameters!$F$5=Parameters!$E$16)*Parameters!$I$5*N(P63)+(Parameters!$F$6=Parameters!$E$16)*Parameters!$I$6*N(Q63)+(Parameters!$F$7=Parameters!$E$16)*Parameters!$I$7*N(R63)+(Parameters!$F$8=Parameters!$E$16)*Parameters!$I$8*N(S63)+(Parameters!$F$9=Parameters!$E$16)*Parameters!$I$9*N(T63)+(Parameters!$F$10=Parameters!$E$16)*Parameters!$I$10*N(U63)+(Parameters!$F$11=Parameters!$E$16)*Parameters!$I$11*N(V63)+(Parameters!$F$12=Parameters!$E$16)*Parameters!$I$12*N(W63))/((Parameters!$F$5=Parameters!$E$16)*Parameters!$I$5*ISNUMBER(P63)+(Parameters!$F$6=Parameters!$E$16)*Parameters!$I$6*ISNUMBER(Q63)+(Parameters!$F$7=Parameters!$E$16)*Parameters!$I$7*ISNUMBER(R63)+(Parameters!$F$8=Parameters!$E$16)*Parameters!$I$8*ISNUMBER(S63)+(Parameters!$F$9=Parameters!$E$16)*Parameters!$I$9*ISNUMBER(T63)+(Parameters!$F$10=Parameters!$E$16)*Parameters!$I$10*ISNUMBER(U63)+(Parameters!$F$11=Parameters!$E$16)*Parameters!$I$11*ISNUMBER(V63)+(Parameters!$F$12=Parameters!$E$16)*Parameters!$I$12*ISNUMBER(W63)),""))</f>
        <v>0.666666666666667</v>
      </c>
      <c r="AB63"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63+(Parameters!$F$12=Parameters!$E$17)*Parameters!$I$12*Y63)=0,"",IF(AND(((Parameters!$F$5=Parameters!$E$17)*Parameters!$I$5*ISNUMBER(P63)+(Parameters!$F$6=Parameters!$E$17)*Parameters!$I$6*ISNUMBER(Q63)+(Parameters!$F$7=Parameters!$E$17)*Parameters!$I$7*ISNUMBER(R63)+(Parameters!$F$8=Parameters!$E$17)*Parameters!$I$8*ISNUMBER(S63)+(Parameters!$F$9=Parameters!$E$17)*Parameters!$I$9*ISNUMBER(T63)+(Parameters!$F$10=Parameters!$E$17)*Parameters!$I$10*ISNUMBER(U63)+(Parameters!$F$11=Parameters!$E$17)*Parameters!$I$11*ISNUMBER(V63)+(Parameters!$F$12=Parameters!$E$17)*Parameters!$I$12*ISNUMBER(W63))&gt;0,((Parameters!$F$5=Parameters!$E$17)*Parameters!$I$5*ISNUMBER(P63)+(Parameters!$F$6=Parameters!$E$17)*Parameters!$I$6*ISNUMBER(Q63)+(Parameters!$F$7=Parameters!$E$17)*Parameters!$I$7*ISNUMBER(R63)+(Parameters!$F$8=Parameters!$E$17)*Parameters!$I$8*ISNUMBER(S63)+(Parameters!$F$9=Parameters!$E$17)*Parameters!$I$9*ISNUMBER(T63)+(Parameters!$F$10=Parameters!$E$17)*Parameters!$I$10*ISNUMBER(U63)+(Parameters!$F$11=Parameters!$E$17)*Parameters!$I$11*ISNUMBER(V63)+(Parameters!$F$12=Parameters!$E$17)*Parameters!$I$12*ISNUMBER(W63))/((Parameters!$F$5=Parameters!$E$17)*Parameters!$I$5*1+(Parameters!$F$6=Parameters!$E$17)*Parameters!$I$6*1+(Parameters!$F$7=Parameters!$E$17)*Parameters!$I$7*1+(Parameters!$F$8=Parameters!$E$17)*Parameters!$I$8*1+(Parameters!$F$9=Parameters!$E$17)*Parameters!$I$9*1+(Parameters!$F$10=Parameters!$E$17)*Parameters!$I$10*1+(Parameters!$F$11=Parameters!$E$17)*Parameters!$I$11*X63+(Parameters!$F$12=Parameters!$E$17)*Parameters!$I$12*Y63)&gt;=Parameters!$B$36),((Parameters!$F$5=Parameters!$E$17)*Parameters!$I$5*N(P63)+(Parameters!$F$6=Parameters!$E$17)*Parameters!$I$6*N(Q63)+(Parameters!$F$7=Parameters!$E$17)*Parameters!$I$7*N(R63)+(Parameters!$F$8=Parameters!$E$17)*Parameters!$I$8*N(S63)+(Parameters!$F$9=Parameters!$E$17)*Parameters!$I$9*N(T63)+(Parameters!$F$10=Parameters!$E$17)*Parameters!$I$10*N(U63)+(Parameters!$F$11=Parameters!$E$17)*Parameters!$I$11*N(V63)+(Parameters!$F$12=Parameters!$E$17)*Parameters!$I$12*N(W63))/((Parameters!$F$5=Parameters!$E$17)*Parameters!$I$5*ISNUMBER(P63)+(Parameters!$F$6=Parameters!$E$17)*Parameters!$I$6*ISNUMBER(Q63)+(Parameters!$F$7=Parameters!$E$17)*Parameters!$I$7*ISNUMBER(R63)+(Parameters!$F$8=Parameters!$E$17)*Parameters!$I$8*ISNUMBER(S63)+(Parameters!$F$9=Parameters!$E$17)*Parameters!$I$9*ISNUMBER(T63)+(Parameters!$F$10=Parameters!$E$17)*Parameters!$I$10*ISNUMBER(U63)+(Parameters!$F$11=Parameters!$E$17)*Parameters!$I$11*ISNUMBER(V63)+(Parameters!$F$12=Parameters!$E$17)*Parameters!$I$12*ISNUMBER(W63)),""))</f>
        <v/>
      </c>
      <c r="AC63" s="17" t="n">
        <f aca="false">Parameters!$I$5*ISNUMBER(P63)+Parameters!$I$6*ISNUMBER(Q63)+Parameters!$I$7*ISNUMBER(R63)+Parameters!$I$8*ISNUMBER(S63)+Parameters!$I$9*ISNUMBER(T63)+Parameters!$I$10*ISNUMBER(U63)+Parameters!$I$11*ISNUMBER(V63)+Parameters!$I$12*ISNUMBER(W63)</f>
        <v>65</v>
      </c>
      <c r="AD63" s="17" t="n">
        <f aca="false">Parameters!$I$5*1+Parameters!$I$6*1+Parameters!$I$7*1+Parameters!$I$8*1+Parameters!$I$9*1+Parameters!$I$10*1+Parameters!$I$11*X63+Parameters!$I$12*Y63</f>
        <v>75</v>
      </c>
      <c r="AE63" s="18" t="n">
        <f aca="false">IF(AD63=0,"",AC63/AD63)</f>
        <v>0.866666666666667</v>
      </c>
      <c r="AF63" s="17" t="str">
        <f aca="false">IF(ISNUMBER(Z63),"M","")&amp;IF(ISNUMBER(AA63),"I","")&amp;IF(ISNUMBER(AB63),"O","")</f>
        <v>MI</v>
      </c>
      <c r="AG63" s="19" t="n">
        <f aca="false">IF(AND(ISNUMBER(AE63),ISNUMBER(Z63)+ISNUMBER(AA63)+ISNUMBER(AB63)&gt;=Parameters!$B$37),IF(AE63&gt;=Parameters!$B$35,100*(Parameters!$F$15*N(Z63)+Parameters!$F$16*N(AA63)+Parameters!$F$17*N(AB63))/(Parameters!$F$15*ISNUMBER(Z63)+Parameters!$F$16*ISNUMBER(AA63)+Parameters!$F$17*ISNUMBER(AB63)),""),"")</f>
        <v>87.0833333333333</v>
      </c>
      <c r="AH63" s="17" t="n">
        <f aca="false">IF(ISNUMBER(AG63),RANK(AG63,$AG$2:$AG$113),"")</f>
        <v>51</v>
      </c>
    </row>
    <row r="64" customFormat="false" ht="15" hidden="false" customHeight="false" outlineLevel="0" collapsed="false">
      <c r="A64" s="5" t="s">
        <v>350</v>
      </c>
      <c r="B64" s="5" t="s">
        <v>351</v>
      </c>
      <c r="C64" s="5" t="s">
        <v>306</v>
      </c>
      <c r="D64" s="5" t="s">
        <v>31</v>
      </c>
      <c r="E64" s="5" t="s">
        <v>44</v>
      </c>
      <c r="F64" s="5" t="s">
        <v>146</v>
      </c>
      <c r="G64" s="15"/>
      <c r="H64" s="8"/>
      <c r="I64" s="5" t="s">
        <v>57</v>
      </c>
      <c r="J64" s="5" t="s">
        <v>70</v>
      </c>
      <c r="K64" s="15"/>
      <c r="L64" s="5" t="s">
        <v>76</v>
      </c>
      <c r="M64" s="5" t="s">
        <v>141</v>
      </c>
      <c r="N64" s="5"/>
      <c r="O64" s="5"/>
      <c r="P64" s="16" t="n">
        <f aca="false">IFERROR(IF(ISNUMBER(INDEX(Parameters!$B$5:$B$23,MATCH(D64,Parameters!$A$5:$A$23,0))),INDEX(Parameters!$B$5:$B$23,MATCH(D64,Parameters!$A$5:$A$23,0)),""),"")</f>
        <v>1</v>
      </c>
      <c r="Q64" s="16" t="n">
        <f aca="false">IFERROR(IF(ISNUMBER(INDEX(Parameters!$B$5:$B$23,MATCH(E64,Parameters!$A$5:$A$23,0))),INDEX(Parameters!$B$5:$B$23,MATCH(E64,Parameters!$A$5:$A$23,0)),""),"")</f>
        <v>1</v>
      </c>
      <c r="R64" s="16" t="n">
        <f aca="false">IF(F64="","",IFERROR(MIN(Parameters!$B$33,MAX(0,Parameters!$B$32-VALUE(LEFT(F64,4))))/Parameters!$B$33,""))</f>
        <v>0.533333333333333</v>
      </c>
      <c r="S64" s="16" t="str">
        <f aca="false">IF(ISNUMBER(H64),H64,IF(G64="",IF(ISNUMBER(Parameters!$B$34),Parameters!$B$34,""),""))</f>
        <v/>
      </c>
      <c r="T64" s="16" t="n">
        <f aca="false">IFERROR(IF(ISNUMBER(INDEX(Parameters!$B$5:$B$23,MATCH(I64,Parameters!$A$5:$A$23,0))),INDEX(Parameters!$B$5:$B$23,MATCH(I64,Parameters!$A$5:$A$23,0)),""),"")</f>
        <v>0</v>
      </c>
      <c r="U64" s="16" t="n">
        <f aca="false">IFERROR(IF(ISNUMBER(INDEX(Parameters!$B$5:$B$23,MATCH(L64,Parameters!$A$5:$A$23,0))),INDEX(Parameters!$B$5:$B$23,MATCH(L64,Parameters!$A$5:$A$23,0)),""),"")</f>
        <v>1</v>
      </c>
      <c r="V64" s="16" t="n">
        <f aca="false">IFERROR(IF(ISNUMBER(INDEX(Parameters!$B$5:$B$23,MATCH(J64,Parameters!$A$5:$A$23,0))),INDEX(Parameters!$B$5:$B$23,MATCH(J64,Parameters!$A$5:$A$23,0)),""),"")</f>
        <v>1</v>
      </c>
      <c r="W64" s="16" t="n">
        <f aca="false">IF(K64&lt;&gt;"",1,IF(COUNTIF(Parameters!$A$27:$A$28,J64)&gt;0,0,""))</f>
        <v>0</v>
      </c>
      <c r="X64" s="17" t="n">
        <f aca="false">IF(J64="Not applicable",0,1)</f>
        <v>1</v>
      </c>
      <c r="Y64" s="17" t="n">
        <f aca="false">IF(OR(K64&lt;&gt;"",COUNTIF(Parameters!$A$27:$A$28,J64)&gt;0),1,0)</f>
        <v>1</v>
      </c>
      <c r="Z64"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64+(Parameters!$F$12=Parameters!$E$15)*Parameters!$I$12*Y64)=0,"",IF(AND(((Parameters!$F$5=Parameters!$E$15)*Parameters!$I$5*ISNUMBER(P64)+(Parameters!$F$6=Parameters!$E$15)*Parameters!$I$6*ISNUMBER(Q64)+(Parameters!$F$7=Parameters!$E$15)*Parameters!$I$7*ISNUMBER(R64)+(Parameters!$F$8=Parameters!$E$15)*Parameters!$I$8*ISNUMBER(S64)+(Parameters!$F$9=Parameters!$E$15)*Parameters!$I$9*ISNUMBER(T64)+(Parameters!$F$10=Parameters!$E$15)*Parameters!$I$10*ISNUMBER(U64)+(Parameters!$F$11=Parameters!$E$15)*Parameters!$I$11*ISNUMBER(V64)+(Parameters!$F$12=Parameters!$E$15)*Parameters!$I$12*ISNUMBER(W64))&gt;0,((Parameters!$F$5=Parameters!$E$15)*Parameters!$I$5*ISNUMBER(P64)+(Parameters!$F$6=Parameters!$E$15)*Parameters!$I$6*ISNUMBER(Q64)+(Parameters!$F$7=Parameters!$E$15)*Parameters!$I$7*ISNUMBER(R64)+(Parameters!$F$8=Parameters!$E$15)*Parameters!$I$8*ISNUMBER(S64)+(Parameters!$F$9=Parameters!$E$15)*Parameters!$I$9*ISNUMBER(T64)+(Parameters!$F$10=Parameters!$E$15)*Parameters!$I$10*ISNUMBER(U64)+(Parameters!$F$11=Parameters!$E$15)*Parameters!$I$11*ISNUMBER(V64)+(Parameters!$F$12=Parameters!$E$15)*Parameters!$I$12*ISNUMBER(W64))/((Parameters!$F$5=Parameters!$E$15)*Parameters!$I$5*1+(Parameters!$F$6=Parameters!$E$15)*Parameters!$I$6*1+(Parameters!$F$7=Parameters!$E$15)*Parameters!$I$7*1+(Parameters!$F$8=Parameters!$E$15)*Parameters!$I$8*1+(Parameters!$F$9=Parameters!$E$15)*Parameters!$I$9*1+(Parameters!$F$10=Parameters!$E$15)*Parameters!$I$10*1+(Parameters!$F$11=Parameters!$E$15)*Parameters!$I$11*X64+(Parameters!$F$12=Parameters!$E$15)*Parameters!$I$12*Y64)&gt;=Parameters!$B$36),((Parameters!$F$5=Parameters!$E$15)*Parameters!$I$5*N(P64)+(Parameters!$F$6=Parameters!$E$15)*Parameters!$I$6*N(Q64)+(Parameters!$F$7=Parameters!$E$15)*Parameters!$I$7*N(R64)+(Parameters!$F$8=Parameters!$E$15)*Parameters!$I$8*N(S64)+(Parameters!$F$9=Parameters!$E$15)*Parameters!$I$9*N(T64)+(Parameters!$F$10=Parameters!$E$15)*Parameters!$I$10*N(U64)+(Parameters!$F$11=Parameters!$E$15)*Parameters!$I$11*N(V64)+(Parameters!$F$12=Parameters!$E$15)*Parameters!$I$12*N(W64))/((Parameters!$F$5=Parameters!$E$15)*Parameters!$I$5*ISNUMBER(P64)+(Parameters!$F$6=Parameters!$E$15)*Parameters!$I$6*ISNUMBER(Q64)+(Parameters!$F$7=Parameters!$E$15)*Parameters!$I$7*ISNUMBER(R64)+(Parameters!$F$8=Parameters!$E$15)*Parameters!$I$8*ISNUMBER(S64)+(Parameters!$F$9=Parameters!$E$15)*Parameters!$I$9*ISNUMBER(T64)+(Parameters!$F$10=Parameters!$E$15)*Parameters!$I$10*ISNUMBER(U64)+(Parameters!$F$11=Parameters!$E$15)*Parameters!$I$11*ISNUMBER(V64)+(Parameters!$F$12=Parameters!$E$15)*Parameters!$I$12*ISNUMBER(W64)),""))</f>
        <v>0.953333333333333</v>
      </c>
      <c r="AA64"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64+(Parameters!$F$12=Parameters!$E$16)*Parameters!$I$12*Y64)=0,"",IF(AND(((Parameters!$F$5=Parameters!$E$16)*Parameters!$I$5*ISNUMBER(P64)+(Parameters!$F$6=Parameters!$E$16)*Parameters!$I$6*ISNUMBER(Q64)+(Parameters!$F$7=Parameters!$E$16)*Parameters!$I$7*ISNUMBER(R64)+(Parameters!$F$8=Parameters!$E$16)*Parameters!$I$8*ISNUMBER(S64)+(Parameters!$F$9=Parameters!$E$16)*Parameters!$I$9*ISNUMBER(T64)+(Parameters!$F$10=Parameters!$E$16)*Parameters!$I$10*ISNUMBER(U64)+(Parameters!$F$11=Parameters!$E$16)*Parameters!$I$11*ISNUMBER(V64)+(Parameters!$F$12=Parameters!$E$16)*Parameters!$I$12*ISNUMBER(W64))&gt;0,((Parameters!$F$5=Parameters!$E$16)*Parameters!$I$5*ISNUMBER(P64)+(Parameters!$F$6=Parameters!$E$16)*Parameters!$I$6*ISNUMBER(Q64)+(Parameters!$F$7=Parameters!$E$16)*Parameters!$I$7*ISNUMBER(R64)+(Parameters!$F$8=Parameters!$E$16)*Parameters!$I$8*ISNUMBER(S64)+(Parameters!$F$9=Parameters!$E$16)*Parameters!$I$9*ISNUMBER(T64)+(Parameters!$F$10=Parameters!$E$16)*Parameters!$I$10*ISNUMBER(U64)+(Parameters!$F$11=Parameters!$E$16)*Parameters!$I$11*ISNUMBER(V64)+(Parameters!$F$12=Parameters!$E$16)*Parameters!$I$12*ISNUMBER(W64))/((Parameters!$F$5=Parameters!$E$16)*Parameters!$I$5*1+(Parameters!$F$6=Parameters!$E$16)*Parameters!$I$6*1+(Parameters!$F$7=Parameters!$E$16)*Parameters!$I$7*1+(Parameters!$F$8=Parameters!$E$16)*Parameters!$I$8*1+(Parameters!$F$9=Parameters!$E$16)*Parameters!$I$9*1+(Parameters!$F$10=Parameters!$E$16)*Parameters!$I$10*1+(Parameters!$F$11=Parameters!$E$16)*Parameters!$I$11*X64+(Parameters!$F$12=Parameters!$E$16)*Parameters!$I$12*Y64)&gt;=Parameters!$B$36),((Parameters!$F$5=Parameters!$E$16)*Parameters!$I$5*N(P64)+(Parameters!$F$6=Parameters!$E$16)*Parameters!$I$6*N(Q64)+(Parameters!$F$7=Parameters!$E$16)*Parameters!$I$7*N(R64)+(Parameters!$F$8=Parameters!$E$16)*Parameters!$I$8*N(S64)+(Parameters!$F$9=Parameters!$E$16)*Parameters!$I$9*N(T64)+(Parameters!$F$10=Parameters!$E$16)*Parameters!$I$10*N(U64)+(Parameters!$F$11=Parameters!$E$16)*Parameters!$I$11*N(V64)+(Parameters!$F$12=Parameters!$E$16)*Parameters!$I$12*N(W64))/((Parameters!$F$5=Parameters!$E$16)*Parameters!$I$5*ISNUMBER(P64)+(Parameters!$F$6=Parameters!$E$16)*Parameters!$I$6*ISNUMBER(Q64)+(Parameters!$F$7=Parameters!$E$16)*Parameters!$I$7*ISNUMBER(R64)+(Parameters!$F$8=Parameters!$E$16)*Parameters!$I$8*ISNUMBER(S64)+(Parameters!$F$9=Parameters!$E$16)*Parameters!$I$9*ISNUMBER(T64)+(Parameters!$F$10=Parameters!$E$16)*Parameters!$I$10*ISNUMBER(U64)+(Parameters!$F$11=Parameters!$E$16)*Parameters!$I$11*ISNUMBER(V64)+(Parameters!$F$12=Parameters!$E$16)*Parameters!$I$12*ISNUMBER(W64)),""))</f>
        <v>0.666666666666667</v>
      </c>
      <c r="AB64"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64+(Parameters!$F$12=Parameters!$E$17)*Parameters!$I$12*Y64)=0,"",IF(AND(((Parameters!$F$5=Parameters!$E$17)*Parameters!$I$5*ISNUMBER(P64)+(Parameters!$F$6=Parameters!$E$17)*Parameters!$I$6*ISNUMBER(Q64)+(Parameters!$F$7=Parameters!$E$17)*Parameters!$I$7*ISNUMBER(R64)+(Parameters!$F$8=Parameters!$E$17)*Parameters!$I$8*ISNUMBER(S64)+(Parameters!$F$9=Parameters!$E$17)*Parameters!$I$9*ISNUMBER(T64)+(Parameters!$F$10=Parameters!$E$17)*Parameters!$I$10*ISNUMBER(U64)+(Parameters!$F$11=Parameters!$E$17)*Parameters!$I$11*ISNUMBER(V64)+(Parameters!$F$12=Parameters!$E$17)*Parameters!$I$12*ISNUMBER(W64))&gt;0,((Parameters!$F$5=Parameters!$E$17)*Parameters!$I$5*ISNUMBER(P64)+(Parameters!$F$6=Parameters!$E$17)*Parameters!$I$6*ISNUMBER(Q64)+(Parameters!$F$7=Parameters!$E$17)*Parameters!$I$7*ISNUMBER(R64)+(Parameters!$F$8=Parameters!$E$17)*Parameters!$I$8*ISNUMBER(S64)+(Parameters!$F$9=Parameters!$E$17)*Parameters!$I$9*ISNUMBER(T64)+(Parameters!$F$10=Parameters!$E$17)*Parameters!$I$10*ISNUMBER(U64)+(Parameters!$F$11=Parameters!$E$17)*Parameters!$I$11*ISNUMBER(V64)+(Parameters!$F$12=Parameters!$E$17)*Parameters!$I$12*ISNUMBER(W64))/((Parameters!$F$5=Parameters!$E$17)*Parameters!$I$5*1+(Parameters!$F$6=Parameters!$E$17)*Parameters!$I$6*1+(Parameters!$F$7=Parameters!$E$17)*Parameters!$I$7*1+(Parameters!$F$8=Parameters!$E$17)*Parameters!$I$8*1+(Parameters!$F$9=Parameters!$E$17)*Parameters!$I$9*1+(Parameters!$F$10=Parameters!$E$17)*Parameters!$I$10*1+(Parameters!$F$11=Parameters!$E$17)*Parameters!$I$11*X64+(Parameters!$F$12=Parameters!$E$17)*Parameters!$I$12*Y64)&gt;=Parameters!$B$36),((Parameters!$F$5=Parameters!$E$17)*Parameters!$I$5*N(P64)+(Parameters!$F$6=Parameters!$E$17)*Parameters!$I$6*N(Q64)+(Parameters!$F$7=Parameters!$E$17)*Parameters!$I$7*N(R64)+(Parameters!$F$8=Parameters!$E$17)*Parameters!$I$8*N(S64)+(Parameters!$F$9=Parameters!$E$17)*Parameters!$I$9*N(T64)+(Parameters!$F$10=Parameters!$E$17)*Parameters!$I$10*N(U64)+(Parameters!$F$11=Parameters!$E$17)*Parameters!$I$11*N(V64)+(Parameters!$F$12=Parameters!$E$17)*Parameters!$I$12*N(W64))/((Parameters!$F$5=Parameters!$E$17)*Parameters!$I$5*ISNUMBER(P64)+(Parameters!$F$6=Parameters!$E$17)*Parameters!$I$6*ISNUMBER(Q64)+(Parameters!$F$7=Parameters!$E$17)*Parameters!$I$7*ISNUMBER(R64)+(Parameters!$F$8=Parameters!$E$17)*Parameters!$I$8*ISNUMBER(S64)+(Parameters!$F$9=Parameters!$E$17)*Parameters!$I$9*ISNUMBER(T64)+(Parameters!$F$10=Parameters!$E$17)*Parameters!$I$10*ISNUMBER(U64)+(Parameters!$F$11=Parameters!$E$17)*Parameters!$I$11*ISNUMBER(V64)+(Parameters!$F$12=Parameters!$E$17)*Parameters!$I$12*ISNUMBER(W64)),""))</f>
        <v>0.5</v>
      </c>
      <c r="AC64" s="17" t="n">
        <f aca="false">Parameters!$I$5*ISNUMBER(P64)+Parameters!$I$6*ISNUMBER(Q64)+Parameters!$I$7*ISNUMBER(R64)+Parameters!$I$8*ISNUMBER(S64)+Parameters!$I$9*ISNUMBER(T64)+Parameters!$I$10*ISNUMBER(U64)+Parameters!$I$11*ISNUMBER(V64)+Parameters!$I$12*ISNUMBER(W64)</f>
        <v>85</v>
      </c>
      <c r="AD64" s="17" t="n">
        <f aca="false">Parameters!$I$5*1+Parameters!$I$6*1+Parameters!$I$7*1+Parameters!$I$8*1+Parameters!$I$9*1+Parameters!$I$10*1+Parameters!$I$11*X64+Parameters!$I$12*Y64</f>
        <v>95</v>
      </c>
      <c r="AE64" s="18" t="n">
        <f aca="false">IF(AD64=0,"",AC64/AD64)</f>
        <v>0.894736842105263</v>
      </c>
      <c r="AF64" s="17" t="str">
        <f aca="false">IF(ISNUMBER(Z64),"M","")&amp;IF(ISNUMBER(AA64),"I","")&amp;IF(ISNUMBER(AB64),"O","")</f>
        <v>MIO</v>
      </c>
      <c r="AG64" s="19" t="n">
        <f aca="false">IF(AND(ISNUMBER(AE64),ISNUMBER(Z64)+ISNUMBER(AA64)+ISNUMBER(AB64)&gt;=Parameters!$B$37),IF(AE64&gt;=Parameters!$B$35,100*(Parameters!$F$15*N(Z64)+Parameters!$F$16*N(AA64)+Parameters!$F$17*N(AB64))/(Parameters!$F$15*ISNUMBER(Z64)+Parameters!$F$16*ISNUMBER(AA64)+Parameters!$F$17*ISNUMBER(AB64)),""),"")</f>
        <v>77.6666666666667</v>
      </c>
      <c r="AH64" s="17" t="n">
        <f aca="false">IF(ISNUMBER(AG64),RANK(AG64,$AG$2:$AG$113),"")</f>
        <v>83</v>
      </c>
    </row>
    <row r="65" customFormat="false" ht="15" hidden="false" customHeight="false" outlineLevel="0" collapsed="false">
      <c r="A65" s="5" t="s">
        <v>352</v>
      </c>
      <c r="B65" s="5" t="s">
        <v>191</v>
      </c>
      <c r="C65" s="5" t="s">
        <v>145</v>
      </c>
      <c r="D65" s="5" t="s">
        <v>31</v>
      </c>
      <c r="E65" s="5" t="s">
        <v>44</v>
      </c>
      <c r="F65" s="5" t="s">
        <v>353</v>
      </c>
      <c r="G65" s="15"/>
      <c r="H65" s="8"/>
      <c r="I65" s="5" t="s">
        <v>57</v>
      </c>
      <c r="J65" s="5" t="s">
        <v>68</v>
      </c>
      <c r="K65" s="15"/>
      <c r="L65" s="5" t="s">
        <v>81</v>
      </c>
      <c r="M65" s="5" t="s">
        <v>136</v>
      </c>
      <c r="N65" s="5"/>
      <c r="O65" s="5"/>
      <c r="P65" s="16" t="n">
        <f aca="false">IFERROR(IF(ISNUMBER(INDEX(Parameters!$B$5:$B$23,MATCH(D65,Parameters!$A$5:$A$23,0))),INDEX(Parameters!$B$5:$B$23,MATCH(D65,Parameters!$A$5:$A$23,0)),""),"")</f>
        <v>1</v>
      </c>
      <c r="Q65" s="16" t="n">
        <f aca="false">IFERROR(IF(ISNUMBER(INDEX(Parameters!$B$5:$B$23,MATCH(E65,Parameters!$A$5:$A$23,0))),INDEX(Parameters!$B$5:$B$23,MATCH(E65,Parameters!$A$5:$A$23,0)),""),"")</f>
        <v>1</v>
      </c>
      <c r="R65" s="16" t="n">
        <f aca="false">IF(F65="","",IFERROR(MIN(Parameters!$B$33,MAX(0,Parameters!$B$32-VALUE(LEFT(F65,4))))/Parameters!$B$33,""))</f>
        <v>0.466666666666667</v>
      </c>
      <c r="S65" s="16" t="str">
        <f aca="false">IF(ISNUMBER(H65),H65,IF(G65="",IF(ISNUMBER(Parameters!$B$34),Parameters!$B$34,""),""))</f>
        <v/>
      </c>
      <c r="T65" s="16" t="n">
        <f aca="false">IFERROR(IF(ISNUMBER(INDEX(Parameters!$B$5:$B$23,MATCH(I65,Parameters!$A$5:$A$23,0))),INDEX(Parameters!$B$5:$B$23,MATCH(I65,Parameters!$A$5:$A$23,0)),""),"")</f>
        <v>0</v>
      </c>
      <c r="U65" s="16" t="n">
        <f aca="false">IFERROR(IF(ISNUMBER(INDEX(Parameters!$B$5:$B$23,MATCH(L65,Parameters!$A$5:$A$23,0))),INDEX(Parameters!$B$5:$B$23,MATCH(L65,Parameters!$A$5:$A$23,0)),""),"")</f>
        <v>1</v>
      </c>
      <c r="V65" s="16" t="n">
        <f aca="false">IFERROR(IF(ISNUMBER(INDEX(Parameters!$B$5:$B$23,MATCH(J65,Parameters!$A$5:$A$23,0))),INDEX(Parameters!$B$5:$B$23,MATCH(J65,Parameters!$A$5:$A$23,0)),""),"")</f>
        <v>1</v>
      </c>
      <c r="W65" s="16" t="n">
        <f aca="false">IF(K65&lt;&gt;"",1,IF(COUNTIF(Parameters!$A$27:$A$28,J65)&gt;0,0,""))</f>
        <v>0</v>
      </c>
      <c r="X65" s="17" t="n">
        <f aca="false">IF(J65="Not applicable",0,1)</f>
        <v>1</v>
      </c>
      <c r="Y65" s="17" t="n">
        <f aca="false">IF(OR(K65&lt;&gt;"",COUNTIF(Parameters!$A$27:$A$28,J65)&gt;0),1,0)</f>
        <v>1</v>
      </c>
      <c r="Z65"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65+(Parameters!$F$12=Parameters!$E$15)*Parameters!$I$12*Y65)=0,"",IF(AND(((Parameters!$F$5=Parameters!$E$15)*Parameters!$I$5*ISNUMBER(P65)+(Parameters!$F$6=Parameters!$E$15)*Parameters!$I$6*ISNUMBER(Q65)+(Parameters!$F$7=Parameters!$E$15)*Parameters!$I$7*ISNUMBER(R65)+(Parameters!$F$8=Parameters!$E$15)*Parameters!$I$8*ISNUMBER(S65)+(Parameters!$F$9=Parameters!$E$15)*Parameters!$I$9*ISNUMBER(T65)+(Parameters!$F$10=Parameters!$E$15)*Parameters!$I$10*ISNUMBER(U65)+(Parameters!$F$11=Parameters!$E$15)*Parameters!$I$11*ISNUMBER(V65)+(Parameters!$F$12=Parameters!$E$15)*Parameters!$I$12*ISNUMBER(W65))&gt;0,((Parameters!$F$5=Parameters!$E$15)*Parameters!$I$5*ISNUMBER(P65)+(Parameters!$F$6=Parameters!$E$15)*Parameters!$I$6*ISNUMBER(Q65)+(Parameters!$F$7=Parameters!$E$15)*Parameters!$I$7*ISNUMBER(R65)+(Parameters!$F$8=Parameters!$E$15)*Parameters!$I$8*ISNUMBER(S65)+(Parameters!$F$9=Parameters!$E$15)*Parameters!$I$9*ISNUMBER(T65)+(Parameters!$F$10=Parameters!$E$15)*Parameters!$I$10*ISNUMBER(U65)+(Parameters!$F$11=Parameters!$E$15)*Parameters!$I$11*ISNUMBER(V65)+(Parameters!$F$12=Parameters!$E$15)*Parameters!$I$12*ISNUMBER(W65))/((Parameters!$F$5=Parameters!$E$15)*Parameters!$I$5*1+(Parameters!$F$6=Parameters!$E$15)*Parameters!$I$6*1+(Parameters!$F$7=Parameters!$E$15)*Parameters!$I$7*1+(Parameters!$F$8=Parameters!$E$15)*Parameters!$I$8*1+(Parameters!$F$9=Parameters!$E$15)*Parameters!$I$9*1+(Parameters!$F$10=Parameters!$E$15)*Parameters!$I$10*1+(Parameters!$F$11=Parameters!$E$15)*Parameters!$I$11*X65+(Parameters!$F$12=Parameters!$E$15)*Parameters!$I$12*Y65)&gt;=Parameters!$B$36),((Parameters!$F$5=Parameters!$E$15)*Parameters!$I$5*N(P65)+(Parameters!$F$6=Parameters!$E$15)*Parameters!$I$6*N(Q65)+(Parameters!$F$7=Parameters!$E$15)*Parameters!$I$7*N(R65)+(Parameters!$F$8=Parameters!$E$15)*Parameters!$I$8*N(S65)+(Parameters!$F$9=Parameters!$E$15)*Parameters!$I$9*N(T65)+(Parameters!$F$10=Parameters!$E$15)*Parameters!$I$10*N(U65)+(Parameters!$F$11=Parameters!$E$15)*Parameters!$I$11*N(V65)+(Parameters!$F$12=Parameters!$E$15)*Parameters!$I$12*N(W65))/((Parameters!$F$5=Parameters!$E$15)*Parameters!$I$5*ISNUMBER(P65)+(Parameters!$F$6=Parameters!$E$15)*Parameters!$I$6*ISNUMBER(Q65)+(Parameters!$F$7=Parameters!$E$15)*Parameters!$I$7*ISNUMBER(R65)+(Parameters!$F$8=Parameters!$E$15)*Parameters!$I$8*ISNUMBER(S65)+(Parameters!$F$9=Parameters!$E$15)*Parameters!$I$9*ISNUMBER(T65)+(Parameters!$F$10=Parameters!$E$15)*Parameters!$I$10*ISNUMBER(U65)+(Parameters!$F$11=Parameters!$E$15)*Parameters!$I$11*ISNUMBER(V65)+(Parameters!$F$12=Parameters!$E$15)*Parameters!$I$12*ISNUMBER(W65)),""))</f>
        <v>0.946666666666667</v>
      </c>
      <c r="AA65"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65+(Parameters!$F$12=Parameters!$E$16)*Parameters!$I$12*Y65)=0,"",IF(AND(((Parameters!$F$5=Parameters!$E$16)*Parameters!$I$5*ISNUMBER(P65)+(Parameters!$F$6=Parameters!$E$16)*Parameters!$I$6*ISNUMBER(Q65)+(Parameters!$F$7=Parameters!$E$16)*Parameters!$I$7*ISNUMBER(R65)+(Parameters!$F$8=Parameters!$E$16)*Parameters!$I$8*ISNUMBER(S65)+(Parameters!$F$9=Parameters!$E$16)*Parameters!$I$9*ISNUMBER(T65)+(Parameters!$F$10=Parameters!$E$16)*Parameters!$I$10*ISNUMBER(U65)+(Parameters!$F$11=Parameters!$E$16)*Parameters!$I$11*ISNUMBER(V65)+(Parameters!$F$12=Parameters!$E$16)*Parameters!$I$12*ISNUMBER(W65))&gt;0,((Parameters!$F$5=Parameters!$E$16)*Parameters!$I$5*ISNUMBER(P65)+(Parameters!$F$6=Parameters!$E$16)*Parameters!$I$6*ISNUMBER(Q65)+(Parameters!$F$7=Parameters!$E$16)*Parameters!$I$7*ISNUMBER(R65)+(Parameters!$F$8=Parameters!$E$16)*Parameters!$I$8*ISNUMBER(S65)+(Parameters!$F$9=Parameters!$E$16)*Parameters!$I$9*ISNUMBER(T65)+(Parameters!$F$10=Parameters!$E$16)*Parameters!$I$10*ISNUMBER(U65)+(Parameters!$F$11=Parameters!$E$16)*Parameters!$I$11*ISNUMBER(V65)+(Parameters!$F$12=Parameters!$E$16)*Parameters!$I$12*ISNUMBER(W65))/((Parameters!$F$5=Parameters!$E$16)*Parameters!$I$5*1+(Parameters!$F$6=Parameters!$E$16)*Parameters!$I$6*1+(Parameters!$F$7=Parameters!$E$16)*Parameters!$I$7*1+(Parameters!$F$8=Parameters!$E$16)*Parameters!$I$8*1+(Parameters!$F$9=Parameters!$E$16)*Parameters!$I$9*1+(Parameters!$F$10=Parameters!$E$16)*Parameters!$I$10*1+(Parameters!$F$11=Parameters!$E$16)*Parameters!$I$11*X65+(Parameters!$F$12=Parameters!$E$16)*Parameters!$I$12*Y65)&gt;=Parameters!$B$36),((Parameters!$F$5=Parameters!$E$16)*Parameters!$I$5*N(P65)+(Parameters!$F$6=Parameters!$E$16)*Parameters!$I$6*N(Q65)+(Parameters!$F$7=Parameters!$E$16)*Parameters!$I$7*N(R65)+(Parameters!$F$8=Parameters!$E$16)*Parameters!$I$8*N(S65)+(Parameters!$F$9=Parameters!$E$16)*Parameters!$I$9*N(T65)+(Parameters!$F$10=Parameters!$E$16)*Parameters!$I$10*N(U65)+(Parameters!$F$11=Parameters!$E$16)*Parameters!$I$11*N(V65)+(Parameters!$F$12=Parameters!$E$16)*Parameters!$I$12*N(W65))/((Parameters!$F$5=Parameters!$E$16)*Parameters!$I$5*ISNUMBER(P65)+(Parameters!$F$6=Parameters!$E$16)*Parameters!$I$6*ISNUMBER(Q65)+(Parameters!$F$7=Parameters!$E$16)*Parameters!$I$7*ISNUMBER(R65)+(Parameters!$F$8=Parameters!$E$16)*Parameters!$I$8*ISNUMBER(S65)+(Parameters!$F$9=Parameters!$E$16)*Parameters!$I$9*ISNUMBER(T65)+(Parameters!$F$10=Parameters!$E$16)*Parameters!$I$10*ISNUMBER(U65)+(Parameters!$F$11=Parameters!$E$16)*Parameters!$I$11*ISNUMBER(V65)+(Parameters!$F$12=Parameters!$E$16)*Parameters!$I$12*ISNUMBER(W65)),""))</f>
        <v>0.666666666666667</v>
      </c>
      <c r="AB65"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65+(Parameters!$F$12=Parameters!$E$17)*Parameters!$I$12*Y65)=0,"",IF(AND(((Parameters!$F$5=Parameters!$E$17)*Parameters!$I$5*ISNUMBER(P65)+(Parameters!$F$6=Parameters!$E$17)*Parameters!$I$6*ISNUMBER(Q65)+(Parameters!$F$7=Parameters!$E$17)*Parameters!$I$7*ISNUMBER(R65)+(Parameters!$F$8=Parameters!$E$17)*Parameters!$I$8*ISNUMBER(S65)+(Parameters!$F$9=Parameters!$E$17)*Parameters!$I$9*ISNUMBER(T65)+(Parameters!$F$10=Parameters!$E$17)*Parameters!$I$10*ISNUMBER(U65)+(Parameters!$F$11=Parameters!$E$17)*Parameters!$I$11*ISNUMBER(V65)+(Parameters!$F$12=Parameters!$E$17)*Parameters!$I$12*ISNUMBER(W65))&gt;0,((Parameters!$F$5=Parameters!$E$17)*Parameters!$I$5*ISNUMBER(P65)+(Parameters!$F$6=Parameters!$E$17)*Parameters!$I$6*ISNUMBER(Q65)+(Parameters!$F$7=Parameters!$E$17)*Parameters!$I$7*ISNUMBER(R65)+(Parameters!$F$8=Parameters!$E$17)*Parameters!$I$8*ISNUMBER(S65)+(Parameters!$F$9=Parameters!$E$17)*Parameters!$I$9*ISNUMBER(T65)+(Parameters!$F$10=Parameters!$E$17)*Parameters!$I$10*ISNUMBER(U65)+(Parameters!$F$11=Parameters!$E$17)*Parameters!$I$11*ISNUMBER(V65)+(Parameters!$F$12=Parameters!$E$17)*Parameters!$I$12*ISNUMBER(W65))/((Parameters!$F$5=Parameters!$E$17)*Parameters!$I$5*1+(Parameters!$F$6=Parameters!$E$17)*Parameters!$I$6*1+(Parameters!$F$7=Parameters!$E$17)*Parameters!$I$7*1+(Parameters!$F$8=Parameters!$E$17)*Parameters!$I$8*1+(Parameters!$F$9=Parameters!$E$17)*Parameters!$I$9*1+(Parameters!$F$10=Parameters!$E$17)*Parameters!$I$10*1+(Parameters!$F$11=Parameters!$E$17)*Parameters!$I$11*X65+(Parameters!$F$12=Parameters!$E$17)*Parameters!$I$12*Y65)&gt;=Parameters!$B$36),((Parameters!$F$5=Parameters!$E$17)*Parameters!$I$5*N(P65)+(Parameters!$F$6=Parameters!$E$17)*Parameters!$I$6*N(Q65)+(Parameters!$F$7=Parameters!$E$17)*Parameters!$I$7*N(R65)+(Parameters!$F$8=Parameters!$E$17)*Parameters!$I$8*N(S65)+(Parameters!$F$9=Parameters!$E$17)*Parameters!$I$9*N(T65)+(Parameters!$F$10=Parameters!$E$17)*Parameters!$I$10*N(U65)+(Parameters!$F$11=Parameters!$E$17)*Parameters!$I$11*N(V65)+(Parameters!$F$12=Parameters!$E$17)*Parameters!$I$12*N(W65))/((Parameters!$F$5=Parameters!$E$17)*Parameters!$I$5*ISNUMBER(P65)+(Parameters!$F$6=Parameters!$E$17)*Parameters!$I$6*ISNUMBER(Q65)+(Parameters!$F$7=Parameters!$E$17)*Parameters!$I$7*ISNUMBER(R65)+(Parameters!$F$8=Parameters!$E$17)*Parameters!$I$8*ISNUMBER(S65)+(Parameters!$F$9=Parameters!$E$17)*Parameters!$I$9*ISNUMBER(T65)+(Parameters!$F$10=Parameters!$E$17)*Parameters!$I$10*ISNUMBER(U65)+(Parameters!$F$11=Parameters!$E$17)*Parameters!$I$11*ISNUMBER(V65)+(Parameters!$F$12=Parameters!$E$17)*Parameters!$I$12*ISNUMBER(W65)),""))</f>
        <v>0.5</v>
      </c>
      <c r="AC65" s="17" t="n">
        <f aca="false">Parameters!$I$5*ISNUMBER(P65)+Parameters!$I$6*ISNUMBER(Q65)+Parameters!$I$7*ISNUMBER(R65)+Parameters!$I$8*ISNUMBER(S65)+Parameters!$I$9*ISNUMBER(T65)+Parameters!$I$10*ISNUMBER(U65)+Parameters!$I$11*ISNUMBER(V65)+Parameters!$I$12*ISNUMBER(W65)</f>
        <v>85</v>
      </c>
      <c r="AD65" s="17" t="n">
        <f aca="false">Parameters!$I$5*1+Parameters!$I$6*1+Parameters!$I$7*1+Parameters!$I$8*1+Parameters!$I$9*1+Parameters!$I$10*1+Parameters!$I$11*X65+Parameters!$I$12*Y65</f>
        <v>95</v>
      </c>
      <c r="AE65" s="18" t="n">
        <f aca="false">IF(AD65=0,"",AC65/AD65)</f>
        <v>0.894736842105263</v>
      </c>
      <c r="AF65" s="17" t="str">
        <f aca="false">IF(ISNUMBER(Z65),"M","")&amp;IF(ISNUMBER(AA65),"I","")&amp;IF(ISNUMBER(AB65),"O","")</f>
        <v>MIO</v>
      </c>
      <c r="AG65" s="19" t="n">
        <f aca="false">IF(AND(ISNUMBER(AE65),ISNUMBER(Z65)+ISNUMBER(AA65)+ISNUMBER(AB65)&gt;=Parameters!$B$37),IF(AE65&gt;=Parameters!$B$35,100*(Parameters!$F$15*N(Z65)+Parameters!$F$16*N(AA65)+Parameters!$F$17*N(AB65))/(Parameters!$F$15*ISNUMBER(Z65)+Parameters!$F$16*ISNUMBER(AA65)+Parameters!$F$17*ISNUMBER(AB65)),""),"")</f>
        <v>77.3333333333333</v>
      </c>
      <c r="AH65" s="17" t="n">
        <f aca="false">IF(ISNUMBER(AG65),RANK(AG65,$AG$2:$AG$113),"")</f>
        <v>86</v>
      </c>
    </row>
    <row r="66" customFormat="false" ht="15" hidden="false" customHeight="false" outlineLevel="0" collapsed="false">
      <c r="A66" s="5" t="s">
        <v>354</v>
      </c>
      <c r="B66" s="5" t="s">
        <v>355</v>
      </c>
      <c r="C66" s="5" t="s">
        <v>160</v>
      </c>
      <c r="D66" s="5" t="s">
        <v>31</v>
      </c>
      <c r="E66" s="5" t="s">
        <v>44</v>
      </c>
      <c r="F66" s="5" t="s">
        <v>161</v>
      </c>
      <c r="G66" s="15" t="s">
        <v>356</v>
      </c>
      <c r="H66" s="8" t="n">
        <v>1</v>
      </c>
      <c r="I66" s="5" t="s">
        <v>57</v>
      </c>
      <c r="J66" s="5" t="s">
        <v>74</v>
      </c>
      <c r="K66" s="15"/>
      <c r="L66" s="5" t="s">
        <v>87</v>
      </c>
      <c r="M66" s="5" t="s">
        <v>157</v>
      </c>
      <c r="N66" s="5" t="s">
        <v>197</v>
      </c>
      <c r="O66" s="5" t="s">
        <v>142</v>
      </c>
      <c r="P66" s="16" t="n">
        <f aca="false">IFERROR(IF(ISNUMBER(INDEX(Parameters!$B$5:$B$23,MATCH(D66,Parameters!$A$5:$A$23,0))),INDEX(Parameters!$B$5:$B$23,MATCH(D66,Parameters!$A$5:$A$23,0)),""),"")</f>
        <v>1</v>
      </c>
      <c r="Q66" s="16" t="n">
        <f aca="false">IFERROR(IF(ISNUMBER(INDEX(Parameters!$B$5:$B$23,MATCH(E66,Parameters!$A$5:$A$23,0))),INDEX(Parameters!$B$5:$B$23,MATCH(E66,Parameters!$A$5:$A$23,0)),""),"")</f>
        <v>1</v>
      </c>
      <c r="R66" s="16" t="n">
        <f aca="false">IF(F66="","",IFERROR(MIN(Parameters!$B$33,MAX(0,Parameters!$B$32-VALUE(LEFT(F66,4))))/Parameters!$B$33,""))</f>
        <v>1</v>
      </c>
      <c r="S66" s="16" t="n">
        <f aca="false">IF(ISNUMBER(H66),H66,IF(G66="",IF(ISNUMBER(Parameters!$B$34),Parameters!$B$34,""),""))</f>
        <v>1</v>
      </c>
      <c r="T66" s="16" t="n">
        <f aca="false">IFERROR(IF(ISNUMBER(INDEX(Parameters!$B$5:$B$23,MATCH(I66,Parameters!$A$5:$A$23,0))),INDEX(Parameters!$B$5:$B$23,MATCH(I66,Parameters!$A$5:$A$23,0)),""),"")</f>
        <v>0</v>
      </c>
      <c r="U66" s="16" t="n">
        <f aca="false">IFERROR(IF(ISNUMBER(INDEX(Parameters!$B$5:$B$23,MATCH(L66,Parameters!$A$5:$A$23,0))),INDEX(Parameters!$B$5:$B$23,MATCH(L66,Parameters!$A$5:$A$23,0)),""),"")</f>
        <v>0</v>
      </c>
      <c r="V66" s="16" t="str">
        <f aca="false">IFERROR(IF(ISNUMBER(INDEX(Parameters!$B$5:$B$23,MATCH(J66,Parameters!$A$5:$A$23,0))),INDEX(Parameters!$B$5:$B$23,MATCH(J66,Parameters!$A$5:$A$23,0)),""),"")</f>
        <v/>
      </c>
      <c r="W66" s="16" t="str">
        <f aca="false">IF(K66&lt;&gt;"",1,IF(COUNTIF(Parameters!$A$27:$A$28,J66)&gt;0,0,""))</f>
        <v/>
      </c>
      <c r="X66" s="17" t="n">
        <f aca="false">IF(J66="Not applicable",0,1)</f>
        <v>0</v>
      </c>
      <c r="Y66" s="17" t="n">
        <f aca="false">IF(OR(K66&lt;&gt;"",COUNTIF(Parameters!$A$27:$A$28,J66)&gt;0),1,0)</f>
        <v>0</v>
      </c>
      <c r="Z66"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66+(Parameters!$F$12=Parameters!$E$15)*Parameters!$I$12*Y66)=0,"",IF(AND(((Parameters!$F$5=Parameters!$E$15)*Parameters!$I$5*ISNUMBER(P66)+(Parameters!$F$6=Parameters!$E$15)*Parameters!$I$6*ISNUMBER(Q66)+(Parameters!$F$7=Parameters!$E$15)*Parameters!$I$7*ISNUMBER(R66)+(Parameters!$F$8=Parameters!$E$15)*Parameters!$I$8*ISNUMBER(S66)+(Parameters!$F$9=Parameters!$E$15)*Parameters!$I$9*ISNUMBER(T66)+(Parameters!$F$10=Parameters!$E$15)*Parameters!$I$10*ISNUMBER(U66)+(Parameters!$F$11=Parameters!$E$15)*Parameters!$I$11*ISNUMBER(V66)+(Parameters!$F$12=Parameters!$E$15)*Parameters!$I$12*ISNUMBER(W66))&gt;0,((Parameters!$F$5=Parameters!$E$15)*Parameters!$I$5*ISNUMBER(P66)+(Parameters!$F$6=Parameters!$E$15)*Parameters!$I$6*ISNUMBER(Q66)+(Parameters!$F$7=Parameters!$E$15)*Parameters!$I$7*ISNUMBER(R66)+(Parameters!$F$8=Parameters!$E$15)*Parameters!$I$8*ISNUMBER(S66)+(Parameters!$F$9=Parameters!$E$15)*Parameters!$I$9*ISNUMBER(T66)+(Parameters!$F$10=Parameters!$E$15)*Parameters!$I$10*ISNUMBER(U66)+(Parameters!$F$11=Parameters!$E$15)*Parameters!$I$11*ISNUMBER(V66)+(Parameters!$F$12=Parameters!$E$15)*Parameters!$I$12*ISNUMBER(W66))/((Parameters!$F$5=Parameters!$E$15)*Parameters!$I$5*1+(Parameters!$F$6=Parameters!$E$15)*Parameters!$I$6*1+(Parameters!$F$7=Parameters!$E$15)*Parameters!$I$7*1+(Parameters!$F$8=Parameters!$E$15)*Parameters!$I$8*1+(Parameters!$F$9=Parameters!$E$15)*Parameters!$I$9*1+(Parameters!$F$10=Parameters!$E$15)*Parameters!$I$10*1+(Parameters!$F$11=Parameters!$E$15)*Parameters!$I$11*X66+(Parameters!$F$12=Parameters!$E$15)*Parameters!$I$12*Y66)&gt;=Parameters!$B$36),((Parameters!$F$5=Parameters!$E$15)*Parameters!$I$5*N(P66)+(Parameters!$F$6=Parameters!$E$15)*Parameters!$I$6*N(Q66)+(Parameters!$F$7=Parameters!$E$15)*Parameters!$I$7*N(R66)+(Parameters!$F$8=Parameters!$E$15)*Parameters!$I$8*N(S66)+(Parameters!$F$9=Parameters!$E$15)*Parameters!$I$9*N(T66)+(Parameters!$F$10=Parameters!$E$15)*Parameters!$I$10*N(U66)+(Parameters!$F$11=Parameters!$E$15)*Parameters!$I$11*N(V66)+(Parameters!$F$12=Parameters!$E$15)*Parameters!$I$12*N(W66))/((Parameters!$F$5=Parameters!$E$15)*Parameters!$I$5*ISNUMBER(P66)+(Parameters!$F$6=Parameters!$E$15)*Parameters!$I$6*ISNUMBER(Q66)+(Parameters!$F$7=Parameters!$E$15)*Parameters!$I$7*ISNUMBER(R66)+(Parameters!$F$8=Parameters!$E$15)*Parameters!$I$8*ISNUMBER(S66)+(Parameters!$F$9=Parameters!$E$15)*Parameters!$I$9*ISNUMBER(T66)+(Parameters!$F$10=Parameters!$E$15)*Parameters!$I$10*ISNUMBER(U66)+(Parameters!$F$11=Parameters!$E$15)*Parameters!$I$11*ISNUMBER(V66)+(Parameters!$F$12=Parameters!$E$15)*Parameters!$I$12*ISNUMBER(W66)),""))</f>
        <v>1</v>
      </c>
      <c r="AA66"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66+(Parameters!$F$12=Parameters!$E$16)*Parameters!$I$12*Y66)=0,"",IF(AND(((Parameters!$F$5=Parameters!$E$16)*Parameters!$I$5*ISNUMBER(P66)+(Parameters!$F$6=Parameters!$E$16)*Parameters!$I$6*ISNUMBER(Q66)+(Parameters!$F$7=Parameters!$E$16)*Parameters!$I$7*ISNUMBER(R66)+(Parameters!$F$8=Parameters!$E$16)*Parameters!$I$8*ISNUMBER(S66)+(Parameters!$F$9=Parameters!$E$16)*Parameters!$I$9*ISNUMBER(T66)+(Parameters!$F$10=Parameters!$E$16)*Parameters!$I$10*ISNUMBER(U66)+(Parameters!$F$11=Parameters!$E$16)*Parameters!$I$11*ISNUMBER(V66)+(Parameters!$F$12=Parameters!$E$16)*Parameters!$I$12*ISNUMBER(W66))&gt;0,((Parameters!$F$5=Parameters!$E$16)*Parameters!$I$5*ISNUMBER(P66)+(Parameters!$F$6=Parameters!$E$16)*Parameters!$I$6*ISNUMBER(Q66)+(Parameters!$F$7=Parameters!$E$16)*Parameters!$I$7*ISNUMBER(R66)+(Parameters!$F$8=Parameters!$E$16)*Parameters!$I$8*ISNUMBER(S66)+(Parameters!$F$9=Parameters!$E$16)*Parameters!$I$9*ISNUMBER(T66)+(Parameters!$F$10=Parameters!$E$16)*Parameters!$I$10*ISNUMBER(U66)+(Parameters!$F$11=Parameters!$E$16)*Parameters!$I$11*ISNUMBER(V66)+(Parameters!$F$12=Parameters!$E$16)*Parameters!$I$12*ISNUMBER(W66))/((Parameters!$F$5=Parameters!$E$16)*Parameters!$I$5*1+(Parameters!$F$6=Parameters!$E$16)*Parameters!$I$6*1+(Parameters!$F$7=Parameters!$E$16)*Parameters!$I$7*1+(Parameters!$F$8=Parameters!$E$16)*Parameters!$I$8*1+(Parameters!$F$9=Parameters!$E$16)*Parameters!$I$9*1+(Parameters!$F$10=Parameters!$E$16)*Parameters!$I$10*1+(Parameters!$F$11=Parameters!$E$16)*Parameters!$I$11*X66+(Parameters!$F$12=Parameters!$E$16)*Parameters!$I$12*Y66)&gt;=Parameters!$B$36),((Parameters!$F$5=Parameters!$E$16)*Parameters!$I$5*N(P66)+(Parameters!$F$6=Parameters!$E$16)*Parameters!$I$6*N(Q66)+(Parameters!$F$7=Parameters!$E$16)*Parameters!$I$7*N(R66)+(Parameters!$F$8=Parameters!$E$16)*Parameters!$I$8*N(S66)+(Parameters!$F$9=Parameters!$E$16)*Parameters!$I$9*N(T66)+(Parameters!$F$10=Parameters!$E$16)*Parameters!$I$10*N(U66)+(Parameters!$F$11=Parameters!$E$16)*Parameters!$I$11*N(V66)+(Parameters!$F$12=Parameters!$E$16)*Parameters!$I$12*N(W66))/((Parameters!$F$5=Parameters!$E$16)*Parameters!$I$5*ISNUMBER(P66)+(Parameters!$F$6=Parameters!$E$16)*Parameters!$I$6*ISNUMBER(Q66)+(Parameters!$F$7=Parameters!$E$16)*Parameters!$I$7*ISNUMBER(R66)+(Parameters!$F$8=Parameters!$E$16)*Parameters!$I$8*ISNUMBER(S66)+(Parameters!$F$9=Parameters!$E$16)*Parameters!$I$9*ISNUMBER(T66)+(Parameters!$F$10=Parameters!$E$16)*Parameters!$I$10*ISNUMBER(U66)+(Parameters!$F$11=Parameters!$E$16)*Parameters!$I$11*ISNUMBER(V66)+(Parameters!$F$12=Parameters!$E$16)*Parameters!$I$12*ISNUMBER(W66)),""))</f>
        <v>0.4</v>
      </c>
      <c r="AB66"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66+(Parameters!$F$12=Parameters!$E$17)*Parameters!$I$12*Y66)=0,"",IF(AND(((Parameters!$F$5=Parameters!$E$17)*Parameters!$I$5*ISNUMBER(P66)+(Parameters!$F$6=Parameters!$E$17)*Parameters!$I$6*ISNUMBER(Q66)+(Parameters!$F$7=Parameters!$E$17)*Parameters!$I$7*ISNUMBER(R66)+(Parameters!$F$8=Parameters!$E$17)*Parameters!$I$8*ISNUMBER(S66)+(Parameters!$F$9=Parameters!$E$17)*Parameters!$I$9*ISNUMBER(T66)+(Parameters!$F$10=Parameters!$E$17)*Parameters!$I$10*ISNUMBER(U66)+(Parameters!$F$11=Parameters!$E$17)*Parameters!$I$11*ISNUMBER(V66)+(Parameters!$F$12=Parameters!$E$17)*Parameters!$I$12*ISNUMBER(W66))&gt;0,((Parameters!$F$5=Parameters!$E$17)*Parameters!$I$5*ISNUMBER(P66)+(Parameters!$F$6=Parameters!$E$17)*Parameters!$I$6*ISNUMBER(Q66)+(Parameters!$F$7=Parameters!$E$17)*Parameters!$I$7*ISNUMBER(R66)+(Parameters!$F$8=Parameters!$E$17)*Parameters!$I$8*ISNUMBER(S66)+(Parameters!$F$9=Parameters!$E$17)*Parameters!$I$9*ISNUMBER(T66)+(Parameters!$F$10=Parameters!$E$17)*Parameters!$I$10*ISNUMBER(U66)+(Parameters!$F$11=Parameters!$E$17)*Parameters!$I$11*ISNUMBER(V66)+(Parameters!$F$12=Parameters!$E$17)*Parameters!$I$12*ISNUMBER(W66))/((Parameters!$F$5=Parameters!$E$17)*Parameters!$I$5*1+(Parameters!$F$6=Parameters!$E$17)*Parameters!$I$6*1+(Parameters!$F$7=Parameters!$E$17)*Parameters!$I$7*1+(Parameters!$F$8=Parameters!$E$17)*Parameters!$I$8*1+(Parameters!$F$9=Parameters!$E$17)*Parameters!$I$9*1+(Parameters!$F$10=Parameters!$E$17)*Parameters!$I$10*1+(Parameters!$F$11=Parameters!$E$17)*Parameters!$I$11*X66+(Parameters!$F$12=Parameters!$E$17)*Parameters!$I$12*Y66)&gt;=Parameters!$B$36),((Parameters!$F$5=Parameters!$E$17)*Parameters!$I$5*N(P66)+(Parameters!$F$6=Parameters!$E$17)*Parameters!$I$6*N(Q66)+(Parameters!$F$7=Parameters!$E$17)*Parameters!$I$7*N(R66)+(Parameters!$F$8=Parameters!$E$17)*Parameters!$I$8*N(S66)+(Parameters!$F$9=Parameters!$E$17)*Parameters!$I$9*N(T66)+(Parameters!$F$10=Parameters!$E$17)*Parameters!$I$10*N(U66)+(Parameters!$F$11=Parameters!$E$17)*Parameters!$I$11*N(V66)+(Parameters!$F$12=Parameters!$E$17)*Parameters!$I$12*N(W66))/((Parameters!$F$5=Parameters!$E$17)*Parameters!$I$5*ISNUMBER(P66)+(Parameters!$F$6=Parameters!$E$17)*Parameters!$I$6*ISNUMBER(Q66)+(Parameters!$F$7=Parameters!$E$17)*Parameters!$I$7*ISNUMBER(R66)+(Parameters!$F$8=Parameters!$E$17)*Parameters!$I$8*ISNUMBER(S66)+(Parameters!$F$9=Parameters!$E$17)*Parameters!$I$9*ISNUMBER(T66)+(Parameters!$F$10=Parameters!$E$17)*Parameters!$I$10*ISNUMBER(U66)+(Parameters!$F$11=Parameters!$E$17)*Parameters!$I$11*ISNUMBER(V66)+(Parameters!$F$12=Parameters!$E$17)*Parameters!$I$12*ISNUMBER(W66)),""))</f>
        <v/>
      </c>
      <c r="AC66" s="17" t="n">
        <f aca="false">Parameters!$I$5*ISNUMBER(P66)+Parameters!$I$6*ISNUMBER(Q66)+Parameters!$I$7*ISNUMBER(R66)+Parameters!$I$8*ISNUMBER(S66)+Parameters!$I$9*ISNUMBER(T66)+Parameters!$I$10*ISNUMBER(U66)+Parameters!$I$11*ISNUMBER(V66)+Parameters!$I$12*ISNUMBER(W66)</f>
        <v>75</v>
      </c>
      <c r="AD66" s="17" t="n">
        <f aca="false">Parameters!$I$5*1+Parameters!$I$6*1+Parameters!$I$7*1+Parameters!$I$8*1+Parameters!$I$9*1+Parameters!$I$10*1+Parameters!$I$11*X66+Parameters!$I$12*Y66</f>
        <v>75</v>
      </c>
      <c r="AE66" s="18" t="n">
        <f aca="false">IF(AD66=0,"",AC66/AD66)</f>
        <v>1</v>
      </c>
      <c r="AF66" s="17" t="str">
        <f aca="false">IF(ISNUMBER(Z66),"M","")&amp;IF(ISNUMBER(AA66),"I","")&amp;IF(ISNUMBER(AB66),"O","")</f>
        <v>MI</v>
      </c>
      <c r="AG66" s="19" t="n">
        <f aca="false">IF(AND(ISNUMBER(AE66),ISNUMBER(Z66)+ISNUMBER(AA66)+ISNUMBER(AB66)&gt;=Parameters!$B$37),IF(AE66&gt;=Parameters!$B$35,100*(Parameters!$F$15*N(Z66)+Parameters!$F$16*N(AA66)+Parameters!$F$17*N(AB66))/(Parameters!$F$15*ISNUMBER(Z66)+Parameters!$F$16*ISNUMBER(AA66)+Parameters!$F$17*ISNUMBER(AB66)),""),"")</f>
        <v>77.5</v>
      </c>
      <c r="AH66" s="17" t="n">
        <f aca="false">IF(ISNUMBER(AG66),RANK(AG66,$AG$2:$AG$113),"")</f>
        <v>85</v>
      </c>
    </row>
    <row r="67" customFormat="false" ht="15" hidden="false" customHeight="false" outlineLevel="0" collapsed="false">
      <c r="A67" s="5" t="s">
        <v>357</v>
      </c>
      <c r="B67" s="5" t="s">
        <v>358</v>
      </c>
      <c r="C67" s="5" t="s">
        <v>359</v>
      </c>
      <c r="D67" s="5" t="s">
        <v>31</v>
      </c>
      <c r="E67" s="5" t="s">
        <v>44</v>
      </c>
      <c r="F67" s="5" t="s">
        <v>151</v>
      </c>
      <c r="G67" s="15"/>
      <c r="H67" s="8"/>
      <c r="I67" s="5" t="s">
        <v>57</v>
      </c>
      <c r="J67" s="5" t="s">
        <v>74</v>
      </c>
      <c r="K67" s="15"/>
      <c r="L67" s="5" t="s">
        <v>87</v>
      </c>
      <c r="M67" s="5" t="s">
        <v>157</v>
      </c>
      <c r="N67" s="5"/>
      <c r="O67" s="5"/>
      <c r="P67" s="16" t="n">
        <f aca="false">IFERROR(IF(ISNUMBER(INDEX(Parameters!$B$5:$B$23,MATCH(D67,Parameters!$A$5:$A$23,0))),INDEX(Parameters!$B$5:$B$23,MATCH(D67,Parameters!$A$5:$A$23,0)),""),"")</f>
        <v>1</v>
      </c>
      <c r="Q67" s="16" t="n">
        <f aca="false">IFERROR(IF(ISNUMBER(INDEX(Parameters!$B$5:$B$23,MATCH(E67,Parameters!$A$5:$A$23,0))),INDEX(Parameters!$B$5:$B$23,MATCH(E67,Parameters!$A$5:$A$23,0)),""),"")</f>
        <v>1</v>
      </c>
      <c r="R67" s="16" t="n">
        <f aca="false">IF(F67="","",IFERROR(MIN(Parameters!$B$33,MAX(0,Parameters!$B$32-VALUE(LEFT(F67,4))))/Parameters!$B$33,""))</f>
        <v>0.866666666666667</v>
      </c>
      <c r="S67" s="16" t="str">
        <f aca="false">IF(ISNUMBER(H67),H67,IF(G67="",IF(ISNUMBER(Parameters!$B$34),Parameters!$B$34,""),""))</f>
        <v/>
      </c>
      <c r="T67" s="16" t="n">
        <f aca="false">IFERROR(IF(ISNUMBER(INDEX(Parameters!$B$5:$B$23,MATCH(I67,Parameters!$A$5:$A$23,0))),INDEX(Parameters!$B$5:$B$23,MATCH(I67,Parameters!$A$5:$A$23,0)),""),"")</f>
        <v>0</v>
      </c>
      <c r="U67" s="16" t="n">
        <f aca="false">IFERROR(IF(ISNUMBER(INDEX(Parameters!$B$5:$B$23,MATCH(L67,Parameters!$A$5:$A$23,0))),INDEX(Parameters!$B$5:$B$23,MATCH(L67,Parameters!$A$5:$A$23,0)),""),"")</f>
        <v>0</v>
      </c>
      <c r="V67" s="16" t="str">
        <f aca="false">IFERROR(IF(ISNUMBER(INDEX(Parameters!$B$5:$B$23,MATCH(J67,Parameters!$A$5:$A$23,0))),INDEX(Parameters!$B$5:$B$23,MATCH(J67,Parameters!$A$5:$A$23,0)),""),"")</f>
        <v/>
      </c>
      <c r="W67" s="16" t="str">
        <f aca="false">IF(K67&lt;&gt;"",1,IF(COUNTIF(Parameters!$A$27:$A$28,J67)&gt;0,0,""))</f>
        <v/>
      </c>
      <c r="X67" s="17" t="n">
        <f aca="false">IF(J67="Not applicable",0,1)</f>
        <v>0</v>
      </c>
      <c r="Y67" s="17" t="n">
        <f aca="false">IF(OR(K67&lt;&gt;"",COUNTIF(Parameters!$A$27:$A$28,J67)&gt;0),1,0)</f>
        <v>0</v>
      </c>
      <c r="Z67"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67+(Parameters!$F$12=Parameters!$E$15)*Parameters!$I$12*Y67)=0,"",IF(AND(((Parameters!$F$5=Parameters!$E$15)*Parameters!$I$5*ISNUMBER(P67)+(Parameters!$F$6=Parameters!$E$15)*Parameters!$I$6*ISNUMBER(Q67)+(Parameters!$F$7=Parameters!$E$15)*Parameters!$I$7*ISNUMBER(R67)+(Parameters!$F$8=Parameters!$E$15)*Parameters!$I$8*ISNUMBER(S67)+(Parameters!$F$9=Parameters!$E$15)*Parameters!$I$9*ISNUMBER(T67)+(Parameters!$F$10=Parameters!$E$15)*Parameters!$I$10*ISNUMBER(U67)+(Parameters!$F$11=Parameters!$E$15)*Parameters!$I$11*ISNUMBER(V67)+(Parameters!$F$12=Parameters!$E$15)*Parameters!$I$12*ISNUMBER(W67))&gt;0,((Parameters!$F$5=Parameters!$E$15)*Parameters!$I$5*ISNUMBER(P67)+(Parameters!$F$6=Parameters!$E$15)*Parameters!$I$6*ISNUMBER(Q67)+(Parameters!$F$7=Parameters!$E$15)*Parameters!$I$7*ISNUMBER(R67)+(Parameters!$F$8=Parameters!$E$15)*Parameters!$I$8*ISNUMBER(S67)+(Parameters!$F$9=Parameters!$E$15)*Parameters!$I$9*ISNUMBER(T67)+(Parameters!$F$10=Parameters!$E$15)*Parameters!$I$10*ISNUMBER(U67)+(Parameters!$F$11=Parameters!$E$15)*Parameters!$I$11*ISNUMBER(V67)+(Parameters!$F$12=Parameters!$E$15)*Parameters!$I$12*ISNUMBER(W67))/((Parameters!$F$5=Parameters!$E$15)*Parameters!$I$5*1+(Parameters!$F$6=Parameters!$E$15)*Parameters!$I$6*1+(Parameters!$F$7=Parameters!$E$15)*Parameters!$I$7*1+(Parameters!$F$8=Parameters!$E$15)*Parameters!$I$8*1+(Parameters!$F$9=Parameters!$E$15)*Parameters!$I$9*1+(Parameters!$F$10=Parameters!$E$15)*Parameters!$I$10*1+(Parameters!$F$11=Parameters!$E$15)*Parameters!$I$11*X67+(Parameters!$F$12=Parameters!$E$15)*Parameters!$I$12*Y67)&gt;=Parameters!$B$36),((Parameters!$F$5=Parameters!$E$15)*Parameters!$I$5*N(P67)+(Parameters!$F$6=Parameters!$E$15)*Parameters!$I$6*N(Q67)+(Parameters!$F$7=Parameters!$E$15)*Parameters!$I$7*N(R67)+(Parameters!$F$8=Parameters!$E$15)*Parameters!$I$8*N(S67)+(Parameters!$F$9=Parameters!$E$15)*Parameters!$I$9*N(T67)+(Parameters!$F$10=Parameters!$E$15)*Parameters!$I$10*N(U67)+(Parameters!$F$11=Parameters!$E$15)*Parameters!$I$11*N(V67)+(Parameters!$F$12=Parameters!$E$15)*Parameters!$I$12*N(W67))/((Parameters!$F$5=Parameters!$E$15)*Parameters!$I$5*ISNUMBER(P67)+(Parameters!$F$6=Parameters!$E$15)*Parameters!$I$6*ISNUMBER(Q67)+(Parameters!$F$7=Parameters!$E$15)*Parameters!$I$7*ISNUMBER(R67)+(Parameters!$F$8=Parameters!$E$15)*Parameters!$I$8*ISNUMBER(S67)+(Parameters!$F$9=Parameters!$E$15)*Parameters!$I$9*ISNUMBER(T67)+(Parameters!$F$10=Parameters!$E$15)*Parameters!$I$10*ISNUMBER(U67)+(Parameters!$F$11=Parameters!$E$15)*Parameters!$I$11*ISNUMBER(V67)+(Parameters!$F$12=Parameters!$E$15)*Parameters!$I$12*ISNUMBER(W67)),""))</f>
        <v>0.986666666666667</v>
      </c>
      <c r="AA67"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67+(Parameters!$F$12=Parameters!$E$16)*Parameters!$I$12*Y67)=0,"",IF(AND(((Parameters!$F$5=Parameters!$E$16)*Parameters!$I$5*ISNUMBER(P67)+(Parameters!$F$6=Parameters!$E$16)*Parameters!$I$6*ISNUMBER(Q67)+(Parameters!$F$7=Parameters!$E$16)*Parameters!$I$7*ISNUMBER(R67)+(Parameters!$F$8=Parameters!$E$16)*Parameters!$I$8*ISNUMBER(S67)+(Parameters!$F$9=Parameters!$E$16)*Parameters!$I$9*ISNUMBER(T67)+(Parameters!$F$10=Parameters!$E$16)*Parameters!$I$10*ISNUMBER(U67)+(Parameters!$F$11=Parameters!$E$16)*Parameters!$I$11*ISNUMBER(V67)+(Parameters!$F$12=Parameters!$E$16)*Parameters!$I$12*ISNUMBER(W67))&gt;0,((Parameters!$F$5=Parameters!$E$16)*Parameters!$I$5*ISNUMBER(P67)+(Parameters!$F$6=Parameters!$E$16)*Parameters!$I$6*ISNUMBER(Q67)+(Parameters!$F$7=Parameters!$E$16)*Parameters!$I$7*ISNUMBER(R67)+(Parameters!$F$8=Parameters!$E$16)*Parameters!$I$8*ISNUMBER(S67)+(Parameters!$F$9=Parameters!$E$16)*Parameters!$I$9*ISNUMBER(T67)+(Parameters!$F$10=Parameters!$E$16)*Parameters!$I$10*ISNUMBER(U67)+(Parameters!$F$11=Parameters!$E$16)*Parameters!$I$11*ISNUMBER(V67)+(Parameters!$F$12=Parameters!$E$16)*Parameters!$I$12*ISNUMBER(W67))/((Parameters!$F$5=Parameters!$E$16)*Parameters!$I$5*1+(Parameters!$F$6=Parameters!$E$16)*Parameters!$I$6*1+(Parameters!$F$7=Parameters!$E$16)*Parameters!$I$7*1+(Parameters!$F$8=Parameters!$E$16)*Parameters!$I$8*1+(Parameters!$F$9=Parameters!$E$16)*Parameters!$I$9*1+(Parameters!$F$10=Parameters!$E$16)*Parameters!$I$10*1+(Parameters!$F$11=Parameters!$E$16)*Parameters!$I$11*X67+(Parameters!$F$12=Parameters!$E$16)*Parameters!$I$12*Y67)&gt;=Parameters!$B$36),((Parameters!$F$5=Parameters!$E$16)*Parameters!$I$5*N(P67)+(Parameters!$F$6=Parameters!$E$16)*Parameters!$I$6*N(Q67)+(Parameters!$F$7=Parameters!$E$16)*Parameters!$I$7*N(R67)+(Parameters!$F$8=Parameters!$E$16)*Parameters!$I$8*N(S67)+(Parameters!$F$9=Parameters!$E$16)*Parameters!$I$9*N(T67)+(Parameters!$F$10=Parameters!$E$16)*Parameters!$I$10*N(U67)+(Parameters!$F$11=Parameters!$E$16)*Parameters!$I$11*N(V67)+(Parameters!$F$12=Parameters!$E$16)*Parameters!$I$12*N(W67))/((Parameters!$F$5=Parameters!$E$16)*Parameters!$I$5*ISNUMBER(P67)+(Parameters!$F$6=Parameters!$E$16)*Parameters!$I$6*ISNUMBER(Q67)+(Parameters!$F$7=Parameters!$E$16)*Parameters!$I$7*ISNUMBER(R67)+(Parameters!$F$8=Parameters!$E$16)*Parameters!$I$8*ISNUMBER(S67)+(Parameters!$F$9=Parameters!$E$16)*Parameters!$I$9*ISNUMBER(T67)+(Parameters!$F$10=Parameters!$E$16)*Parameters!$I$10*ISNUMBER(U67)+(Parameters!$F$11=Parameters!$E$16)*Parameters!$I$11*ISNUMBER(V67)+(Parameters!$F$12=Parameters!$E$16)*Parameters!$I$12*ISNUMBER(W67)),""))</f>
        <v>0</v>
      </c>
      <c r="AB67"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67+(Parameters!$F$12=Parameters!$E$17)*Parameters!$I$12*Y67)=0,"",IF(AND(((Parameters!$F$5=Parameters!$E$17)*Parameters!$I$5*ISNUMBER(P67)+(Parameters!$F$6=Parameters!$E$17)*Parameters!$I$6*ISNUMBER(Q67)+(Parameters!$F$7=Parameters!$E$17)*Parameters!$I$7*ISNUMBER(R67)+(Parameters!$F$8=Parameters!$E$17)*Parameters!$I$8*ISNUMBER(S67)+(Parameters!$F$9=Parameters!$E$17)*Parameters!$I$9*ISNUMBER(T67)+(Parameters!$F$10=Parameters!$E$17)*Parameters!$I$10*ISNUMBER(U67)+(Parameters!$F$11=Parameters!$E$17)*Parameters!$I$11*ISNUMBER(V67)+(Parameters!$F$12=Parameters!$E$17)*Parameters!$I$12*ISNUMBER(W67))&gt;0,((Parameters!$F$5=Parameters!$E$17)*Parameters!$I$5*ISNUMBER(P67)+(Parameters!$F$6=Parameters!$E$17)*Parameters!$I$6*ISNUMBER(Q67)+(Parameters!$F$7=Parameters!$E$17)*Parameters!$I$7*ISNUMBER(R67)+(Parameters!$F$8=Parameters!$E$17)*Parameters!$I$8*ISNUMBER(S67)+(Parameters!$F$9=Parameters!$E$17)*Parameters!$I$9*ISNUMBER(T67)+(Parameters!$F$10=Parameters!$E$17)*Parameters!$I$10*ISNUMBER(U67)+(Parameters!$F$11=Parameters!$E$17)*Parameters!$I$11*ISNUMBER(V67)+(Parameters!$F$12=Parameters!$E$17)*Parameters!$I$12*ISNUMBER(W67))/((Parameters!$F$5=Parameters!$E$17)*Parameters!$I$5*1+(Parameters!$F$6=Parameters!$E$17)*Parameters!$I$6*1+(Parameters!$F$7=Parameters!$E$17)*Parameters!$I$7*1+(Parameters!$F$8=Parameters!$E$17)*Parameters!$I$8*1+(Parameters!$F$9=Parameters!$E$17)*Parameters!$I$9*1+(Parameters!$F$10=Parameters!$E$17)*Parameters!$I$10*1+(Parameters!$F$11=Parameters!$E$17)*Parameters!$I$11*X67+(Parameters!$F$12=Parameters!$E$17)*Parameters!$I$12*Y67)&gt;=Parameters!$B$36),((Parameters!$F$5=Parameters!$E$17)*Parameters!$I$5*N(P67)+(Parameters!$F$6=Parameters!$E$17)*Parameters!$I$6*N(Q67)+(Parameters!$F$7=Parameters!$E$17)*Parameters!$I$7*N(R67)+(Parameters!$F$8=Parameters!$E$17)*Parameters!$I$8*N(S67)+(Parameters!$F$9=Parameters!$E$17)*Parameters!$I$9*N(T67)+(Parameters!$F$10=Parameters!$E$17)*Parameters!$I$10*N(U67)+(Parameters!$F$11=Parameters!$E$17)*Parameters!$I$11*N(V67)+(Parameters!$F$12=Parameters!$E$17)*Parameters!$I$12*N(W67))/((Parameters!$F$5=Parameters!$E$17)*Parameters!$I$5*ISNUMBER(P67)+(Parameters!$F$6=Parameters!$E$17)*Parameters!$I$6*ISNUMBER(Q67)+(Parameters!$F$7=Parameters!$E$17)*Parameters!$I$7*ISNUMBER(R67)+(Parameters!$F$8=Parameters!$E$17)*Parameters!$I$8*ISNUMBER(S67)+(Parameters!$F$9=Parameters!$E$17)*Parameters!$I$9*ISNUMBER(T67)+(Parameters!$F$10=Parameters!$E$17)*Parameters!$I$10*ISNUMBER(U67)+(Parameters!$F$11=Parameters!$E$17)*Parameters!$I$11*ISNUMBER(V67)+(Parameters!$F$12=Parameters!$E$17)*Parameters!$I$12*ISNUMBER(W67)),""))</f>
        <v/>
      </c>
      <c r="AC67" s="17" t="n">
        <f aca="false">Parameters!$I$5*ISNUMBER(P67)+Parameters!$I$6*ISNUMBER(Q67)+Parameters!$I$7*ISNUMBER(R67)+Parameters!$I$8*ISNUMBER(S67)+Parameters!$I$9*ISNUMBER(T67)+Parameters!$I$10*ISNUMBER(U67)+Parameters!$I$11*ISNUMBER(V67)+Parameters!$I$12*ISNUMBER(W67)</f>
        <v>65</v>
      </c>
      <c r="AD67" s="17" t="n">
        <f aca="false">Parameters!$I$5*1+Parameters!$I$6*1+Parameters!$I$7*1+Parameters!$I$8*1+Parameters!$I$9*1+Parameters!$I$10*1+Parameters!$I$11*X67+Parameters!$I$12*Y67</f>
        <v>75</v>
      </c>
      <c r="AE67" s="18" t="n">
        <f aca="false">IF(AD67=0,"",AC67/AD67)</f>
        <v>0.866666666666667</v>
      </c>
      <c r="AF67" s="17" t="str">
        <f aca="false">IF(ISNUMBER(Z67),"M","")&amp;IF(ISNUMBER(AA67),"I","")&amp;IF(ISNUMBER(AB67),"O","")</f>
        <v>MI</v>
      </c>
      <c r="AG67" s="19" t="n">
        <f aca="false">IF(AND(ISNUMBER(AE67),ISNUMBER(Z67)+ISNUMBER(AA67)+ISNUMBER(AB67)&gt;=Parameters!$B$37),IF(AE67&gt;=Parameters!$B$35,100*(Parameters!$F$15*N(Z67)+Parameters!$F$16*N(AA67)+Parameters!$F$17*N(AB67))/(Parameters!$F$15*ISNUMBER(Z67)+Parameters!$F$16*ISNUMBER(AA67)+Parameters!$F$17*ISNUMBER(AB67)),""),"")</f>
        <v>61.6666666666667</v>
      </c>
      <c r="AH67" s="17" t="n">
        <f aca="false">IF(ISNUMBER(AG67),RANK(AG67,$AG$2:$AG$113),"")</f>
        <v>105</v>
      </c>
    </row>
    <row r="68" customFormat="false" ht="15" hidden="false" customHeight="false" outlineLevel="0" collapsed="false">
      <c r="A68" s="5" t="s">
        <v>360</v>
      </c>
      <c r="B68" s="5" t="s">
        <v>361</v>
      </c>
      <c r="C68" s="5" t="s">
        <v>362</v>
      </c>
      <c r="D68" s="5" t="s">
        <v>31</v>
      </c>
      <c r="E68" s="5" t="s">
        <v>44</v>
      </c>
      <c r="F68" s="5" t="s">
        <v>182</v>
      </c>
      <c r="G68" s="15"/>
      <c r="H68" s="8"/>
      <c r="I68" s="5" t="s">
        <v>57</v>
      </c>
      <c r="J68" s="5" t="s">
        <v>70</v>
      </c>
      <c r="K68" s="15"/>
      <c r="L68" s="5" t="s">
        <v>79</v>
      </c>
      <c r="M68" s="5" t="s">
        <v>136</v>
      </c>
      <c r="N68" s="5"/>
      <c r="O68" s="5"/>
      <c r="P68" s="16" t="n">
        <f aca="false">IFERROR(IF(ISNUMBER(INDEX(Parameters!$B$5:$B$23,MATCH(D68,Parameters!$A$5:$A$23,0))),INDEX(Parameters!$B$5:$B$23,MATCH(D68,Parameters!$A$5:$A$23,0)),""),"")</f>
        <v>1</v>
      </c>
      <c r="Q68" s="16" t="n">
        <f aca="false">IFERROR(IF(ISNUMBER(INDEX(Parameters!$B$5:$B$23,MATCH(E68,Parameters!$A$5:$A$23,0))),INDEX(Parameters!$B$5:$B$23,MATCH(E68,Parameters!$A$5:$A$23,0)),""),"")</f>
        <v>1</v>
      </c>
      <c r="R68" s="16" t="n">
        <f aca="false">IF(F68="","",IFERROR(MIN(Parameters!$B$33,MAX(0,Parameters!$B$32-VALUE(LEFT(F68,4))))/Parameters!$B$33,""))</f>
        <v>1</v>
      </c>
      <c r="S68" s="16" t="str">
        <f aca="false">IF(ISNUMBER(H68),H68,IF(G68="",IF(ISNUMBER(Parameters!$B$34),Parameters!$B$34,""),""))</f>
        <v/>
      </c>
      <c r="T68" s="16" t="n">
        <f aca="false">IFERROR(IF(ISNUMBER(INDEX(Parameters!$B$5:$B$23,MATCH(I68,Parameters!$A$5:$A$23,0))),INDEX(Parameters!$B$5:$B$23,MATCH(I68,Parameters!$A$5:$A$23,0)),""),"")</f>
        <v>0</v>
      </c>
      <c r="U68" s="16" t="n">
        <f aca="false">IFERROR(IF(ISNUMBER(INDEX(Parameters!$B$5:$B$23,MATCH(L68,Parameters!$A$5:$A$23,0))),INDEX(Parameters!$B$5:$B$23,MATCH(L68,Parameters!$A$5:$A$23,0)),""),"")</f>
        <v>1</v>
      </c>
      <c r="V68" s="16" t="n">
        <f aca="false">IFERROR(IF(ISNUMBER(INDEX(Parameters!$B$5:$B$23,MATCH(J68,Parameters!$A$5:$A$23,0))),INDEX(Parameters!$B$5:$B$23,MATCH(J68,Parameters!$A$5:$A$23,0)),""),"")</f>
        <v>1</v>
      </c>
      <c r="W68" s="16" t="n">
        <f aca="false">IF(K68&lt;&gt;"",1,IF(COUNTIF(Parameters!$A$27:$A$28,J68)&gt;0,0,""))</f>
        <v>0</v>
      </c>
      <c r="X68" s="17" t="n">
        <f aca="false">IF(J68="Not applicable",0,1)</f>
        <v>1</v>
      </c>
      <c r="Y68" s="17" t="n">
        <f aca="false">IF(OR(K68&lt;&gt;"",COUNTIF(Parameters!$A$27:$A$28,J68)&gt;0),1,0)</f>
        <v>1</v>
      </c>
      <c r="Z68"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68+(Parameters!$F$12=Parameters!$E$15)*Parameters!$I$12*Y68)=0,"",IF(AND(((Parameters!$F$5=Parameters!$E$15)*Parameters!$I$5*ISNUMBER(P68)+(Parameters!$F$6=Parameters!$E$15)*Parameters!$I$6*ISNUMBER(Q68)+(Parameters!$F$7=Parameters!$E$15)*Parameters!$I$7*ISNUMBER(R68)+(Parameters!$F$8=Parameters!$E$15)*Parameters!$I$8*ISNUMBER(S68)+(Parameters!$F$9=Parameters!$E$15)*Parameters!$I$9*ISNUMBER(T68)+(Parameters!$F$10=Parameters!$E$15)*Parameters!$I$10*ISNUMBER(U68)+(Parameters!$F$11=Parameters!$E$15)*Parameters!$I$11*ISNUMBER(V68)+(Parameters!$F$12=Parameters!$E$15)*Parameters!$I$12*ISNUMBER(W68))&gt;0,((Parameters!$F$5=Parameters!$E$15)*Parameters!$I$5*ISNUMBER(P68)+(Parameters!$F$6=Parameters!$E$15)*Parameters!$I$6*ISNUMBER(Q68)+(Parameters!$F$7=Parameters!$E$15)*Parameters!$I$7*ISNUMBER(R68)+(Parameters!$F$8=Parameters!$E$15)*Parameters!$I$8*ISNUMBER(S68)+(Parameters!$F$9=Parameters!$E$15)*Parameters!$I$9*ISNUMBER(T68)+(Parameters!$F$10=Parameters!$E$15)*Parameters!$I$10*ISNUMBER(U68)+(Parameters!$F$11=Parameters!$E$15)*Parameters!$I$11*ISNUMBER(V68)+(Parameters!$F$12=Parameters!$E$15)*Parameters!$I$12*ISNUMBER(W68))/((Parameters!$F$5=Parameters!$E$15)*Parameters!$I$5*1+(Parameters!$F$6=Parameters!$E$15)*Parameters!$I$6*1+(Parameters!$F$7=Parameters!$E$15)*Parameters!$I$7*1+(Parameters!$F$8=Parameters!$E$15)*Parameters!$I$8*1+(Parameters!$F$9=Parameters!$E$15)*Parameters!$I$9*1+(Parameters!$F$10=Parameters!$E$15)*Parameters!$I$10*1+(Parameters!$F$11=Parameters!$E$15)*Parameters!$I$11*X68+(Parameters!$F$12=Parameters!$E$15)*Parameters!$I$12*Y68)&gt;=Parameters!$B$36),((Parameters!$F$5=Parameters!$E$15)*Parameters!$I$5*N(P68)+(Parameters!$F$6=Parameters!$E$15)*Parameters!$I$6*N(Q68)+(Parameters!$F$7=Parameters!$E$15)*Parameters!$I$7*N(R68)+(Parameters!$F$8=Parameters!$E$15)*Parameters!$I$8*N(S68)+(Parameters!$F$9=Parameters!$E$15)*Parameters!$I$9*N(T68)+(Parameters!$F$10=Parameters!$E$15)*Parameters!$I$10*N(U68)+(Parameters!$F$11=Parameters!$E$15)*Parameters!$I$11*N(V68)+(Parameters!$F$12=Parameters!$E$15)*Parameters!$I$12*N(W68))/((Parameters!$F$5=Parameters!$E$15)*Parameters!$I$5*ISNUMBER(P68)+(Parameters!$F$6=Parameters!$E$15)*Parameters!$I$6*ISNUMBER(Q68)+(Parameters!$F$7=Parameters!$E$15)*Parameters!$I$7*ISNUMBER(R68)+(Parameters!$F$8=Parameters!$E$15)*Parameters!$I$8*ISNUMBER(S68)+(Parameters!$F$9=Parameters!$E$15)*Parameters!$I$9*ISNUMBER(T68)+(Parameters!$F$10=Parameters!$E$15)*Parameters!$I$10*ISNUMBER(U68)+(Parameters!$F$11=Parameters!$E$15)*Parameters!$I$11*ISNUMBER(V68)+(Parameters!$F$12=Parameters!$E$15)*Parameters!$I$12*ISNUMBER(W68)),""))</f>
        <v>1</v>
      </c>
      <c r="AA68"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68+(Parameters!$F$12=Parameters!$E$16)*Parameters!$I$12*Y68)=0,"",IF(AND(((Parameters!$F$5=Parameters!$E$16)*Parameters!$I$5*ISNUMBER(P68)+(Parameters!$F$6=Parameters!$E$16)*Parameters!$I$6*ISNUMBER(Q68)+(Parameters!$F$7=Parameters!$E$16)*Parameters!$I$7*ISNUMBER(R68)+(Parameters!$F$8=Parameters!$E$16)*Parameters!$I$8*ISNUMBER(S68)+(Parameters!$F$9=Parameters!$E$16)*Parameters!$I$9*ISNUMBER(T68)+(Parameters!$F$10=Parameters!$E$16)*Parameters!$I$10*ISNUMBER(U68)+(Parameters!$F$11=Parameters!$E$16)*Parameters!$I$11*ISNUMBER(V68)+(Parameters!$F$12=Parameters!$E$16)*Parameters!$I$12*ISNUMBER(W68))&gt;0,((Parameters!$F$5=Parameters!$E$16)*Parameters!$I$5*ISNUMBER(P68)+(Parameters!$F$6=Parameters!$E$16)*Parameters!$I$6*ISNUMBER(Q68)+(Parameters!$F$7=Parameters!$E$16)*Parameters!$I$7*ISNUMBER(R68)+(Parameters!$F$8=Parameters!$E$16)*Parameters!$I$8*ISNUMBER(S68)+(Parameters!$F$9=Parameters!$E$16)*Parameters!$I$9*ISNUMBER(T68)+(Parameters!$F$10=Parameters!$E$16)*Parameters!$I$10*ISNUMBER(U68)+(Parameters!$F$11=Parameters!$E$16)*Parameters!$I$11*ISNUMBER(V68)+(Parameters!$F$12=Parameters!$E$16)*Parameters!$I$12*ISNUMBER(W68))/((Parameters!$F$5=Parameters!$E$16)*Parameters!$I$5*1+(Parameters!$F$6=Parameters!$E$16)*Parameters!$I$6*1+(Parameters!$F$7=Parameters!$E$16)*Parameters!$I$7*1+(Parameters!$F$8=Parameters!$E$16)*Parameters!$I$8*1+(Parameters!$F$9=Parameters!$E$16)*Parameters!$I$9*1+(Parameters!$F$10=Parameters!$E$16)*Parameters!$I$10*1+(Parameters!$F$11=Parameters!$E$16)*Parameters!$I$11*X68+(Parameters!$F$12=Parameters!$E$16)*Parameters!$I$12*Y68)&gt;=Parameters!$B$36),((Parameters!$F$5=Parameters!$E$16)*Parameters!$I$5*N(P68)+(Parameters!$F$6=Parameters!$E$16)*Parameters!$I$6*N(Q68)+(Parameters!$F$7=Parameters!$E$16)*Parameters!$I$7*N(R68)+(Parameters!$F$8=Parameters!$E$16)*Parameters!$I$8*N(S68)+(Parameters!$F$9=Parameters!$E$16)*Parameters!$I$9*N(T68)+(Parameters!$F$10=Parameters!$E$16)*Parameters!$I$10*N(U68)+(Parameters!$F$11=Parameters!$E$16)*Parameters!$I$11*N(V68)+(Parameters!$F$12=Parameters!$E$16)*Parameters!$I$12*N(W68))/((Parameters!$F$5=Parameters!$E$16)*Parameters!$I$5*ISNUMBER(P68)+(Parameters!$F$6=Parameters!$E$16)*Parameters!$I$6*ISNUMBER(Q68)+(Parameters!$F$7=Parameters!$E$16)*Parameters!$I$7*ISNUMBER(R68)+(Parameters!$F$8=Parameters!$E$16)*Parameters!$I$8*ISNUMBER(S68)+(Parameters!$F$9=Parameters!$E$16)*Parameters!$I$9*ISNUMBER(T68)+(Parameters!$F$10=Parameters!$E$16)*Parameters!$I$10*ISNUMBER(U68)+(Parameters!$F$11=Parameters!$E$16)*Parameters!$I$11*ISNUMBER(V68)+(Parameters!$F$12=Parameters!$E$16)*Parameters!$I$12*ISNUMBER(W68)),""))</f>
        <v>0.666666666666667</v>
      </c>
      <c r="AB68"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68+(Parameters!$F$12=Parameters!$E$17)*Parameters!$I$12*Y68)=0,"",IF(AND(((Parameters!$F$5=Parameters!$E$17)*Parameters!$I$5*ISNUMBER(P68)+(Parameters!$F$6=Parameters!$E$17)*Parameters!$I$6*ISNUMBER(Q68)+(Parameters!$F$7=Parameters!$E$17)*Parameters!$I$7*ISNUMBER(R68)+(Parameters!$F$8=Parameters!$E$17)*Parameters!$I$8*ISNUMBER(S68)+(Parameters!$F$9=Parameters!$E$17)*Parameters!$I$9*ISNUMBER(T68)+(Parameters!$F$10=Parameters!$E$17)*Parameters!$I$10*ISNUMBER(U68)+(Parameters!$F$11=Parameters!$E$17)*Parameters!$I$11*ISNUMBER(V68)+(Parameters!$F$12=Parameters!$E$17)*Parameters!$I$12*ISNUMBER(W68))&gt;0,((Parameters!$F$5=Parameters!$E$17)*Parameters!$I$5*ISNUMBER(P68)+(Parameters!$F$6=Parameters!$E$17)*Parameters!$I$6*ISNUMBER(Q68)+(Parameters!$F$7=Parameters!$E$17)*Parameters!$I$7*ISNUMBER(R68)+(Parameters!$F$8=Parameters!$E$17)*Parameters!$I$8*ISNUMBER(S68)+(Parameters!$F$9=Parameters!$E$17)*Parameters!$I$9*ISNUMBER(T68)+(Parameters!$F$10=Parameters!$E$17)*Parameters!$I$10*ISNUMBER(U68)+(Parameters!$F$11=Parameters!$E$17)*Parameters!$I$11*ISNUMBER(V68)+(Parameters!$F$12=Parameters!$E$17)*Parameters!$I$12*ISNUMBER(W68))/((Parameters!$F$5=Parameters!$E$17)*Parameters!$I$5*1+(Parameters!$F$6=Parameters!$E$17)*Parameters!$I$6*1+(Parameters!$F$7=Parameters!$E$17)*Parameters!$I$7*1+(Parameters!$F$8=Parameters!$E$17)*Parameters!$I$8*1+(Parameters!$F$9=Parameters!$E$17)*Parameters!$I$9*1+(Parameters!$F$10=Parameters!$E$17)*Parameters!$I$10*1+(Parameters!$F$11=Parameters!$E$17)*Parameters!$I$11*X68+(Parameters!$F$12=Parameters!$E$17)*Parameters!$I$12*Y68)&gt;=Parameters!$B$36),((Parameters!$F$5=Parameters!$E$17)*Parameters!$I$5*N(P68)+(Parameters!$F$6=Parameters!$E$17)*Parameters!$I$6*N(Q68)+(Parameters!$F$7=Parameters!$E$17)*Parameters!$I$7*N(R68)+(Parameters!$F$8=Parameters!$E$17)*Parameters!$I$8*N(S68)+(Parameters!$F$9=Parameters!$E$17)*Parameters!$I$9*N(T68)+(Parameters!$F$10=Parameters!$E$17)*Parameters!$I$10*N(U68)+(Parameters!$F$11=Parameters!$E$17)*Parameters!$I$11*N(V68)+(Parameters!$F$12=Parameters!$E$17)*Parameters!$I$12*N(W68))/((Parameters!$F$5=Parameters!$E$17)*Parameters!$I$5*ISNUMBER(P68)+(Parameters!$F$6=Parameters!$E$17)*Parameters!$I$6*ISNUMBER(Q68)+(Parameters!$F$7=Parameters!$E$17)*Parameters!$I$7*ISNUMBER(R68)+(Parameters!$F$8=Parameters!$E$17)*Parameters!$I$8*ISNUMBER(S68)+(Parameters!$F$9=Parameters!$E$17)*Parameters!$I$9*ISNUMBER(T68)+(Parameters!$F$10=Parameters!$E$17)*Parameters!$I$10*ISNUMBER(U68)+(Parameters!$F$11=Parameters!$E$17)*Parameters!$I$11*ISNUMBER(V68)+(Parameters!$F$12=Parameters!$E$17)*Parameters!$I$12*ISNUMBER(W68)),""))</f>
        <v>0.5</v>
      </c>
      <c r="AC68" s="17" t="n">
        <f aca="false">Parameters!$I$5*ISNUMBER(P68)+Parameters!$I$6*ISNUMBER(Q68)+Parameters!$I$7*ISNUMBER(R68)+Parameters!$I$8*ISNUMBER(S68)+Parameters!$I$9*ISNUMBER(T68)+Parameters!$I$10*ISNUMBER(U68)+Parameters!$I$11*ISNUMBER(V68)+Parameters!$I$12*ISNUMBER(W68)</f>
        <v>85</v>
      </c>
      <c r="AD68" s="17" t="n">
        <f aca="false">Parameters!$I$5*1+Parameters!$I$6*1+Parameters!$I$7*1+Parameters!$I$8*1+Parameters!$I$9*1+Parameters!$I$10*1+Parameters!$I$11*X68+Parameters!$I$12*Y68</f>
        <v>95</v>
      </c>
      <c r="AE68" s="18" t="n">
        <f aca="false">IF(AD68=0,"",AC68/AD68)</f>
        <v>0.894736842105263</v>
      </c>
      <c r="AF68" s="17" t="str">
        <f aca="false">IF(ISNUMBER(Z68),"M","")&amp;IF(ISNUMBER(AA68),"I","")&amp;IF(ISNUMBER(AB68),"O","")</f>
        <v>MIO</v>
      </c>
      <c r="AG68" s="19" t="n">
        <f aca="false">IF(AND(ISNUMBER(AE68),ISNUMBER(Z68)+ISNUMBER(AA68)+ISNUMBER(AB68)&gt;=Parameters!$B$37),IF(AE68&gt;=Parameters!$B$35,100*(Parameters!$F$15*N(Z68)+Parameters!$F$16*N(AA68)+Parameters!$F$17*N(AB68))/(Parameters!$F$15*ISNUMBER(Z68)+Parameters!$F$16*ISNUMBER(AA68)+Parameters!$F$17*ISNUMBER(AB68)),""),"")</f>
        <v>80</v>
      </c>
      <c r="AH68" s="17" t="n">
        <f aca="false">IF(ISNUMBER(AG68),RANK(AG68,$AG$2:$AG$113),"")</f>
        <v>73</v>
      </c>
    </row>
    <row r="69" customFormat="false" ht="15" hidden="false" customHeight="false" outlineLevel="0" collapsed="false">
      <c r="A69" s="5" t="s">
        <v>363</v>
      </c>
      <c r="B69" s="5" t="s">
        <v>364</v>
      </c>
      <c r="C69" s="5" t="s">
        <v>365</v>
      </c>
      <c r="D69" s="5" t="s">
        <v>31</v>
      </c>
      <c r="E69" s="5" t="s">
        <v>44</v>
      </c>
      <c r="F69" s="5" t="s">
        <v>161</v>
      </c>
      <c r="G69" s="15" t="s">
        <v>366</v>
      </c>
      <c r="H69" s="8" t="n">
        <v>1</v>
      </c>
      <c r="I69" s="5" t="s">
        <v>57</v>
      </c>
      <c r="J69" s="5" t="s">
        <v>66</v>
      </c>
      <c r="K69" s="15"/>
      <c r="L69" s="5" t="s">
        <v>87</v>
      </c>
      <c r="M69" s="5" t="s">
        <v>136</v>
      </c>
      <c r="N69" s="5" t="s">
        <v>142</v>
      </c>
      <c r="O69" s="5" t="s">
        <v>173</v>
      </c>
      <c r="P69" s="16" t="n">
        <f aca="false">IFERROR(IF(ISNUMBER(INDEX(Parameters!$B$5:$B$23,MATCH(D69,Parameters!$A$5:$A$23,0))),INDEX(Parameters!$B$5:$B$23,MATCH(D69,Parameters!$A$5:$A$23,0)),""),"")</f>
        <v>1</v>
      </c>
      <c r="Q69" s="16" t="n">
        <f aca="false">IFERROR(IF(ISNUMBER(INDEX(Parameters!$B$5:$B$23,MATCH(E69,Parameters!$A$5:$A$23,0))),INDEX(Parameters!$B$5:$B$23,MATCH(E69,Parameters!$A$5:$A$23,0)),""),"")</f>
        <v>1</v>
      </c>
      <c r="R69" s="16" t="n">
        <f aca="false">IF(F69="","",IFERROR(MIN(Parameters!$B$33,MAX(0,Parameters!$B$32-VALUE(LEFT(F69,4))))/Parameters!$B$33,""))</f>
        <v>1</v>
      </c>
      <c r="S69" s="16" t="n">
        <f aca="false">IF(ISNUMBER(H69),H69,IF(G69="",IF(ISNUMBER(Parameters!$B$34),Parameters!$B$34,""),""))</f>
        <v>1</v>
      </c>
      <c r="T69" s="16" t="n">
        <f aca="false">IFERROR(IF(ISNUMBER(INDEX(Parameters!$B$5:$B$23,MATCH(I69,Parameters!$A$5:$A$23,0))),INDEX(Parameters!$B$5:$B$23,MATCH(I69,Parameters!$A$5:$A$23,0)),""),"")</f>
        <v>0</v>
      </c>
      <c r="U69" s="16" t="n">
        <f aca="false">IFERROR(IF(ISNUMBER(INDEX(Parameters!$B$5:$B$23,MATCH(L69,Parameters!$A$5:$A$23,0))),INDEX(Parameters!$B$5:$B$23,MATCH(L69,Parameters!$A$5:$A$23,0)),""),"")</f>
        <v>0</v>
      </c>
      <c r="V69" s="16" t="n">
        <f aca="false">IFERROR(IF(ISNUMBER(INDEX(Parameters!$B$5:$B$23,MATCH(J69,Parameters!$A$5:$A$23,0))),INDEX(Parameters!$B$5:$B$23,MATCH(J69,Parameters!$A$5:$A$23,0)),""),"")</f>
        <v>1</v>
      </c>
      <c r="W69" s="16" t="str">
        <f aca="false">IF(K69&lt;&gt;"",1,IF(COUNTIF(Parameters!$A$27:$A$28,J69)&gt;0,0,""))</f>
        <v/>
      </c>
      <c r="X69" s="17" t="n">
        <f aca="false">IF(J69="Not applicable",0,1)</f>
        <v>1</v>
      </c>
      <c r="Y69" s="17" t="n">
        <f aca="false">IF(OR(K69&lt;&gt;"",COUNTIF(Parameters!$A$27:$A$28,J69)&gt;0),1,0)</f>
        <v>0</v>
      </c>
      <c r="Z69"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69+(Parameters!$F$12=Parameters!$E$15)*Parameters!$I$12*Y69)=0,"",IF(AND(((Parameters!$F$5=Parameters!$E$15)*Parameters!$I$5*ISNUMBER(P69)+(Parameters!$F$6=Parameters!$E$15)*Parameters!$I$6*ISNUMBER(Q69)+(Parameters!$F$7=Parameters!$E$15)*Parameters!$I$7*ISNUMBER(R69)+(Parameters!$F$8=Parameters!$E$15)*Parameters!$I$8*ISNUMBER(S69)+(Parameters!$F$9=Parameters!$E$15)*Parameters!$I$9*ISNUMBER(T69)+(Parameters!$F$10=Parameters!$E$15)*Parameters!$I$10*ISNUMBER(U69)+(Parameters!$F$11=Parameters!$E$15)*Parameters!$I$11*ISNUMBER(V69)+(Parameters!$F$12=Parameters!$E$15)*Parameters!$I$12*ISNUMBER(W69))&gt;0,((Parameters!$F$5=Parameters!$E$15)*Parameters!$I$5*ISNUMBER(P69)+(Parameters!$F$6=Parameters!$E$15)*Parameters!$I$6*ISNUMBER(Q69)+(Parameters!$F$7=Parameters!$E$15)*Parameters!$I$7*ISNUMBER(R69)+(Parameters!$F$8=Parameters!$E$15)*Parameters!$I$8*ISNUMBER(S69)+(Parameters!$F$9=Parameters!$E$15)*Parameters!$I$9*ISNUMBER(T69)+(Parameters!$F$10=Parameters!$E$15)*Parameters!$I$10*ISNUMBER(U69)+(Parameters!$F$11=Parameters!$E$15)*Parameters!$I$11*ISNUMBER(V69)+(Parameters!$F$12=Parameters!$E$15)*Parameters!$I$12*ISNUMBER(W69))/((Parameters!$F$5=Parameters!$E$15)*Parameters!$I$5*1+(Parameters!$F$6=Parameters!$E$15)*Parameters!$I$6*1+(Parameters!$F$7=Parameters!$E$15)*Parameters!$I$7*1+(Parameters!$F$8=Parameters!$E$15)*Parameters!$I$8*1+(Parameters!$F$9=Parameters!$E$15)*Parameters!$I$9*1+(Parameters!$F$10=Parameters!$E$15)*Parameters!$I$10*1+(Parameters!$F$11=Parameters!$E$15)*Parameters!$I$11*X69+(Parameters!$F$12=Parameters!$E$15)*Parameters!$I$12*Y69)&gt;=Parameters!$B$36),((Parameters!$F$5=Parameters!$E$15)*Parameters!$I$5*N(P69)+(Parameters!$F$6=Parameters!$E$15)*Parameters!$I$6*N(Q69)+(Parameters!$F$7=Parameters!$E$15)*Parameters!$I$7*N(R69)+(Parameters!$F$8=Parameters!$E$15)*Parameters!$I$8*N(S69)+(Parameters!$F$9=Parameters!$E$15)*Parameters!$I$9*N(T69)+(Parameters!$F$10=Parameters!$E$15)*Parameters!$I$10*N(U69)+(Parameters!$F$11=Parameters!$E$15)*Parameters!$I$11*N(V69)+(Parameters!$F$12=Parameters!$E$15)*Parameters!$I$12*N(W69))/((Parameters!$F$5=Parameters!$E$15)*Parameters!$I$5*ISNUMBER(P69)+(Parameters!$F$6=Parameters!$E$15)*Parameters!$I$6*ISNUMBER(Q69)+(Parameters!$F$7=Parameters!$E$15)*Parameters!$I$7*ISNUMBER(R69)+(Parameters!$F$8=Parameters!$E$15)*Parameters!$I$8*ISNUMBER(S69)+(Parameters!$F$9=Parameters!$E$15)*Parameters!$I$9*ISNUMBER(T69)+(Parameters!$F$10=Parameters!$E$15)*Parameters!$I$10*ISNUMBER(U69)+(Parameters!$F$11=Parameters!$E$15)*Parameters!$I$11*ISNUMBER(V69)+(Parameters!$F$12=Parameters!$E$15)*Parameters!$I$12*ISNUMBER(W69)),""))</f>
        <v>1</v>
      </c>
      <c r="AA69"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69+(Parameters!$F$12=Parameters!$E$16)*Parameters!$I$12*Y69)=0,"",IF(AND(((Parameters!$F$5=Parameters!$E$16)*Parameters!$I$5*ISNUMBER(P69)+(Parameters!$F$6=Parameters!$E$16)*Parameters!$I$6*ISNUMBER(Q69)+(Parameters!$F$7=Parameters!$E$16)*Parameters!$I$7*ISNUMBER(R69)+(Parameters!$F$8=Parameters!$E$16)*Parameters!$I$8*ISNUMBER(S69)+(Parameters!$F$9=Parameters!$E$16)*Parameters!$I$9*ISNUMBER(T69)+(Parameters!$F$10=Parameters!$E$16)*Parameters!$I$10*ISNUMBER(U69)+(Parameters!$F$11=Parameters!$E$16)*Parameters!$I$11*ISNUMBER(V69)+(Parameters!$F$12=Parameters!$E$16)*Parameters!$I$12*ISNUMBER(W69))&gt;0,((Parameters!$F$5=Parameters!$E$16)*Parameters!$I$5*ISNUMBER(P69)+(Parameters!$F$6=Parameters!$E$16)*Parameters!$I$6*ISNUMBER(Q69)+(Parameters!$F$7=Parameters!$E$16)*Parameters!$I$7*ISNUMBER(R69)+(Parameters!$F$8=Parameters!$E$16)*Parameters!$I$8*ISNUMBER(S69)+(Parameters!$F$9=Parameters!$E$16)*Parameters!$I$9*ISNUMBER(T69)+(Parameters!$F$10=Parameters!$E$16)*Parameters!$I$10*ISNUMBER(U69)+(Parameters!$F$11=Parameters!$E$16)*Parameters!$I$11*ISNUMBER(V69)+(Parameters!$F$12=Parameters!$E$16)*Parameters!$I$12*ISNUMBER(W69))/((Parameters!$F$5=Parameters!$E$16)*Parameters!$I$5*1+(Parameters!$F$6=Parameters!$E$16)*Parameters!$I$6*1+(Parameters!$F$7=Parameters!$E$16)*Parameters!$I$7*1+(Parameters!$F$8=Parameters!$E$16)*Parameters!$I$8*1+(Parameters!$F$9=Parameters!$E$16)*Parameters!$I$9*1+(Parameters!$F$10=Parameters!$E$16)*Parameters!$I$10*1+(Parameters!$F$11=Parameters!$E$16)*Parameters!$I$11*X69+(Parameters!$F$12=Parameters!$E$16)*Parameters!$I$12*Y69)&gt;=Parameters!$B$36),((Parameters!$F$5=Parameters!$E$16)*Parameters!$I$5*N(P69)+(Parameters!$F$6=Parameters!$E$16)*Parameters!$I$6*N(Q69)+(Parameters!$F$7=Parameters!$E$16)*Parameters!$I$7*N(R69)+(Parameters!$F$8=Parameters!$E$16)*Parameters!$I$8*N(S69)+(Parameters!$F$9=Parameters!$E$16)*Parameters!$I$9*N(T69)+(Parameters!$F$10=Parameters!$E$16)*Parameters!$I$10*N(U69)+(Parameters!$F$11=Parameters!$E$16)*Parameters!$I$11*N(V69)+(Parameters!$F$12=Parameters!$E$16)*Parameters!$I$12*N(W69))/((Parameters!$F$5=Parameters!$E$16)*Parameters!$I$5*ISNUMBER(P69)+(Parameters!$F$6=Parameters!$E$16)*Parameters!$I$6*ISNUMBER(Q69)+(Parameters!$F$7=Parameters!$E$16)*Parameters!$I$7*ISNUMBER(R69)+(Parameters!$F$8=Parameters!$E$16)*Parameters!$I$8*ISNUMBER(S69)+(Parameters!$F$9=Parameters!$E$16)*Parameters!$I$9*ISNUMBER(T69)+(Parameters!$F$10=Parameters!$E$16)*Parameters!$I$10*ISNUMBER(U69)+(Parameters!$F$11=Parameters!$E$16)*Parameters!$I$11*ISNUMBER(V69)+(Parameters!$F$12=Parameters!$E$16)*Parameters!$I$12*ISNUMBER(W69)),""))</f>
        <v>0.4</v>
      </c>
      <c r="AB69"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69+(Parameters!$F$12=Parameters!$E$17)*Parameters!$I$12*Y69)=0,"",IF(AND(((Parameters!$F$5=Parameters!$E$17)*Parameters!$I$5*ISNUMBER(P69)+(Parameters!$F$6=Parameters!$E$17)*Parameters!$I$6*ISNUMBER(Q69)+(Parameters!$F$7=Parameters!$E$17)*Parameters!$I$7*ISNUMBER(R69)+(Parameters!$F$8=Parameters!$E$17)*Parameters!$I$8*ISNUMBER(S69)+(Parameters!$F$9=Parameters!$E$17)*Parameters!$I$9*ISNUMBER(T69)+(Parameters!$F$10=Parameters!$E$17)*Parameters!$I$10*ISNUMBER(U69)+(Parameters!$F$11=Parameters!$E$17)*Parameters!$I$11*ISNUMBER(V69)+(Parameters!$F$12=Parameters!$E$17)*Parameters!$I$12*ISNUMBER(W69))&gt;0,((Parameters!$F$5=Parameters!$E$17)*Parameters!$I$5*ISNUMBER(P69)+(Parameters!$F$6=Parameters!$E$17)*Parameters!$I$6*ISNUMBER(Q69)+(Parameters!$F$7=Parameters!$E$17)*Parameters!$I$7*ISNUMBER(R69)+(Parameters!$F$8=Parameters!$E$17)*Parameters!$I$8*ISNUMBER(S69)+(Parameters!$F$9=Parameters!$E$17)*Parameters!$I$9*ISNUMBER(T69)+(Parameters!$F$10=Parameters!$E$17)*Parameters!$I$10*ISNUMBER(U69)+(Parameters!$F$11=Parameters!$E$17)*Parameters!$I$11*ISNUMBER(V69)+(Parameters!$F$12=Parameters!$E$17)*Parameters!$I$12*ISNUMBER(W69))/((Parameters!$F$5=Parameters!$E$17)*Parameters!$I$5*1+(Parameters!$F$6=Parameters!$E$17)*Parameters!$I$6*1+(Parameters!$F$7=Parameters!$E$17)*Parameters!$I$7*1+(Parameters!$F$8=Parameters!$E$17)*Parameters!$I$8*1+(Parameters!$F$9=Parameters!$E$17)*Parameters!$I$9*1+(Parameters!$F$10=Parameters!$E$17)*Parameters!$I$10*1+(Parameters!$F$11=Parameters!$E$17)*Parameters!$I$11*X69+(Parameters!$F$12=Parameters!$E$17)*Parameters!$I$12*Y69)&gt;=Parameters!$B$36),((Parameters!$F$5=Parameters!$E$17)*Parameters!$I$5*N(P69)+(Parameters!$F$6=Parameters!$E$17)*Parameters!$I$6*N(Q69)+(Parameters!$F$7=Parameters!$E$17)*Parameters!$I$7*N(R69)+(Parameters!$F$8=Parameters!$E$17)*Parameters!$I$8*N(S69)+(Parameters!$F$9=Parameters!$E$17)*Parameters!$I$9*N(T69)+(Parameters!$F$10=Parameters!$E$17)*Parameters!$I$10*N(U69)+(Parameters!$F$11=Parameters!$E$17)*Parameters!$I$11*N(V69)+(Parameters!$F$12=Parameters!$E$17)*Parameters!$I$12*N(W69))/((Parameters!$F$5=Parameters!$E$17)*Parameters!$I$5*ISNUMBER(P69)+(Parameters!$F$6=Parameters!$E$17)*Parameters!$I$6*ISNUMBER(Q69)+(Parameters!$F$7=Parameters!$E$17)*Parameters!$I$7*ISNUMBER(R69)+(Parameters!$F$8=Parameters!$E$17)*Parameters!$I$8*ISNUMBER(S69)+(Parameters!$F$9=Parameters!$E$17)*Parameters!$I$9*ISNUMBER(T69)+(Parameters!$F$10=Parameters!$E$17)*Parameters!$I$10*ISNUMBER(U69)+(Parameters!$F$11=Parameters!$E$17)*Parameters!$I$11*ISNUMBER(V69)+(Parameters!$F$12=Parameters!$E$17)*Parameters!$I$12*ISNUMBER(W69)),""))</f>
        <v>1</v>
      </c>
      <c r="AC69" s="17" t="n">
        <f aca="false">Parameters!$I$5*ISNUMBER(P69)+Parameters!$I$6*ISNUMBER(Q69)+Parameters!$I$7*ISNUMBER(R69)+Parameters!$I$8*ISNUMBER(S69)+Parameters!$I$9*ISNUMBER(T69)+Parameters!$I$10*ISNUMBER(U69)+Parameters!$I$11*ISNUMBER(V69)+Parameters!$I$12*ISNUMBER(W69)</f>
        <v>85</v>
      </c>
      <c r="AD69" s="17" t="n">
        <f aca="false">Parameters!$I$5*1+Parameters!$I$6*1+Parameters!$I$7*1+Parameters!$I$8*1+Parameters!$I$9*1+Parameters!$I$10*1+Parameters!$I$11*X69+Parameters!$I$12*Y69</f>
        <v>85</v>
      </c>
      <c r="AE69" s="18" t="n">
        <f aca="false">IF(AD69=0,"",AC69/AD69)</f>
        <v>1</v>
      </c>
      <c r="AF69" s="17" t="str">
        <f aca="false">IF(ISNUMBER(Z69),"M","")&amp;IF(ISNUMBER(AA69),"I","")&amp;IF(ISNUMBER(AB69),"O","")</f>
        <v>MIO</v>
      </c>
      <c r="AG69" s="19" t="n">
        <f aca="false">IF(AND(ISNUMBER(AE69),ISNUMBER(Z69)+ISNUMBER(AA69)+ISNUMBER(AB69)&gt;=Parameters!$B$37),IF(AE69&gt;=Parameters!$B$35,100*(Parameters!$F$15*N(Z69)+Parameters!$F$16*N(AA69)+Parameters!$F$17*N(AB69))/(Parameters!$F$15*ISNUMBER(Z69)+Parameters!$F$16*ISNUMBER(AA69)+Parameters!$F$17*ISNUMBER(AB69)),""),"")</f>
        <v>82</v>
      </c>
      <c r="AH69" s="17" t="n">
        <f aca="false">IF(ISNUMBER(AG69),RANK(AG69,$AG$2:$AG$113),"")</f>
        <v>69</v>
      </c>
    </row>
    <row r="70" customFormat="false" ht="15" hidden="false" customHeight="false" outlineLevel="0" collapsed="false">
      <c r="A70" s="5" t="s">
        <v>367</v>
      </c>
      <c r="B70" s="5" t="s">
        <v>368</v>
      </c>
      <c r="C70" s="5" t="s">
        <v>369</v>
      </c>
      <c r="D70" s="5" t="s">
        <v>31</v>
      </c>
      <c r="E70" s="5" t="s">
        <v>44</v>
      </c>
      <c r="F70" s="5" t="s">
        <v>310</v>
      </c>
      <c r="G70" s="15" t="s">
        <v>370</v>
      </c>
      <c r="H70" s="8" t="n">
        <v>1</v>
      </c>
      <c r="I70" s="5" t="s">
        <v>57</v>
      </c>
      <c r="J70" s="5" t="s">
        <v>74</v>
      </c>
      <c r="K70" s="15"/>
      <c r="L70" s="5" t="s">
        <v>81</v>
      </c>
      <c r="M70" s="5" t="s">
        <v>136</v>
      </c>
      <c r="N70" s="5" t="s">
        <v>142</v>
      </c>
      <c r="O70" s="5" t="s">
        <v>173</v>
      </c>
      <c r="P70" s="16" t="n">
        <f aca="false">IFERROR(IF(ISNUMBER(INDEX(Parameters!$B$5:$B$23,MATCH(D70,Parameters!$A$5:$A$23,0))),INDEX(Parameters!$B$5:$B$23,MATCH(D70,Parameters!$A$5:$A$23,0)),""),"")</f>
        <v>1</v>
      </c>
      <c r="Q70" s="16" t="n">
        <f aca="false">IFERROR(IF(ISNUMBER(INDEX(Parameters!$B$5:$B$23,MATCH(E70,Parameters!$A$5:$A$23,0))),INDEX(Parameters!$B$5:$B$23,MATCH(E70,Parameters!$A$5:$A$23,0)),""),"")</f>
        <v>1</v>
      </c>
      <c r="R70" s="16" t="n">
        <f aca="false">IF(F70="","",IFERROR(MIN(Parameters!$B$33,MAX(0,Parameters!$B$32-VALUE(LEFT(F70,4))))/Parameters!$B$33,""))</f>
        <v>1</v>
      </c>
      <c r="S70" s="16" t="n">
        <f aca="false">IF(ISNUMBER(H70),H70,IF(G70="",IF(ISNUMBER(Parameters!$B$34),Parameters!$B$34,""),""))</f>
        <v>1</v>
      </c>
      <c r="T70" s="16" t="n">
        <f aca="false">IFERROR(IF(ISNUMBER(INDEX(Parameters!$B$5:$B$23,MATCH(I70,Parameters!$A$5:$A$23,0))),INDEX(Parameters!$B$5:$B$23,MATCH(I70,Parameters!$A$5:$A$23,0)),""),"")</f>
        <v>0</v>
      </c>
      <c r="U70" s="16" t="n">
        <f aca="false">IFERROR(IF(ISNUMBER(INDEX(Parameters!$B$5:$B$23,MATCH(L70,Parameters!$A$5:$A$23,0))),INDEX(Parameters!$B$5:$B$23,MATCH(L70,Parameters!$A$5:$A$23,0)),""),"")</f>
        <v>1</v>
      </c>
      <c r="V70" s="16" t="str">
        <f aca="false">IFERROR(IF(ISNUMBER(INDEX(Parameters!$B$5:$B$23,MATCH(J70,Parameters!$A$5:$A$23,0))),INDEX(Parameters!$B$5:$B$23,MATCH(J70,Parameters!$A$5:$A$23,0)),""),"")</f>
        <v/>
      </c>
      <c r="W70" s="16" t="str">
        <f aca="false">IF(K70&lt;&gt;"",1,IF(COUNTIF(Parameters!$A$27:$A$28,J70)&gt;0,0,""))</f>
        <v/>
      </c>
      <c r="X70" s="17" t="n">
        <f aca="false">IF(J70="Not applicable",0,1)</f>
        <v>0</v>
      </c>
      <c r="Y70" s="17" t="n">
        <f aca="false">IF(OR(K70&lt;&gt;"",COUNTIF(Parameters!$A$27:$A$28,J70)&gt;0),1,0)</f>
        <v>0</v>
      </c>
      <c r="Z70"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70+(Parameters!$F$12=Parameters!$E$15)*Parameters!$I$12*Y70)=0,"",IF(AND(((Parameters!$F$5=Parameters!$E$15)*Parameters!$I$5*ISNUMBER(P70)+(Parameters!$F$6=Parameters!$E$15)*Parameters!$I$6*ISNUMBER(Q70)+(Parameters!$F$7=Parameters!$E$15)*Parameters!$I$7*ISNUMBER(R70)+(Parameters!$F$8=Parameters!$E$15)*Parameters!$I$8*ISNUMBER(S70)+(Parameters!$F$9=Parameters!$E$15)*Parameters!$I$9*ISNUMBER(T70)+(Parameters!$F$10=Parameters!$E$15)*Parameters!$I$10*ISNUMBER(U70)+(Parameters!$F$11=Parameters!$E$15)*Parameters!$I$11*ISNUMBER(V70)+(Parameters!$F$12=Parameters!$E$15)*Parameters!$I$12*ISNUMBER(W70))&gt;0,((Parameters!$F$5=Parameters!$E$15)*Parameters!$I$5*ISNUMBER(P70)+(Parameters!$F$6=Parameters!$E$15)*Parameters!$I$6*ISNUMBER(Q70)+(Parameters!$F$7=Parameters!$E$15)*Parameters!$I$7*ISNUMBER(R70)+(Parameters!$F$8=Parameters!$E$15)*Parameters!$I$8*ISNUMBER(S70)+(Parameters!$F$9=Parameters!$E$15)*Parameters!$I$9*ISNUMBER(T70)+(Parameters!$F$10=Parameters!$E$15)*Parameters!$I$10*ISNUMBER(U70)+(Parameters!$F$11=Parameters!$E$15)*Parameters!$I$11*ISNUMBER(V70)+(Parameters!$F$12=Parameters!$E$15)*Parameters!$I$12*ISNUMBER(W70))/((Parameters!$F$5=Parameters!$E$15)*Parameters!$I$5*1+(Parameters!$F$6=Parameters!$E$15)*Parameters!$I$6*1+(Parameters!$F$7=Parameters!$E$15)*Parameters!$I$7*1+(Parameters!$F$8=Parameters!$E$15)*Parameters!$I$8*1+(Parameters!$F$9=Parameters!$E$15)*Parameters!$I$9*1+(Parameters!$F$10=Parameters!$E$15)*Parameters!$I$10*1+(Parameters!$F$11=Parameters!$E$15)*Parameters!$I$11*X70+(Parameters!$F$12=Parameters!$E$15)*Parameters!$I$12*Y70)&gt;=Parameters!$B$36),((Parameters!$F$5=Parameters!$E$15)*Parameters!$I$5*N(P70)+(Parameters!$F$6=Parameters!$E$15)*Parameters!$I$6*N(Q70)+(Parameters!$F$7=Parameters!$E$15)*Parameters!$I$7*N(R70)+(Parameters!$F$8=Parameters!$E$15)*Parameters!$I$8*N(S70)+(Parameters!$F$9=Parameters!$E$15)*Parameters!$I$9*N(T70)+(Parameters!$F$10=Parameters!$E$15)*Parameters!$I$10*N(U70)+(Parameters!$F$11=Parameters!$E$15)*Parameters!$I$11*N(V70)+(Parameters!$F$12=Parameters!$E$15)*Parameters!$I$12*N(W70))/((Parameters!$F$5=Parameters!$E$15)*Parameters!$I$5*ISNUMBER(P70)+(Parameters!$F$6=Parameters!$E$15)*Parameters!$I$6*ISNUMBER(Q70)+(Parameters!$F$7=Parameters!$E$15)*Parameters!$I$7*ISNUMBER(R70)+(Parameters!$F$8=Parameters!$E$15)*Parameters!$I$8*ISNUMBER(S70)+(Parameters!$F$9=Parameters!$E$15)*Parameters!$I$9*ISNUMBER(T70)+(Parameters!$F$10=Parameters!$E$15)*Parameters!$I$10*ISNUMBER(U70)+(Parameters!$F$11=Parameters!$E$15)*Parameters!$I$11*ISNUMBER(V70)+(Parameters!$F$12=Parameters!$E$15)*Parameters!$I$12*ISNUMBER(W70)),""))</f>
        <v>1</v>
      </c>
      <c r="AA70"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70+(Parameters!$F$12=Parameters!$E$16)*Parameters!$I$12*Y70)=0,"",IF(AND(((Parameters!$F$5=Parameters!$E$16)*Parameters!$I$5*ISNUMBER(P70)+(Parameters!$F$6=Parameters!$E$16)*Parameters!$I$6*ISNUMBER(Q70)+(Parameters!$F$7=Parameters!$E$16)*Parameters!$I$7*ISNUMBER(R70)+(Parameters!$F$8=Parameters!$E$16)*Parameters!$I$8*ISNUMBER(S70)+(Parameters!$F$9=Parameters!$E$16)*Parameters!$I$9*ISNUMBER(T70)+(Parameters!$F$10=Parameters!$E$16)*Parameters!$I$10*ISNUMBER(U70)+(Parameters!$F$11=Parameters!$E$16)*Parameters!$I$11*ISNUMBER(V70)+(Parameters!$F$12=Parameters!$E$16)*Parameters!$I$12*ISNUMBER(W70))&gt;0,((Parameters!$F$5=Parameters!$E$16)*Parameters!$I$5*ISNUMBER(P70)+(Parameters!$F$6=Parameters!$E$16)*Parameters!$I$6*ISNUMBER(Q70)+(Parameters!$F$7=Parameters!$E$16)*Parameters!$I$7*ISNUMBER(R70)+(Parameters!$F$8=Parameters!$E$16)*Parameters!$I$8*ISNUMBER(S70)+(Parameters!$F$9=Parameters!$E$16)*Parameters!$I$9*ISNUMBER(T70)+(Parameters!$F$10=Parameters!$E$16)*Parameters!$I$10*ISNUMBER(U70)+(Parameters!$F$11=Parameters!$E$16)*Parameters!$I$11*ISNUMBER(V70)+(Parameters!$F$12=Parameters!$E$16)*Parameters!$I$12*ISNUMBER(W70))/((Parameters!$F$5=Parameters!$E$16)*Parameters!$I$5*1+(Parameters!$F$6=Parameters!$E$16)*Parameters!$I$6*1+(Parameters!$F$7=Parameters!$E$16)*Parameters!$I$7*1+(Parameters!$F$8=Parameters!$E$16)*Parameters!$I$8*1+(Parameters!$F$9=Parameters!$E$16)*Parameters!$I$9*1+(Parameters!$F$10=Parameters!$E$16)*Parameters!$I$10*1+(Parameters!$F$11=Parameters!$E$16)*Parameters!$I$11*X70+(Parameters!$F$12=Parameters!$E$16)*Parameters!$I$12*Y70)&gt;=Parameters!$B$36),((Parameters!$F$5=Parameters!$E$16)*Parameters!$I$5*N(P70)+(Parameters!$F$6=Parameters!$E$16)*Parameters!$I$6*N(Q70)+(Parameters!$F$7=Parameters!$E$16)*Parameters!$I$7*N(R70)+(Parameters!$F$8=Parameters!$E$16)*Parameters!$I$8*N(S70)+(Parameters!$F$9=Parameters!$E$16)*Parameters!$I$9*N(T70)+(Parameters!$F$10=Parameters!$E$16)*Parameters!$I$10*N(U70)+(Parameters!$F$11=Parameters!$E$16)*Parameters!$I$11*N(V70)+(Parameters!$F$12=Parameters!$E$16)*Parameters!$I$12*N(W70))/((Parameters!$F$5=Parameters!$E$16)*Parameters!$I$5*ISNUMBER(P70)+(Parameters!$F$6=Parameters!$E$16)*Parameters!$I$6*ISNUMBER(Q70)+(Parameters!$F$7=Parameters!$E$16)*Parameters!$I$7*ISNUMBER(R70)+(Parameters!$F$8=Parameters!$E$16)*Parameters!$I$8*ISNUMBER(S70)+(Parameters!$F$9=Parameters!$E$16)*Parameters!$I$9*ISNUMBER(T70)+(Parameters!$F$10=Parameters!$E$16)*Parameters!$I$10*ISNUMBER(U70)+(Parameters!$F$11=Parameters!$E$16)*Parameters!$I$11*ISNUMBER(V70)+(Parameters!$F$12=Parameters!$E$16)*Parameters!$I$12*ISNUMBER(W70)),""))</f>
        <v>0.8</v>
      </c>
      <c r="AB70"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70+(Parameters!$F$12=Parameters!$E$17)*Parameters!$I$12*Y70)=0,"",IF(AND(((Parameters!$F$5=Parameters!$E$17)*Parameters!$I$5*ISNUMBER(P70)+(Parameters!$F$6=Parameters!$E$17)*Parameters!$I$6*ISNUMBER(Q70)+(Parameters!$F$7=Parameters!$E$17)*Parameters!$I$7*ISNUMBER(R70)+(Parameters!$F$8=Parameters!$E$17)*Parameters!$I$8*ISNUMBER(S70)+(Parameters!$F$9=Parameters!$E$17)*Parameters!$I$9*ISNUMBER(T70)+(Parameters!$F$10=Parameters!$E$17)*Parameters!$I$10*ISNUMBER(U70)+(Parameters!$F$11=Parameters!$E$17)*Parameters!$I$11*ISNUMBER(V70)+(Parameters!$F$12=Parameters!$E$17)*Parameters!$I$12*ISNUMBER(W70))&gt;0,((Parameters!$F$5=Parameters!$E$17)*Parameters!$I$5*ISNUMBER(P70)+(Parameters!$F$6=Parameters!$E$17)*Parameters!$I$6*ISNUMBER(Q70)+(Parameters!$F$7=Parameters!$E$17)*Parameters!$I$7*ISNUMBER(R70)+(Parameters!$F$8=Parameters!$E$17)*Parameters!$I$8*ISNUMBER(S70)+(Parameters!$F$9=Parameters!$E$17)*Parameters!$I$9*ISNUMBER(T70)+(Parameters!$F$10=Parameters!$E$17)*Parameters!$I$10*ISNUMBER(U70)+(Parameters!$F$11=Parameters!$E$17)*Parameters!$I$11*ISNUMBER(V70)+(Parameters!$F$12=Parameters!$E$17)*Parameters!$I$12*ISNUMBER(W70))/((Parameters!$F$5=Parameters!$E$17)*Parameters!$I$5*1+(Parameters!$F$6=Parameters!$E$17)*Parameters!$I$6*1+(Parameters!$F$7=Parameters!$E$17)*Parameters!$I$7*1+(Parameters!$F$8=Parameters!$E$17)*Parameters!$I$8*1+(Parameters!$F$9=Parameters!$E$17)*Parameters!$I$9*1+(Parameters!$F$10=Parameters!$E$17)*Parameters!$I$10*1+(Parameters!$F$11=Parameters!$E$17)*Parameters!$I$11*X70+(Parameters!$F$12=Parameters!$E$17)*Parameters!$I$12*Y70)&gt;=Parameters!$B$36),((Parameters!$F$5=Parameters!$E$17)*Parameters!$I$5*N(P70)+(Parameters!$F$6=Parameters!$E$17)*Parameters!$I$6*N(Q70)+(Parameters!$F$7=Parameters!$E$17)*Parameters!$I$7*N(R70)+(Parameters!$F$8=Parameters!$E$17)*Parameters!$I$8*N(S70)+(Parameters!$F$9=Parameters!$E$17)*Parameters!$I$9*N(T70)+(Parameters!$F$10=Parameters!$E$17)*Parameters!$I$10*N(U70)+(Parameters!$F$11=Parameters!$E$17)*Parameters!$I$11*N(V70)+(Parameters!$F$12=Parameters!$E$17)*Parameters!$I$12*N(W70))/((Parameters!$F$5=Parameters!$E$17)*Parameters!$I$5*ISNUMBER(P70)+(Parameters!$F$6=Parameters!$E$17)*Parameters!$I$6*ISNUMBER(Q70)+(Parameters!$F$7=Parameters!$E$17)*Parameters!$I$7*ISNUMBER(R70)+(Parameters!$F$8=Parameters!$E$17)*Parameters!$I$8*ISNUMBER(S70)+(Parameters!$F$9=Parameters!$E$17)*Parameters!$I$9*ISNUMBER(T70)+(Parameters!$F$10=Parameters!$E$17)*Parameters!$I$10*ISNUMBER(U70)+(Parameters!$F$11=Parameters!$E$17)*Parameters!$I$11*ISNUMBER(V70)+(Parameters!$F$12=Parameters!$E$17)*Parameters!$I$12*ISNUMBER(W70)),""))</f>
        <v/>
      </c>
      <c r="AC70" s="17" t="n">
        <f aca="false">Parameters!$I$5*ISNUMBER(P70)+Parameters!$I$6*ISNUMBER(Q70)+Parameters!$I$7*ISNUMBER(R70)+Parameters!$I$8*ISNUMBER(S70)+Parameters!$I$9*ISNUMBER(T70)+Parameters!$I$10*ISNUMBER(U70)+Parameters!$I$11*ISNUMBER(V70)+Parameters!$I$12*ISNUMBER(W70)</f>
        <v>75</v>
      </c>
      <c r="AD70" s="17" t="n">
        <f aca="false">Parameters!$I$5*1+Parameters!$I$6*1+Parameters!$I$7*1+Parameters!$I$8*1+Parameters!$I$9*1+Parameters!$I$10*1+Parameters!$I$11*X70+Parameters!$I$12*Y70</f>
        <v>75</v>
      </c>
      <c r="AE70" s="18" t="n">
        <f aca="false">IF(AD70=0,"",AC70/AD70)</f>
        <v>1</v>
      </c>
      <c r="AF70" s="17" t="str">
        <f aca="false">IF(ISNUMBER(Z70),"M","")&amp;IF(ISNUMBER(AA70),"I","")&amp;IF(ISNUMBER(AB70),"O","")</f>
        <v>MI</v>
      </c>
      <c r="AG70" s="19" t="n">
        <f aca="false">IF(AND(ISNUMBER(AE70),ISNUMBER(Z70)+ISNUMBER(AA70)+ISNUMBER(AB70)&gt;=Parameters!$B$37),IF(AE70&gt;=Parameters!$B$35,100*(Parameters!$F$15*N(Z70)+Parameters!$F$16*N(AA70)+Parameters!$F$17*N(AB70))/(Parameters!$F$15*ISNUMBER(Z70)+Parameters!$F$16*ISNUMBER(AA70)+Parameters!$F$17*ISNUMBER(AB70)),""),"")</f>
        <v>92.5</v>
      </c>
      <c r="AH70" s="17" t="n">
        <f aca="false">IF(ISNUMBER(AG70),RANK(AG70,$AG$2:$AG$113),"")</f>
        <v>14</v>
      </c>
    </row>
    <row r="71" customFormat="false" ht="15" hidden="false" customHeight="false" outlineLevel="0" collapsed="false">
      <c r="A71" s="5" t="s">
        <v>371</v>
      </c>
      <c r="B71" s="5" t="s">
        <v>372</v>
      </c>
      <c r="C71" s="5" t="s">
        <v>373</v>
      </c>
      <c r="D71" s="5" t="s">
        <v>31</v>
      </c>
      <c r="E71" s="5" t="s">
        <v>44</v>
      </c>
      <c r="F71" s="5" t="s">
        <v>135</v>
      </c>
      <c r="G71" s="15" t="s">
        <v>374</v>
      </c>
      <c r="H71" s="8" t="n">
        <v>1</v>
      </c>
      <c r="I71" s="5" t="s">
        <v>57</v>
      </c>
      <c r="J71" s="5" t="s">
        <v>66</v>
      </c>
      <c r="K71" s="15"/>
      <c r="L71" s="5" t="s">
        <v>81</v>
      </c>
      <c r="M71" s="5" t="s">
        <v>136</v>
      </c>
      <c r="N71" s="5" t="s">
        <v>173</v>
      </c>
      <c r="O71" s="5" t="s">
        <v>197</v>
      </c>
      <c r="P71" s="16" t="n">
        <f aca="false">IFERROR(IF(ISNUMBER(INDEX(Parameters!$B$5:$B$23,MATCH(D71,Parameters!$A$5:$A$23,0))),INDEX(Parameters!$B$5:$B$23,MATCH(D71,Parameters!$A$5:$A$23,0)),""),"")</f>
        <v>1</v>
      </c>
      <c r="Q71" s="16" t="n">
        <f aca="false">IFERROR(IF(ISNUMBER(INDEX(Parameters!$B$5:$B$23,MATCH(E71,Parameters!$A$5:$A$23,0))),INDEX(Parameters!$B$5:$B$23,MATCH(E71,Parameters!$A$5:$A$23,0)),""),"")</f>
        <v>1</v>
      </c>
      <c r="R71" s="16" t="n">
        <f aca="false">IF(F71="","",IFERROR(MIN(Parameters!$B$33,MAX(0,Parameters!$B$32-VALUE(LEFT(F71,4))))/Parameters!$B$33,""))</f>
        <v>0.4</v>
      </c>
      <c r="S71" s="16" t="n">
        <f aca="false">IF(ISNUMBER(H71),H71,IF(G71="",IF(ISNUMBER(Parameters!$B$34),Parameters!$B$34,""),""))</f>
        <v>1</v>
      </c>
      <c r="T71" s="16" t="n">
        <f aca="false">IFERROR(IF(ISNUMBER(INDEX(Parameters!$B$5:$B$23,MATCH(I71,Parameters!$A$5:$A$23,0))),INDEX(Parameters!$B$5:$B$23,MATCH(I71,Parameters!$A$5:$A$23,0)),""),"")</f>
        <v>0</v>
      </c>
      <c r="U71" s="16" t="n">
        <f aca="false">IFERROR(IF(ISNUMBER(INDEX(Parameters!$B$5:$B$23,MATCH(L71,Parameters!$A$5:$A$23,0))),INDEX(Parameters!$B$5:$B$23,MATCH(L71,Parameters!$A$5:$A$23,0)),""),"")</f>
        <v>1</v>
      </c>
      <c r="V71" s="16" t="n">
        <f aca="false">IFERROR(IF(ISNUMBER(INDEX(Parameters!$B$5:$B$23,MATCH(J71,Parameters!$A$5:$A$23,0))),INDEX(Parameters!$B$5:$B$23,MATCH(J71,Parameters!$A$5:$A$23,0)),""),"")</f>
        <v>1</v>
      </c>
      <c r="W71" s="16" t="str">
        <f aca="false">IF(K71&lt;&gt;"",1,IF(COUNTIF(Parameters!$A$27:$A$28,J71)&gt;0,0,""))</f>
        <v/>
      </c>
      <c r="X71" s="17" t="n">
        <f aca="false">IF(J71="Not applicable",0,1)</f>
        <v>1</v>
      </c>
      <c r="Y71" s="17" t="n">
        <f aca="false">IF(OR(K71&lt;&gt;"",COUNTIF(Parameters!$A$27:$A$28,J71)&gt;0),1,0)</f>
        <v>0</v>
      </c>
      <c r="Z71"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71+(Parameters!$F$12=Parameters!$E$15)*Parameters!$I$12*Y71)=0,"",IF(AND(((Parameters!$F$5=Parameters!$E$15)*Parameters!$I$5*ISNUMBER(P71)+(Parameters!$F$6=Parameters!$E$15)*Parameters!$I$6*ISNUMBER(Q71)+(Parameters!$F$7=Parameters!$E$15)*Parameters!$I$7*ISNUMBER(R71)+(Parameters!$F$8=Parameters!$E$15)*Parameters!$I$8*ISNUMBER(S71)+(Parameters!$F$9=Parameters!$E$15)*Parameters!$I$9*ISNUMBER(T71)+(Parameters!$F$10=Parameters!$E$15)*Parameters!$I$10*ISNUMBER(U71)+(Parameters!$F$11=Parameters!$E$15)*Parameters!$I$11*ISNUMBER(V71)+(Parameters!$F$12=Parameters!$E$15)*Parameters!$I$12*ISNUMBER(W71))&gt;0,((Parameters!$F$5=Parameters!$E$15)*Parameters!$I$5*ISNUMBER(P71)+(Parameters!$F$6=Parameters!$E$15)*Parameters!$I$6*ISNUMBER(Q71)+(Parameters!$F$7=Parameters!$E$15)*Parameters!$I$7*ISNUMBER(R71)+(Parameters!$F$8=Parameters!$E$15)*Parameters!$I$8*ISNUMBER(S71)+(Parameters!$F$9=Parameters!$E$15)*Parameters!$I$9*ISNUMBER(T71)+(Parameters!$F$10=Parameters!$E$15)*Parameters!$I$10*ISNUMBER(U71)+(Parameters!$F$11=Parameters!$E$15)*Parameters!$I$11*ISNUMBER(V71)+(Parameters!$F$12=Parameters!$E$15)*Parameters!$I$12*ISNUMBER(W71))/((Parameters!$F$5=Parameters!$E$15)*Parameters!$I$5*1+(Parameters!$F$6=Parameters!$E$15)*Parameters!$I$6*1+(Parameters!$F$7=Parameters!$E$15)*Parameters!$I$7*1+(Parameters!$F$8=Parameters!$E$15)*Parameters!$I$8*1+(Parameters!$F$9=Parameters!$E$15)*Parameters!$I$9*1+(Parameters!$F$10=Parameters!$E$15)*Parameters!$I$10*1+(Parameters!$F$11=Parameters!$E$15)*Parameters!$I$11*X71+(Parameters!$F$12=Parameters!$E$15)*Parameters!$I$12*Y71)&gt;=Parameters!$B$36),((Parameters!$F$5=Parameters!$E$15)*Parameters!$I$5*N(P71)+(Parameters!$F$6=Parameters!$E$15)*Parameters!$I$6*N(Q71)+(Parameters!$F$7=Parameters!$E$15)*Parameters!$I$7*N(R71)+(Parameters!$F$8=Parameters!$E$15)*Parameters!$I$8*N(S71)+(Parameters!$F$9=Parameters!$E$15)*Parameters!$I$9*N(T71)+(Parameters!$F$10=Parameters!$E$15)*Parameters!$I$10*N(U71)+(Parameters!$F$11=Parameters!$E$15)*Parameters!$I$11*N(V71)+(Parameters!$F$12=Parameters!$E$15)*Parameters!$I$12*N(W71))/((Parameters!$F$5=Parameters!$E$15)*Parameters!$I$5*ISNUMBER(P71)+(Parameters!$F$6=Parameters!$E$15)*Parameters!$I$6*ISNUMBER(Q71)+(Parameters!$F$7=Parameters!$E$15)*Parameters!$I$7*ISNUMBER(R71)+(Parameters!$F$8=Parameters!$E$15)*Parameters!$I$8*ISNUMBER(S71)+(Parameters!$F$9=Parameters!$E$15)*Parameters!$I$9*ISNUMBER(T71)+(Parameters!$F$10=Parameters!$E$15)*Parameters!$I$10*ISNUMBER(U71)+(Parameters!$F$11=Parameters!$E$15)*Parameters!$I$11*ISNUMBER(V71)+(Parameters!$F$12=Parameters!$E$15)*Parameters!$I$12*ISNUMBER(W71)),""))</f>
        <v>0.94</v>
      </c>
      <c r="AA71"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71+(Parameters!$F$12=Parameters!$E$16)*Parameters!$I$12*Y71)=0,"",IF(AND(((Parameters!$F$5=Parameters!$E$16)*Parameters!$I$5*ISNUMBER(P71)+(Parameters!$F$6=Parameters!$E$16)*Parameters!$I$6*ISNUMBER(Q71)+(Parameters!$F$7=Parameters!$E$16)*Parameters!$I$7*ISNUMBER(R71)+(Parameters!$F$8=Parameters!$E$16)*Parameters!$I$8*ISNUMBER(S71)+(Parameters!$F$9=Parameters!$E$16)*Parameters!$I$9*ISNUMBER(T71)+(Parameters!$F$10=Parameters!$E$16)*Parameters!$I$10*ISNUMBER(U71)+(Parameters!$F$11=Parameters!$E$16)*Parameters!$I$11*ISNUMBER(V71)+(Parameters!$F$12=Parameters!$E$16)*Parameters!$I$12*ISNUMBER(W71))&gt;0,((Parameters!$F$5=Parameters!$E$16)*Parameters!$I$5*ISNUMBER(P71)+(Parameters!$F$6=Parameters!$E$16)*Parameters!$I$6*ISNUMBER(Q71)+(Parameters!$F$7=Parameters!$E$16)*Parameters!$I$7*ISNUMBER(R71)+(Parameters!$F$8=Parameters!$E$16)*Parameters!$I$8*ISNUMBER(S71)+(Parameters!$F$9=Parameters!$E$16)*Parameters!$I$9*ISNUMBER(T71)+(Parameters!$F$10=Parameters!$E$16)*Parameters!$I$10*ISNUMBER(U71)+(Parameters!$F$11=Parameters!$E$16)*Parameters!$I$11*ISNUMBER(V71)+(Parameters!$F$12=Parameters!$E$16)*Parameters!$I$12*ISNUMBER(W71))/((Parameters!$F$5=Parameters!$E$16)*Parameters!$I$5*1+(Parameters!$F$6=Parameters!$E$16)*Parameters!$I$6*1+(Parameters!$F$7=Parameters!$E$16)*Parameters!$I$7*1+(Parameters!$F$8=Parameters!$E$16)*Parameters!$I$8*1+(Parameters!$F$9=Parameters!$E$16)*Parameters!$I$9*1+(Parameters!$F$10=Parameters!$E$16)*Parameters!$I$10*1+(Parameters!$F$11=Parameters!$E$16)*Parameters!$I$11*X71+(Parameters!$F$12=Parameters!$E$16)*Parameters!$I$12*Y71)&gt;=Parameters!$B$36),((Parameters!$F$5=Parameters!$E$16)*Parameters!$I$5*N(P71)+(Parameters!$F$6=Parameters!$E$16)*Parameters!$I$6*N(Q71)+(Parameters!$F$7=Parameters!$E$16)*Parameters!$I$7*N(R71)+(Parameters!$F$8=Parameters!$E$16)*Parameters!$I$8*N(S71)+(Parameters!$F$9=Parameters!$E$16)*Parameters!$I$9*N(T71)+(Parameters!$F$10=Parameters!$E$16)*Parameters!$I$10*N(U71)+(Parameters!$F$11=Parameters!$E$16)*Parameters!$I$11*N(V71)+(Parameters!$F$12=Parameters!$E$16)*Parameters!$I$12*N(W71))/((Parameters!$F$5=Parameters!$E$16)*Parameters!$I$5*ISNUMBER(P71)+(Parameters!$F$6=Parameters!$E$16)*Parameters!$I$6*ISNUMBER(Q71)+(Parameters!$F$7=Parameters!$E$16)*Parameters!$I$7*ISNUMBER(R71)+(Parameters!$F$8=Parameters!$E$16)*Parameters!$I$8*ISNUMBER(S71)+(Parameters!$F$9=Parameters!$E$16)*Parameters!$I$9*ISNUMBER(T71)+(Parameters!$F$10=Parameters!$E$16)*Parameters!$I$10*ISNUMBER(U71)+(Parameters!$F$11=Parameters!$E$16)*Parameters!$I$11*ISNUMBER(V71)+(Parameters!$F$12=Parameters!$E$16)*Parameters!$I$12*ISNUMBER(W71)),""))</f>
        <v>0.8</v>
      </c>
      <c r="AB71"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71+(Parameters!$F$12=Parameters!$E$17)*Parameters!$I$12*Y71)=0,"",IF(AND(((Parameters!$F$5=Parameters!$E$17)*Parameters!$I$5*ISNUMBER(P71)+(Parameters!$F$6=Parameters!$E$17)*Parameters!$I$6*ISNUMBER(Q71)+(Parameters!$F$7=Parameters!$E$17)*Parameters!$I$7*ISNUMBER(R71)+(Parameters!$F$8=Parameters!$E$17)*Parameters!$I$8*ISNUMBER(S71)+(Parameters!$F$9=Parameters!$E$17)*Parameters!$I$9*ISNUMBER(T71)+(Parameters!$F$10=Parameters!$E$17)*Parameters!$I$10*ISNUMBER(U71)+(Parameters!$F$11=Parameters!$E$17)*Parameters!$I$11*ISNUMBER(V71)+(Parameters!$F$12=Parameters!$E$17)*Parameters!$I$12*ISNUMBER(W71))&gt;0,((Parameters!$F$5=Parameters!$E$17)*Parameters!$I$5*ISNUMBER(P71)+(Parameters!$F$6=Parameters!$E$17)*Parameters!$I$6*ISNUMBER(Q71)+(Parameters!$F$7=Parameters!$E$17)*Parameters!$I$7*ISNUMBER(R71)+(Parameters!$F$8=Parameters!$E$17)*Parameters!$I$8*ISNUMBER(S71)+(Parameters!$F$9=Parameters!$E$17)*Parameters!$I$9*ISNUMBER(T71)+(Parameters!$F$10=Parameters!$E$17)*Parameters!$I$10*ISNUMBER(U71)+(Parameters!$F$11=Parameters!$E$17)*Parameters!$I$11*ISNUMBER(V71)+(Parameters!$F$12=Parameters!$E$17)*Parameters!$I$12*ISNUMBER(W71))/((Parameters!$F$5=Parameters!$E$17)*Parameters!$I$5*1+(Parameters!$F$6=Parameters!$E$17)*Parameters!$I$6*1+(Parameters!$F$7=Parameters!$E$17)*Parameters!$I$7*1+(Parameters!$F$8=Parameters!$E$17)*Parameters!$I$8*1+(Parameters!$F$9=Parameters!$E$17)*Parameters!$I$9*1+(Parameters!$F$10=Parameters!$E$17)*Parameters!$I$10*1+(Parameters!$F$11=Parameters!$E$17)*Parameters!$I$11*X71+(Parameters!$F$12=Parameters!$E$17)*Parameters!$I$12*Y71)&gt;=Parameters!$B$36),((Parameters!$F$5=Parameters!$E$17)*Parameters!$I$5*N(P71)+(Parameters!$F$6=Parameters!$E$17)*Parameters!$I$6*N(Q71)+(Parameters!$F$7=Parameters!$E$17)*Parameters!$I$7*N(R71)+(Parameters!$F$8=Parameters!$E$17)*Parameters!$I$8*N(S71)+(Parameters!$F$9=Parameters!$E$17)*Parameters!$I$9*N(T71)+(Parameters!$F$10=Parameters!$E$17)*Parameters!$I$10*N(U71)+(Parameters!$F$11=Parameters!$E$17)*Parameters!$I$11*N(V71)+(Parameters!$F$12=Parameters!$E$17)*Parameters!$I$12*N(W71))/((Parameters!$F$5=Parameters!$E$17)*Parameters!$I$5*ISNUMBER(P71)+(Parameters!$F$6=Parameters!$E$17)*Parameters!$I$6*ISNUMBER(Q71)+(Parameters!$F$7=Parameters!$E$17)*Parameters!$I$7*ISNUMBER(R71)+(Parameters!$F$8=Parameters!$E$17)*Parameters!$I$8*ISNUMBER(S71)+(Parameters!$F$9=Parameters!$E$17)*Parameters!$I$9*ISNUMBER(T71)+(Parameters!$F$10=Parameters!$E$17)*Parameters!$I$10*ISNUMBER(U71)+(Parameters!$F$11=Parameters!$E$17)*Parameters!$I$11*ISNUMBER(V71)+(Parameters!$F$12=Parameters!$E$17)*Parameters!$I$12*ISNUMBER(W71)),""))</f>
        <v>1</v>
      </c>
      <c r="AC71" s="17" t="n">
        <f aca="false">Parameters!$I$5*ISNUMBER(P71)+Parameters!$I$6*ISNUMBER(Q71)+Parameters!$I$7*ISNUMBER(R71)+Parameters!$I$8*ISNUMBER(S71)+Parameters!$I$9*ISNUMBER(T71)+Parameters!$I$10*ISNUMBER(U71)+Parameters!$I$11*ISNUMBER(V71)+Parameters!$I$12*ISNUMBER(W71)</f>
        <v>85</v>
      </c>
      <c r="AD71" s="17" t="n">
        <f aca="false">Parameters!$I$5*1+Parameters!$I$6*1+Parameters!$I$7*1+Parameters!$I$8*1+Parameters!$I$9*1+Parameters!$I$10*1+Parameters!$I$11*X71+Parameters!$I$12*Y71</f>
        <v>85</v>
      </c>
      <c r="AE71" s="18" t="n">
        <f aca="false">IF(AD71=0,"",AC71/AD71)</f>
        <v>1</v>
      </c>
      <c r="AF71" s="17" t="str">
        <f aca="false">IF(ISNUMBER(Z71),"M","")&amp;IF(ISNUMBER(AA71),"I","")&amp;IF(ISNUMBER(AB71),"O","")</f>
        <v>MIO</v>
      </c>
      <c r="AG71" s="19" t="n">
        <f aca="false">IF(AND(ISNUMBER(AE71),ISNUMBER(Z71)+ISNUMBER(AA71)+ISNUMBER(AB71)&gt;=Parameters!$B$37),IF(AE71&gt;=Parameters!$B$35,100*(Parameters!$F$15*N(Z71)+Parameters!$F$16*N(AA71)+Parameters!$F$17*N(AB71))/(Parameters!$F$15*ISNUMBER(Z71)+Parameters!$F$16*ISNUMBER(AA71)+Parameters!$F$17*ISNUMBER(AB71)),""),"")</f>
        <v>91</v>
      </c>
      <c r="AH71" s="17" t="n">
        <f aca="false">IF(ISNUMBER(AG71),RANK(AG71,$AG$2:$AG$113),"")</f>
        <v>22</v>
      </c>
    </row>
    <row r="72" customFormat="false" ht="15" hidden="false" customHeight="false" outlineLevel="0" collapsed="false">
      <c r="A72" s="5" t="s">
        <v>375</v>
      </c>
      <c r="B72" s="5" t="s">
        <v>376</v>
      </c>
      <c r="C72" s="5" t="s">
        <v>377</v>
      </c>
      <c r="D72" s="5" t="s">
        <v>31</v>
      </c>
      <c r="E72" s="5" t="s">
        <v>44</v>
      </c>
      <c r="F72" s="5" t="s">
        <v>218</v>
      </c>
      <c r="G72" s="15"/>
      <c r="H72" s="8"/>
      <c r="I72" s="5" t="s">
        <v>57</v>
      </c>
      <c r="J72" s="5" t="s">
        <v>74</v>
      </c>
      <c r="K72" s="15"/>
      <c r="L72" s="5" t="s">
        <v>76</v>
      </c>
      <c r="M72" s="5" t="s">
        <v>157</v>
      </c>
      <c r="N72" s="5"/>
      <c r="O72" s="5"/>
      <c r="P72" s="16" t="n">
        <f aca="false">IFERROR(IF(ISNUMBER(INDEX(Parameters!$B$5:$B$23,MATCH(D72,Parameters!$A$5:$A$23,0))),INDEX(Parameters!$B$5:$B$23,MATCH(D72,Parameters!$A$5:$A$23,0)),""),"")</f>
        <v>1</v>
      </c>
      <c r="Q72" s="16" t="n">
        <f aca="false">IFERROR(IF(ISNUMBER(INDEX(Parameters!$B$5:$B$23,MATCH(E72,Parameters!$A$5:$A$23,0))),INDEX(Parameters!$B$5:$B$23,MATCH(E72,Parameters!$A$5:$A$23,0)),""),"")</f>
        <v>1</v>
      </c>
      <c r="R72" s="16" t="n">
        <f aca="false">IF(F72="","",IFERROR(MIN(Parameters!$B$33,MAX(0,Parameters!$B$32-VALUE(LEFT(F72,4))))/Parameters!$B$33,""))</f>
        <v>0.333333333333333</v>
      </c>
      <c r="S72" s="16" t="str">
        <f aca="false">IF(ISNUMBER(H72),H72,IF(G72="",IF(ISNUMBER(Parameters!$B$34),Parameters!$B$34,""),""))</f>
        <v/>
      </c>
      <c r="T72" s="16" t="n">
        <f aca="false">IFERROR(IF(ISNUMBER(INDEX(Parameters!$B$5:$B$23,MATCH(I72,Parameters!$A$5:$A$23,0))),INDEX(Parameters!$B$5:$B$23,MATCH(I72,Parameters!$A$5:$A$23,0)),""),"")</f>
        <v>0</v>
      </c>
      <c r="U72" s="16" t="n">
        <f aca="false">IFERROR(IF(ISNUMBER(INDEX(Parameters!$B$5:$B$23,MATCH(L72,Parameters!$A$5:$A$23,0))),INDEX(Parameters!$B$5:$B$23,MATCH(L72,Parameters!$A$5:$A$23,0)),""),"")</f>
        <v>1</v>
      </c>
      <c r="V72" s="16" t="str">
        <f aca="false">IFERROR(IF(ISNUMBER(INDEX(Parameters!$B$5:$B$23,MATCH(J72,Parameters!$A$5:$A$23,0))),INDEX(Parameters!$B$5:$B$23,MATCH(J72,Parameters!$A$5:$A$23,0)),""),"")</f>
        <v/>
      </c>
      <c r="W72" s="16" t="str">
        <f aca="false">IF(K72&lt;&gt;"",1,IF(COUNTIF(Parameters!$A$27:$A$28,J72)&gt;0,0,""))</f>
        <v/>
      </c>
      <c r="X72" s="17" t="n">
        <f aca="false">IF(J72="Not applicable",0,1)</f>
        <v>0</v>
      </c>
      <c r="Y72" s="17" t="n">
        <f aca="false">IF(OR(K72&lt;&gt;"",COUNTIF(Parameters!$A$27:$A$28,J72)&gt;0),1,0)</f>
        <v>0</v>
      </c>
      <c r="Z72"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72+(Parameters!$F$12=Parameters!$E$15)*Parameters!$I$12*Y72)=0,"",IF(AND(((Parameters!$F$5=Parameters!$E$15)*Parameters!$I$5*ISNUMBER(P72)+(Parameters!$F$6=Parameters!$E$15)*Parameters!$I$6*ISNUMBER(Q72)+(Parameters!$F$7=Parameters!$E$15)*Parameters!$I$7*ISNUMBER(R72)+(Parameters!$F$8=Parameters!$E$15)*Parameters!$I$8*ISNUMBER(S72)+(Parameters!$F$9=Parameters!$E$15)*Parameters!$I$9*ISNUMBER(T72)+(Parameters!$F$10=Parameters!$E$15)*Parameters!$I$10*ISNUMBER(U72)+(Parameters!$F$11=Parameters!$E$15)*Parameters!$I$11*ISNUMBER(V72)+(Parameters!$F$12=Parameters!$E$15)*Parameters!$I$12*ISNUMBER(W72))&gt;0,((Parameters!$F$5=Parameters!$E$15)*Parameters!$I$5*ISNUMBER(P72)+(Parameters!$F$6=Parameters!$E$15)*Parameters!$I$6*ISNUMBER(Q72)+(Parameters!$F$7=Parameters!$E$15)*Parameters!$I$7*ISNUMBER(R72)+(Parameters!$F$8=Parameters!$E$15)*Parameters!$I$8*ISNUMBER(S72)+(Parameters!$F$9=Parameters!$E$15)*Parameters!$I$9*ISNUMBER(T72)+(Parameters!$F$10=Parameters!$E$15)*Parameters!$I$10*ISNUMBER(U72)+(Parameters!$F$11=Parameters!$E$15)*Parameters!$I$11*ISNUMBER(V72)+(Parameters!$F$12=Parameters!$E$15)*Parameters!$I$12*ISNUMBER(W72))/((Parameters!$F$5=Parameters!$E$15)*Parameters!$I$5*1+(Parameters!$F$6=Parameters!$E$15)*Parameters!$I$6*1+(Parameters!$F$7=Parameters!$E$15)*Parameters!$I$7*1+(Parameters!$F$8=Parameters!$E$15)*Parameters!$I$8*1+(Parameters!$F$9=Parameters!$E$15)*Parameters!$I$9*1+(Parameters!$F$10=Parameters!$E$15)*Parameters!$I$10*1+(Parameters!$F$11=Parameters!$E$15)*Parameters!$I$11*X72+(Parameters!$F$12=Parameters!$E$15)*Parameters!$I$12*Y72)&gt;=Parameters!$B$36),((Parameters!$F$5=Parameters!$E$15)*Parameters!$I$5*N(P72)+(Parameters!$F$6=Parameters!$E$15)*Parameters!$I$6*N(Q72)+(Parameters!$F$7=Parameters!$E$15)*Parameters!$I$7*N(R72)+(Parameters!$F$8=Parameters!$E$15)*Parameters!$I$8*N(S72)+(Parameters!$F$9=Parameters!$E$15)*Parameters!$I$9*N(T72)+(Parameters!$F$10=Parameters!$E$15)*Parameters!$I$10*N(U72)+(Parameters!$F$11=Parameters!$E$15)*Parameters!$I$11*N(V72)+(Parameters!$F$12=Parameters!$E$15)*Parameters!$I$12*N(W72))/((Parameters!$F$5=Parameters!$E$15)*Parameters!$I$5*ISNUMBER(P72)+(Parameters!$F$6=Parameters!$E$15)*Parameters!$I$6*ISNUMBER(Q72)+(Parameters!$F$7=Parameters!$E$15)*Parameters!$I$7*ISNUMBER(R72)+(Parameters!$F$8=Parameters!$E$15)*Parameters!$I$8*ISNUMBER(S72)+(Parameters!$F$9=Parameters!$E$15)*Parameters!$I$9*ISNUMBER(T72)+(Parameters!$F$10=Parameters!$E$15)*Parameters!$I$10*ISNUMBER(U72)+(Parameters!$F$11=Parameters!$E$15)*Parameters!$I$11*ISNUMBER(V72)+(Parameters!$F$12=Parameters!$E$15)*Parameters!$I$12*ISNUMBER(W72)),""))</f>
        <v>0.933333333333333</v>
      </c>
      <c r="AA72"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72+(Parameters!$F$12=Parameters!$E$16)*Parameters!$I$12*Y72)=0,"",IF(AND(((Parameters!$F$5=Parameters!$E$16)*Parameters!$I$5*ISNUMBER(P72)+(Parameters!$F$6=Parameters!$E$16)*Parameters!$I$6*ISNUMBER(Q72)+(Parameters!$F$7=Parameters!$E$16)*Parameters!$I$7*ISNUMBER(R72)+(Parameters!$F$8=Parameters!$E$16)*Parameters!$I$8*ISNUMBER(S72)+(Parameters!$F$9=Parameters!$E$16)*Parameters!$I$9*ISNUMBER(T72)+(Parameters!$F$10=Parameters!$E$16)*Parameters!$I$10*ISNUMBER(U72)+(Parameters!$F$11=Parameters!$E$16)*Parameters!$I$11*ISNUMBER(V72)+(Parameters!$F$12=Parameters!$E$16)*Parameters!$I$12*ISNUMBER(W72))&gt;0,((Parameters!$F$5=Parameters!$E$16)*Parameters!$I$5*ISNUMBER(P72)+(Parameters!$F$6=Parameters!$E$16)*Parameters!$I$6*ISNUMBER(Q72)+(Parameters!$F$7=Parameters!$E$16)*Parameters!$I$7*ISNUMBER(R72)+(Parameters!$F$8=Parameters!$E$16)*Parameters!$I$8*ISNUMBER(S72)+(Parameters!$F$9=Parameters!$E$16)*Parameters!$I$9*ISNUMBER(T72)+(Parameters!$F$10=Parameters!$E$16)*Parameters!$I$10*ISNUMBER(U72)+(Parameters!$F$11=Parameters!$E$16)*Parameters!$I$11*ISNUMBER(V72)+(Parameters!$F$12=Parameters!$E$16)*Parameters!$I$12*ISNUMBER(W72))/((Parameters!$F$5=Parameters!$E$16)*Parameters!$I$5*1+(Parameters!$F$6=Parameters!$E$16)*Parameters!$I$6*1+(Parameters!$F$7=Parameters!$E$16)*Parameters!$I$7*1+(Parameters!$F$8=Parameters!$E$16)*Parameters!$I$8*1+(Parameters!$F$9=Parameters!$E$16)*Parameters!$I$9*1+(Parameters!$F$10=Parameters!$E$16)*Parameters!$I$10*1+(Parameters!$F$11=Parameters!$E$16)*Parameters!$I$11*X72+(Parameters!$F$12=Parameters!$E$16)*Parameters!$I$12*Y72)&gt;=Parameters!$B$36),((Parameters!$F$5=Parameters!$E$16)*Parameters!$I$5*N(P72)+(Parameters!$F$6=Parameters!$E$16)*Parameters!$I$6*N(Q72)+(Parameters!$F$7=Parameters!$E$16)*Parameters!$I$7*N(R72)+(Parameters!$F$8=Parameters!$E$16)*Parameters!$I$8*N(S72)+(Parameters!$F$9=Parameters!$E$16)*Parameters!$I$9*N(T72)+(Parameters!$F$10=Parameters!$E$16)*Parameters!$I$10*N(U72)+(Parameters!$F$11=Parameters!$E$16)*Parameters!$I$11*N(V72)+(Parameters!$F$12=Parameters!$E$16)*Parameters!$I$12*N(W72))/((Parameters!$F$5=Parameters!$E$16)*Parameters!$I$5*ISNUMBER(P72)+(Parameters!$F$6=Parameters!$E$16)*Parameters!$I$6*ISNUMBER(Q72)+(Parameters!$F$7=Parameters!$E$16)*Parameters!$I$7*ISNUMBER(R72)+(Parameters!$F$8=Parameters!$E$16)*Parameters!$I$8*ISNUMBER(S72)+(Parameters!$F$9=Parameters!$E$16)*Parameters!$I$9*ISNUMBER(T72)+(Parameters!$F$10=Parameters!$E$16)*Parameters!$I$10*ISNUMBER(U72)+(Parameters!$F$11=Parameters!$E$16)*Parameters!$I$11*ISNUMBER(V72)+(Parameters!$F$12=Parameters!$E$16)*Parameters!$I$12*ISNUMBER(W72)),""))</f>
        <v>0.666666666666667</v>
      </c>
      <c r="AB72"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72+(Parameters!$F$12=Parameters!$E$17)*Parameters!$I$12*Y72)=0,"",IF(AND(((Parameters!$F$5=Parameters!$E$17)*Parameters!$I$5*ISNUMBER(P72)+(Parameters!$F$6=Parameters!$E$17)*Parameters!$I$6*ISNUMBER(Q72)+(Parameters!$F$7=Parameters!$E$17)*Parameters!$I$7*ISNUMBER(R72)+(Parameters!$F$8=Parameters!$E$17)*Parameters!$I$8*ISNUMBER(S72)+(Parameters!$F$9=Parameters!$E$17)*Parameters!$I$9*ISNUMBER(T72)+(Parameters!$F$10=Parameters!$E$17)*Parameters!$I$10*ISNUMBER(U72)+(Parameters!$F$11=Parameters!$E$17)*Parameters!$I$11*ISNUMBER(V72)+(Parameters!$F$12=Parameters!$E$17)*Parameters!$I$12*ISNUMBER(W72))&gt;0,((Parameters!$F$5=Parameters!$E$17)*Parameters!$I$5*ISNUMBER(P72)+(Parameters!$F$6=Parameters!$E$17)*Parameters!$I$6*ISNUMBER(Q72)+(Parameters!$F$7=Parameters!$E$17)*Parameters!$I$7*ISNUMBER(R72)+(Parameters!$F$8=Parameters!$E$17)*Parameters!$I$8*ISNUMBER(S72)+(Parameters!$F$9=Parameters!$E$17)*Parameters!$I$9*ISNUMBER(T72)+(Parameters!$F$10=Parameters!$E$17)*Parameters!$I$10*ISNUMBER(U72)+(Parameters!$F$11=Parameters!$E$17)*Parameters!$I$11*ISNUMBER(V72)+(Parameters!$F$12=Parameters!$E$17)*Parameters!$I$12*ISNUMBER(W72))/((Parameters!$F$5=Parameters!$E$17)*Parameters!$I$5*1+(Parameters!$F$6=Parameters!$E$17)*Parameters!$I$6*1+(Parameters!$F$7=Parameters!$E$17)*Parameters!$I$7*1+(Parameters!$F$8=Parameters!$E$17)*Parameters!$I$8*1+(Parameters!$F$9=Parameters!$E$17)*Parameters!$I$9*1+(Parameters!$F$10=Parameters!$E$17)*Parameters!$I$10*1+(Parameters!$F$11=Parameters!$E$17)*Parameters!$I$11*X72+(Parameters!$F$12=Parameters!$E$17)*Parameters!$I$12*Y72)&gt;=Parameters!$B$36),((Parameters!$F$5=Parameters!$E$17)*Parameters!$I$5*N(P72)+(Parameters!$F$6=Parameters!$E$17)*Parameters!$I$6*N(Q72)+(Parameters!$F$7=Parameters!$E$17)*Parameters!$I$7*N(R72)+(Parameters!$F$8=Parameters!$E$17)*Parameters!$I$8*N(S72)+(Parameters!$F$9=Parameters!$E$17)*Parameters!$I$9*N(T72)+(Parameters!$F$10=Parameters!$E$17)*Parameters!$I$10*N(U72)+(Parameters!$F$11=Parameters!$E$17)*Parameters!$I$11*N(V72)+(Parameters!$F$12=Parameters!$E$17)*Parameters!$I$12*N(W72))/((Parameters!$F$5=Parameters!$E$17)*Parameters!$I$5*ISNUMBER(P72)+(Parameters!$F$6=Parameters!$E$17)*Parameters!$I$6*ISNUMBER(Q72)+(Parameters!$F$7=Parameters!$E$17)*Parameters!$I$7*ISNUMBER(R72)+(Parameters!$F$8=Parameters!$E$17)*Parameters!$I$8*ISNUMBER(S72)+(Parameters!$F$9=Parameters!$E$17)*Parameters!$I$9*ISNUMBER(T72)+(Parameters!$F$10=Parameters!$E$17)*Parameters!$I$10*ISNUMBER(U72)+(Parameters!$F$11=Parameters!$E$17)*Parameters!$I$11*ISNUMBER(V72)+(Parameters!$F$12=Parameters!$E$17)*Parameters!$I$12*ISNUMBER(W72)),""))</f>
        <v/>
      </c>
      <c r="AC72" s="17" t="n">
        <f aca="false">Parameters!$I$5*ISNUMBER(P72)+Parameters!$I$6*ISNUMBER(Q72)+Parameters!$I$7*ISNUMBER(R72)+Parameters!$I$8*ISNUMBER(S72)+Parameters!$I$9*ISNUMBER(T72)+Parameters!$I$10*ISNUMBER(U72)+Parameters!$I$11*ISNUMBER(V72)+Parameters!$I$12*ISNUMBER(W72)</f>
        <v>65</v>
      </c>
      <c r="AD72" s="17" t="n">
        <f aca="false">Parameters!$I$5*1+Parameters!$I$6*1+Parameters!$I$7*1+Parameters!$I$8*1+Parameters!$I$9*1+Parameters!$I$10*1+Parameters!$I$11*X72+Parameters!$I$12*Y72</f>
        <v>75</v>
      </c>
      <c r="AE72" s="18" t="n">
        <f aca="false">IF(AD72=0,"",AC72/AD72)</f>
        <v>0.866666666666667</v>
      </c>
      <c r="AF72" s="17" t="str">
        <f aca="false">IF(ISNUMBER(Z72),"M","")&amp;IF(ISNUMBER(AA72),"I","")&amp;IF(ISNUMBER(AB72),"O","")</f>
        <v>MI</v>
      </c>
      <c r="AG72" s="19" t="n">
        <f aca="false">IF(AND(ISNUMBER(AE72),ISNUMBER(Z72)+ISNUMBER(AA72)+ISNUMBER(AB72)&gt;=Parameters!$B$37),IF(AE72&gt;=Parameters!$B$35,100*(Parameters!$F$15*N(Z72)+Parameters!$F$16*N(AA72)+Parameters!$F$17*N(AB72))/(Parameters!$F$15*ISNUMBER(Z72)+Parameters!$F$16*ISNUMBER(AA72)+Parameters!$F$17*ISNUMBER(AB72)),""),"")</f>
        <v>83.3333333333333</v>
      </c>
      <c r="AH72" s="17" t="n">
        <f aca="false">IF(ISNUMBER(AG72),RANK(AG72,$AG$2:$AG$113),"")</f>
        <v>67</v>
      </c>
    </row>
    <row r="73" customFormat="false" ht="15" hidden="false" customHeight="false" outlineLevel="0" collapsed="false">
      <c r="A73" s="5" t="s">
        <v>378</v>
      </c>
      <c r="B73" s="5" t="s">
        <v>379</v>
      </c>
      <c r="C73" s="5" t="s">
        <v>380</v>
      </c>
      <c r="D73" s="5" t="s">
        <v>31</v>
      </c>
      <c r="E73" s="5" t="s">
        <v>44</v>
      </c>
      <c r="F73" s="5" t="s">
        <v>211</v>
      </c>
      <c r="G73" s="15"/>
      <c r="H73" s="8"/>
      <c r="I73" s="5" t="s">
        <v>57</v>
      </c>
      <c r="J73" s="5" t="s">
        <v>66</v>
      </c>
      <c r="K73" s="15"/>
      <c r="L73" s="5" t="s">
        <v>76</v>
      </c>
      <c r="M73" s="5" t="s">
        <v>141</v>
      </c>
      <c r="N73" s="5"/>
      <c r="O73" s="5"/>
      <c r="P73" s="16" t="n">
        <f aca="false">IFERROR(IF(ISNUMBER(INDEX(Parameters!$B$5:$B$23,MATCH(D73,Parameters!$A$5:$A$23,0))),INDEX(Parameters!$B$5:$B$23,MATCH(D73,Parameters!$A$5:$A$23,0)),""),"")</f>
        <v>1</v>
      </c>
      <c r="Q73" s="16" t="n">
        <f aca="false">IFERROR(IF(ISNUMBER(INDEX(Parameters!$B$5:$B$23,MATCH(E73,Parameters!$A$5:$A$23,0))),INDEX(Parameters!$B$5:$B$23,MATCH(E73,Parameters!$A$5:$A$23,0)),""),"")</f>
        <v>1</v>
      </c>
      <c r="R73" s="16" t="n">
        <f aca="false">IF(F73="","",IFERROR(MIN(Parameters!$B$33,MAX(0,Parameters!$B$32-VALUE(LEFT(F73,4))))/Parameters!$B$33,""))</f>
        <v>1</v>
      </c>
      <c r="S73" s="16" t="str">
        <f aca="false">IF(ISNUMBER(H73),H73,IF(G73="",IF(ISNUMBER(Parameters!$B$34),Parameters!$B$34,""),""))</f>
        <v/>
      </c>
      <c r="T73" s="16" t="n">
        <f aca="false">IFERROR(IF(ISNUMBER(INDEX(Parameters!$B$5:$B$23,MATCH(I73,Parameters!$A$5:$A$23,0))),INDEX(Parameters!$B$5:$B$23,MATCH(I73,Parameters!$A$5:$A$23,0)),""),"")</f>
        <v>0</v>
      </c>
      <c r="U73" s="16" t="n">
        <f aca="false">IFERROR(IF(ISNUMBER(INDEX(Parameters!$B$5:$B$23,MATCH(L73,Parameters!$A$5:$A$23,0))),INDEX(Parameters!$B$5:$B$23,MATCH(L73,Parameters!$A$5:$A$23,0)),""),"")</f>
        <v>1</v>
      </c>
      <c r="V73" s="16" t="n">
        <f aca="false">IFERROR(IF(ISNUMBER(INDEX(Parameters!$B$5:$B$23,MATCH(J73,Parameters!$A$5:$A$23,0))),INDEX(Parameters!$B$5:$B$23,MATCH(J73,Parameters!$A$5:$A$23,0)),""),"")</f>
        <v>1</v>
      </c>
      <c r="W73" s="16" t="str">
        <f aca="false">IF(K73&lt;&gt;"",1,IF(COUNTIF(Parameters!$A$27:$A$28,J73)&gt;0,0,""))</f>
        <v/>
      </c>
      <c r="X73" s="17" t="n">
        <f aca="false">IF(J73="Not applicable",0,1)</f>
        <v>1</v>
      </c>
      <c r="Y73" s="17" t="n">
        <f aca="false">IF(OR(K73&lt;&gt;"",COUNTIF(Parameters!$A$27:$A$28,J73)&gt;0),1,0)</f>
        <v>0</v>
      </c>
      <c r="Z73"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73+(Parameters!$F$12=Parameters!$E$15)*Parameters!$I$12*Y73)=0,"",IF(AND(((Parameters!$F$5=Parameters!$E$15)*Parameters!$I$5*ISNUMBER(P73)+(Parameters!$F$6=Parameters!$E$15)*Parameters!$I$6*ISNUMBER(Q73)+(Parameters!$F$7=Parameters!$E$15)*Parameters!$I$7*ISNUMBER(R73)+(Parameters!$F$8=Parameters!$E$15)*Parameters!$I$8*ISNUMBER(S73)+(Parameters!$F$9=Parameters!$E$15)*Parameters!$I$9*ISNUMBER(T73)+(Parameters!$F$10=Parameters!$E$15)*Parameters!$I$10*ISNUMBER(U73)+(Parameters!$F$11=Parameters!$E$15)*Parameters!$I$11*ISNUMBER(V73)+(Parameters!$F$12=Parameters!$E$15)*Parameters!$I$12*ISNUMBER(W73))&gt;0,((Parameters!$F$5=Parameters!$E$15)*Parameters!$I$5*ISNUMBER(P73)+(Parameters!$F$6=Parameters!$E$15)*Parameters!$I$6*ISNUMBER(Q73)+(Parameters!$F$7=Parameters!$E$15)*Parameters!$I$7*ISNUMBER(R73)+(Parameters!$F$8=Parameters!$E$15)*Parameters!$I$8*ISNUMBER(S73)+(Parameters!$F$9=Parameters!$E$15)*Parameters!$I$9*ISNUMBER(T73)+(Parameters!$F$10=Parameters!$E$15)*Parameters!$I$10*ISNUMBER(U73)+(Parameters!$F$11=Parameters!$E$15)*Parameters!$I$11*ISNUMBER(V73)+(Parameters!$F$12=Parameters!$E$15)*Parameters!$I$12*ISNUMBER(W73))/((Parameters!$F$5=Parameters!$E$15)*Parameters!$I$5*1+(Parameters!$F$6=Parameters!$E$15)*Parameters!$I$6*1+(Parameters!$F$7=Parameters!$E$15)*Parameters!$I$7*1+(Parameters!$F$8=Parameters!$E$15)*Parameters!$I$8*1+(Parameters!$F$9=Parameters!$E$15)*Parameters!$I$9*1+(Parameters!$F$10=Parameters!$E$15)*Parameters!$I$10*1+(Parameters!$F$11=Parameters!$E$15)*Parameters!$I$11*X73+(Parameters!$F$12=Parameters!$E$15)*Parameters!$I$12*Y73)&gt;=Parameters!$B$36),((Parameters!$F$5=Parameters!$E$15)*Parameters!$I$5*N(P73)+(Parameters!$F$6=Parameters!$E$15)*Parameters!$I$6*N(Q73)+(Parameters!$F$7=Parameters!$E$15)*Parameters!$I$7*N(R73)+(Parameters!$F$8=Parameters!$E$15)*Parameters!$I$8*N(S73)+(Parameters!$F$9=Parameters!$E$15)*Parameters!$I$9*N(T73)+(Parameters!$F$10=Parameters!$E$15)*Parameters!$I$10*N(U73)+(Parameters!$F$11=Parameters!$E$15)*Parameters!$I$11*N(V73)+(Parameters!$F$12=Parameters!$E$15)*Parameters!$I$12*N(W73))/((Parameters!$F$5=Parameters!$E$15)*Parameters!$I$5*ISNUMBER(P73)+(Parameters!$F$6=Parameters!$E$15)*Parameters!$I$6*ISNUMBER(Q73)+(Parameters!$F$7=Parameters!$E$15)*Parameters!$I$7*ISNUMBER(R73)+(Parameters!$F$8=Parameters!$E$15)*Parameters!$I$8*ISNUMBER(S73)+(Parameters!$F$9=Parameters!$E$15)*Parameters!$I$9*ISNUMBER(T73)+(Parameters!$F$10=Parameters!$E$15)*Parameters!$I$10*ISNUMBER(U73)+(Parameters!$F$11=Parameters!$E$15)*Parameters!$I$11*ISNUMBER(V73)+(Parameters!$F$12=Parameters!$E$15)*Parameters!$I$12*ISNUMBER(W73)),""))</f>
        <v>1</v>
      </c>
      <c r="AA73"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73+(Parameters!$F$12=Parameters!$E$16)*Parameters!$I$12*Y73)=0,"",IF(AND(((Parameters!$F$5=Parameters!$E$16)*Parameters!$I$5*ISNUMBER(P73)+(Parameters!$F$6=Parameters!$E$16)*Parameters!$I$6*ISNUMBER(Q73)+(Parameters!$F$7=Parameters!$E$16)*Parameters!$I$7*ISNUMBER(R73)+(Parameters!$F$8=Parameters!$E$16)*Parameters!$I$8*ISNUMBER(S73)+(Parameters!$F$9=Parameters!$E$16)*Parameters!$I$9*ISNUMBER(T73)+(Parameters!$F$10=Parameters!$E$16)*Parameters!$I$10*ISNUMBER(U73)+(Parameters!$F$11=Parameters!$E$16)*Parameters!$I$11*ISNUMBER(V73)+(Parameters!$F$12=Parameters!$E$16)*Parameters!$I$12*ISNUMBER(W73))&gt;0,((Parameters!$F$5=Parameters!$E$16)*Parameters!$I$5*ISNUMBER(P73)+(Parameters!$F$6=Parameters!$E$16)*Parameters!$I$6*ISNUMBER(Q73)+(Parameters!$F$7=Parameters!$E$16)*Parameters!$I$7*ISNUMBER(R73)+(Parameters!$F$8=Parameters!$E$16)*Parameters!$I$8*ISNUMBER(S73)+(Parameters!$F$9=Parameters!$E$16)*Parameters!$I$9*ISNUMBER(T73)+(Parameters!$F$10=Parameters!$E$16)*Parameters!$I$10*ISNUMBER(U73)+(Parameters!$F$11=Parameters!$E$16)*Parameters!$I$11*ISNUMBER(V73)+(Parameters!$F$12=Parameters!$E$16)*Parameters!$I$12*ISNUMBER(W73))/((Parameters!$F$5=Parameters!$E$16)*Parameters!$I$5*1+(Parameters!$F$6=Parameters!$E$16)*Parameters!$I$6*1+(Parameters!$F$7=Parameters!$E$16)*Parameters!$I$7*1+(Parameters!$F$8=Parameters!$E$16)*Parameters!$I$8*1+(Parameters!$F$9=Parameters!$E$16)*Parameters!$I$9*1+(Parameters!$F$10=Parameters!$E$16)*Parameters!$I$10*1+(Parameters!$F$11=Parameters!$E$16)*Parameters!$I$11*X73+(Parameters!$F$12=Parameters!$E$16)*Parameters!$I$12*Y73)&gt;=Parameters!$B$36),((Parameters!$F$5=Parameters!$E$16)*Parameters!$I$5*N(P73)+(Parameters!$F$6=Parameters!$E$16)*Parameters!$I$6*N(Q73)+(Parameters!$F$7=Parameters!$E$16)*Parameters!$I$7*N(R73)+(Parameters!$F$8=Parameters!$E$16)*Parameters!$I$8*N(S73)+(Parameters!$F$9=Parameters!$E$16)*Parameters!$I$9*N(T73)+(Parameters!$F$10=Parameters!$E$16)*Parameters!$I$10*N(U73)+(Parameters!$F$11=Parameters!$E$16)*Parameters!$I$11*N(V73)+(Parameters!$F$12=Parameters!$E$16)*Parameters!$I$12*N(W73))/((Parameters!$F$5=Parameters!$E$16)*Parameters!$I$5*ISNUMBER(P73)+(Parameters!$F$6=Parameters!$E$16)*Parameters!$I$6*ISNUMBER(Q73)+(Parameters!$F$7=Parameters!$E$16)*Parameters!$I$7*ISNUMBER(R73)+(Parameters!$F$8=Parameters!$E$16)*Parameters!$I$8*ISNUMBER(S73)+(Parameters!$F$9=Parameters!$E$16)*Parameters!$I$9*ISNUMBER(T73)+(Parameters!$F$10=Parameters!$E$16)*Parameters!$I$10*ISNUMBER(U73)+(Parameters!$F$11=Parameters!$E$16)*Parameters!$I$11*ISNUMBER(V73)+(Parameters!$F$12=Parameters!$E$16)*Parameters!$I$12*ISNUMBER(W73)),""))</f>
        <v>0.666666666666667</v>
      </c>
      <c r="AB73"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73+(Parameters!$F$12=Parameters!$E$17)*Parameters!$I$12*Y73)=0,"",IF(AND(((Parameters!$F$5=Parameters!$E$17)*Parameters!$I$5*ISNUMBER(P73)+(Parameters!$F$6=Parameters!$E$17)*Parameters!$I$6*ISNUMBER(Q73)+(Parameters!$F$7=Parameters!$E$17)*Parameters!$I$7*ISNUMBER(R73)+(Parameters!$F$8=Parameters!$E$17)*Parameters!$I$8*ISNUMBER(S73)+(Parameters!$F$9=Parameters!$E$17)*Parameters!$I$9*ISNUMBER(T73)+(Parameters!$F$10=Parameters!$E$17)*Parameters!$I$10*ISNUMBER(U73)+(Parameters!$F$11=Parameters!$E$17)*Parameters!$I$11*ISNUMBER(V73)+(Parameters!$F$12=Parameters!$E$17)*Parameters!$I$12*ISNUMBER(W73))&gt;0,((Parameters!$F$5=Parameters!$E$17)*Parameters!$I$5*ISNUMBER(P73)+(Parameters!$F$6=Parameters!$E$17)*Parameters!$I$6*ISNUMBER(Q73)+(Parameters!$F$7=Parameters!$E$17)*Parameters!$I$7*ISNUMBER(R73)+(Parameters!$F$8=Parameters!$E$17)*Parameters!$I$8*ISNUMBER(S73)+(Parameters!$F$9=Parameters!$E$17)*Parameters!$I$9*ISNUMBER(T73)+(Parameters!$F$10=Parameters!$E$17)*Parameters!$I$10*ISNUMBER(U73)+(Parameters!$F$11=Parameters!$E$17)*Parameters!$I$11*ISNUMBER(V73)+(Parameters!$F$12=Parameters!$E$17)*Parameters!$I$12*ISNUMBER(W73))/((Parameters!$F$5=Parameters!$E$17)*Parameters!$I$5*1+(Parameters!$F$6=Parameters!$E$17)*Parameters!$I$6*1+(Parameters!$F$7=Parameters!$E$17)*Parameters!$I$7*1+(Parameters!$F$8=Parameters!$E$17)*Parameters!$I$8*1+(Parameters!$F$9=Parameters!$E$17)*Parameters!$I$9*1+(Parameters!$F$10=Parameters!$E$17)*Parameters!$I$10*1+(Parameters!$F$11=Parameters!$E$17)*Parameters!$I$11*X73+(Parameters!$F$12=Parameters!$E$17)*Parameters!$I$12*Y73)&gt;=Parameters!$B$36),((Parameters!$F$5=Parameters!$E$17)*Parameters!$I$5*N(P73)+(Parameters!$F$6=Parameters!$E$17)*Parameters!$I$6*N(Q73)+(Parameters!$F$7=Parameters!$E$17)*Parameters!$I$7*N(R73)+(Parameters!$F$8=Parameters!$E$17)*Parameters!$I$8*N(S73)+(Parameters!$F$9=Parameters!$E$17)*Parameters!$I$9*N(T73)+(Parameters!$F$10=Parameters!$E$17)*Parameters!$I$10*N(U73)+(Parameters!$F$11=Parameters!$E$17)*Parameters!$I$11*N(V73)+(Parameters!$F$12=Parameters!$E$17)*Parameters!$I$12*N(W73))/((Parameters!$F$5=Parameters!$E$17)*Parameters!$I$5*ISNUMBER(P73)+(Parameters!$F$6=Parameters!$E$17)*Parameters!$I$6*ISNUMBER(Q73)+(Parameters!$F$7=Parameters!$E$17)*Parameters!$I$7*ISNUMBER(R73)+(Parameters!$F$8=Parameters!$E$17)*Parameters!$I$8*ISNUMBER(S73)+(Parameters!$F$9=Parameters!$E$17)*Parameters!$I$9*ISNUMBER(T73)+(Parameters!$F$10=Parameters!$E$17)*Parameters!$I$10*ISNUMBER(U73)+(Parameters!$F$11=Parameters!$E$17)*Parameters!$I$11*ISNUMBER(V73)+(Parameters!$F$12=Parameters!$E$17)*Parameters!$I$12*ISNUMBER(W73)),""))</f>
        <v>1</v>
      </c>
      <c r="AC73" s="17" t="n">
        <f aca="false">Parameters!$I$5*ISNUMBER(P73)+Parameters!$I$6*ISNUMBER(Q73)+Parameters!$I$7*ISNUMBER(R73)+Parameters!$I$8*ISNUMBER(S73)+Parameters!$I$9*ISNUMBER(T73)+Parameters!$I$10*ISNUMBER(U73)+Parameters!$I$11*ISNUMBER(V73)+Parameters!$I$12*ISNUMBER(W73)</f>
        <v>75</v>
      </c>
      <c r="AD73" s="17" t="n">
        <f aca="false">Parameters!$I$5*1+Parameters!$I$6*1+Parameters!$I$7*1+Parameters!$I$8*1+Parameters!$I$9*1+Parameters!$I$10*1+Parameters!$I$11*X73+Parameters!$I$12*Y73</f>
        <v>85</v>
      </c>
      <c r="AE73" s="18" t="n">
        <f aca="false">IF(AD73=0,"",AC73/AD73)</f>
        <v>0.882352941176471</v>
      </c>
      <c r="AF73" s="17" t="str">
        <f aca="false">IF(ISNUMBER(Z73),"M","")&amp;IF(ISNUMBER(AA73),"I","")&amp;IF(ISNUMBER(AB73),"O","")</f>
        <v>MIO</v>
      </c>
      <c r="AG73" s="19" t="n">
        <f aca="false">IF(AND(ISNUMBER(AE73),ISNUMBER(Z73)+ISNUMBER(AA73)+ISNUMBER(AB73)&gt;=Parameters!$B$37),IF(AE73&gt;=Parameters!$B$35,100*(Parameters!$F$15*N(Z73)+Parameters!$F$16*N(AA73)+Parameters!$F$17*N(AB73))/(Parameters!$F$15*ISNUMBER(Z73)+Parameters!$F$16*ISNUMBER(AA73)+Parameters!$F$17*ISNUMBER(AB73)),""),"")</f>
        <v>90</v>
      </c>
      <c r="AH73" s="17" t="n">
        <f aca="false">IF(ISNUMBER(AG73),RANK(AG73,$AG$2:$AG$113),"")</f>
        <v>25</v>
      </c>
    </row>
    <row r="74" customFormat="false" ht="15" hidden="false" customHeight="false" outlineLevel="0" collapsed="false">
      <c r="A74" s="5" t="s">
        <v>381</v>
      </c>
      <c r="B74" s="5" t="s">
        <v>175</v>
      </c>
      <c r="C74" s="5" t="s">
        <v>249</v>
      </c>
      <c r="D74" s="5" t="s">
        <v>31</v>
      </c>
      <c r="E74" s="5" t="s">
        <v>44</v>
      </c>
      <c r="F74" s="5" t="s">
        <v>146</v>
      </c>
      <c r="G74" s="20" t="s">
        <v>382</v>
      </c>
      <c r="H74" s="8" t="n">
        <v>1</v>
      </c>
      <c r="I74" s="5" t="s">
        <v>57</v>
      </c>
      <c r="J74" s="5" t="s">
        <v>74</v>
      </c>
      <c r="K74" s="15"/>
      <c r="L74" s="5" t="s">
        <v>76</v>
      </c>
      <c r="M74" s="5" t="s">
        <v>141</v>
      </c>
      <c r="N74" s="5"/>
      <c r="O74" s="5"/>
      <c r="P74" s="16" t="n">
        <f aca="false">IFERROR(IF(ISNUMBER(INDEX(Parameters!$B$5:$B$23,MATCH(D74,Parameters!$A$5:$A$23,0))),INDEX(Parameters!$B$5:$B$23,MATCH(D74,Parameters!$A$5:$A$23,0)),""),"")</f>
        <v>1</v>
      </c>
      <c r="Q74" s="16" t="n">
        <f aca="false">IFERROR(IF(ISNUMBER(INDEX(Parameters!$B$5:$B$23,MATCH(E74,Parameters!$A$5:$A$23,0))),INDEX(Parameters!$B$5:$B$23,MATCH(E74,Parameters!$A$5:$A$23,0)),""),"")</f>
        <v>1</v>
      </c>
      <c r="R74" s="16" t="n">
        <f aca="false">IF(F74="","",IFERROR(MIN(Parameters!$B$33,MAX(0,Parameters!$B$32-VALUE(LEFT(F74,4))))/Parameters!$B$33,""))</f>
        <v>0.533333333333333</v>
      </c>
      <c r="S74" s="16" t="n">
        <f aca="false">IF(ISNUMBER(H74),H74,IF(G74="",IF(ISNUMBER(Parameters!$B$34),Parameters!$B$34,""),""))</f>
        <v>1</v>
      </c>
      <c r="T74" s="16" t="n">
        <f aca="false">IFERROR(IF(ISNUMBER(INDEX(Parameters!$B$5:$B$23,MATCH(I74,Parameters!$A$5:$A$23,0))),INDEX(Parameters!$B$5:$B$23,MATCH(I74,Parameters!$A$5:$A$23,0)),""),"")</f>
        <v>0</v>
      </c>
      <c r="U74" s="16" t="n">
        <f aca="false">IFERROR(IF(ISNUMBER(INDEX(Parameters!$B$5:$B$23,MATCH(L74,Parameters!$A$5:$A$23,0))),INDEX(Parameters!$B$5:$B$23,MATCH(L74,Parameters!$A$5:$A$23,0)),""),"")</f>
        <v>1</v>
      </c>
      <c r="V74" s="16" t="str">
        <f aca="false">IFERROR(IF(ISNUMBER(INDEX(Parameters!$B$5:$B$23,MATCH(J74,Parameters!$A$5:$A$23,0))),INDEX(Parameters!$B$5:$B$23,MATCH(J74,Parameters!$A$5:$A$23,0)),""),"")</f>
        <v/>
      </c>
      <c r="W74" s="16" t="str">
        <f aca="false">IF(K74&lt;&gt;"",1,IF(COUNTIF(Parameters!$A$27:$A$28,J74)&gt;0,0,""))</f>
        <v/>
      </c>
      <c r="X74" s="17" t="n">
        <f aca="false">IF(J74="Not applicable",0,1)</f>
        <v>0</v>
      </c>
      <c r="Y74" s="17" t="n">
        <f aca="false">IF(OR(K74&lt;&gt;"",COUNTIF(Parameters!$A$27:$A$28,J74)&gt;0),1,0)</f>
        <v>0</v>
      </c>
      <c r="Z74"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74+(Parameters!$F$12=Parameters!$E$15)*Parameters!$I$12*Y74)=0,"",IF(AND(((Parameters!$F$5=Parameters!$E$15)*Parameters!$I$5*ISNUMBER(P74)+(Parameters!$F$6=Parameters!$E$15)*Parameters!$I$6*ISNUMBER(Q74)+(Parameters!$F$7=Parameters!$E$15)*Parameters!$I$7*ISNUMBER(R74)+(Parameters!$F$8=Parameters!$E$15)*Parameters!$I$8*ISNUMBER(S74)+(Parameters!$F$9=Parameters!$E$15)*Parameters!$I$9*ISNUMBER(T74)+(Parameters!$F$10=Parameters!$E$15)*Parameters!$I$10*ISNUMBER(U74)+(Parameters!$F$11=Parameters!$E$15)*Parameters!$I$11*ISNUMBER(V74)+(Parameters!$F$12=Parameters!$E$15)*Parameters!$I$12*ISNUMBER(W74))&gt;0,((Parameters!$F$5=Parameters!$E$15)*Parameters!$I$5*ISNUMBER(P74)+(Parameters!$F$6=Parameters!$E$15)*Parameters!$I$6*ISNUMBER(Q74)+(Parameters!$F$7=Parameters!$E$15)*Parameters!$I$7*ISNUMBER(R74)+(Parameters!$F$8=Parameters!$E$15)*Parameters!$I$8*ISNUMBER(S74)+(Parameters!$F$9=Parameters!$E$15)*Parameters!$I$9*ISNUMBER(T74)+(Parameters!$F$10=Parameters!$E$15)*Parameters!$I$10*ISNUMBER(U74)+(Parameters!$F$11=Parameters!$E$15)*Parameters!$I$11*ISNUMBER(V74)+(Parameters!$F$12=Parameters!$E$15)*Parameters!$I$12*ISNUMBER(W74))/((Parameters!$F$5=Parameters!$E$15)*Parameters!$I$5*1+(Parameters!$F$6=Parameters!$E$15)*Parameters!$I$6*1+(Parameters!$F$7=Parameters!$E$15)*Parameters!$I$7*1+(Parameters!$F$8=Parameters!$E$15)*Parameters!$I$8*1+(Parameters!$F$9=Parameters!$E$15)*Parameters!$I$9*1+(Parameters!$F$10=Parameters!$E$15)*Parameters!$I$10*1+(Parameters!$F$11=Parameters!$E$15)*Parameters!$I$11*X74+(Parameters!$F$12=Parameters!$E$15)*Parameters!$I$12*Y74)&gt;=Parameters!$B$36),((Parameters!$F$5=Parameters!$E$15)*Parameters!$I$5*N(P74)+(Parameters!$F$6=Parameters!$E$15)*Parameters!$I$6*N(Q74)+(Parameters!$F$7=Parameters!$E$15)*Parameters!$I$7*N(R74)+(Parameters!$F$8=Parameters!$E$15)*Parameters!$I$8*N(S74)+(Parameters!$F$9=Parameters!$E$15)*Parameters!$I$9*N(T74)+(Parameters!$F$10=Parameters!$E$15)*Parameters!$I$10*N(U74)+(Parameters!$F$11=Parameters!$E$15)*Parameters!$I$11*N(V74)+(Parameters!$F$12=Parameters!$E$15)*Parameters!$I$12*N(W74))/((Parameters!$F$5=Parameters!$E$15)*Parameters!$I$5*ISNUMBER(P74)+(Parameters!$F$6=Parameters!$E$15)*Parameters!$I$6*ISNUMBER(Q74)+(Parameters!$F$7=Parameters!$E$15)*Parameters!$I$7*ISNUMBER(R74)+(Parameters!$F$8=Parameters!$E$15)*Parameters!$I$8*ISNUMBER(S74)+(Parameters!$F$9=Parameters!$E$15)*Parameters!$I$9*ISNUMBER(T74)+(Parameters!$F$10=Parameters!$E$15)*Parameters!$I$10*ISNUMBER(U74)+(Parameters!$F$11=Parameters!$E$15)*Parameters!$I$11*ISNUMBER(V74)+(Parameters!$F$12=Parameters!$E$15)*Parameters!$I$12*ISNUMBER(W74)),""))</f>
        <v>0.953333333333333</v>
      </c>
      <c r="AA74"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74+(Parameters!$F$12=Parameters!$E$16)*Parameters!$I$12*Y74)=0,"",IF(AND(((Parameters!$F$5=Parameters!$E$16)*Parameters!$I$5*ISNUMBER(P74)+(Parameters!$F$6=Parameters!$E$16)*Parameters!$I$6*ISNUMBER(Q74)+(Parameters!$F$7=Parameters!$E$16)*Parameters!$I$7*ISNUMBER(R74)+(Parameters!$F$8=Parameters!$E$16)*Parameters!$I$8*ISNUMBER(S74)+(Parameters!$F$9=Parameters!$E$16)*Parameters!$I$9*ISNUMBER(T74)+(Parameters!$F$10=Parameters!$E$16)*Parameters!$I$10*ISNUMBER(U74)+(Parameters!$F$11=Parameters!$E$16)*Parameters!$I$11*ISNUMBER(V74)+(Parameters!$F$12=Parameters!$E$16)*Parameters!$I$12*ISNUMBER(W74))&gt;0,((Parameters!$F$5=Parameters!$E$16)*Parameters!$I$5*ISNUMBER(P74)+(Parameters!$F$6=Parameters!$E$16)*Parameters!$I$6*ISNUMBER(Q74)+(Parameters!$F$7=Parameters!$E$16)*Parameters!$I$7*ISNUMBER(R74)+(Parameters!$F$8=Parameters!$E$16)*Parameters!$I$8*ISNUMBER(S74)+(Parameters!$F$9=Parameters!$E$16)*Parameters!$I$9*ISNUMBER(T74)+(Parameters!$F$10=Parameters!$E$16)*Parameters!$I$10*ISNUMBER(U74)+(Parameters!$F$11=Parameters!$E$16)*Parameters!$I$11*ISNUMBER(V74)+(Parameters!$F$12=Parameters!$E$16)*Parameters!$I$12*ISNUMBER(W74))/((Parameters!$F$5=Parameters!$E$16)*Parameters!$I$5*1+(Parameters!$F$6=Parameters!$E$16)*Parameters!$I$6*1+(Parameters!$F$7=Parameters!$E$16)*Parameters!$I$7*1+(Parameters!$F$8=Parameters!$E$16)*Parameters!$I$8*1+(Parameters!$F$9=Parameters!$E$16)*Parameters!$I$9*1+(Parameters!$F$10=Parameters!$E$16)*Parameters!$I$10*1+(Parameters!$F$11=Parameters!$E$16)*Parameters!$I$11*X74+(Parameters!$F$12=Parameters!$E$16)*Parameters!$I$12*Y74)&gt;=Parameters!$B$36),((Parameters!$F$5=Parameters!$E$16)*Parameters!$I$5*N(P74)+(Parameters!$F$6=Parameters!$E$16)*Parameters!$I$6*N(Q74)+(Parameters!$F$7=Parameters!$E$16)*Parameters!$I$7*N(R74)+(Parameters!$F$8=Parameters!$E$16)*Parameters!$I$8*N(S74)+(Parameters!$F$9=Parameters!$E$16)*Parameters!$I$9*N(T74)+(Parameters!$F$10=Parameters!$E$16)*Parameters!$I$10*N(U74)+(Parameters!$F$11=Parameters!$E$16)*Parameters!$I$11*N(V74)+(Parameters!$F$12=Parameters!$E$16)*Parameters!$I$12*N(W74))/((Parameters!$F$5=Parameters!$E$16)*Parameters!$I$5*ISNUMBER(P74)+(Parameters!$F$6=Parameters!$E$16)*Parameters!$I$6*ISNUMBER(Q74)+(Parameters!$F$7=Parameters!$E$16)*Parameters!$I$7*ISNUMBER(R74)+(Parameters!$F$8=Parameters!$E$16)*Parameters!$I$8*ISNUMBER(S74)+(Parameters!$F$9=Parameters!$E$16)*Parameters!$I$9*ISNUMBER(T74)+(Parameters!$F$10=Parameters!$E$16)*Parameters!$I$10*ISNUMBER(U74)+(Parameters!$F$11=Parameters!$E$16)*Parameters!$I$11*ISNUMBER(V74)+(Parameters!$F$12=Parameters!$E$16)*Parameters!$I$12*ISNUMBER(W74)),""))</f>
        <v>0.8</v>
      </c>
      <c r="AB74"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74+(Parameters!$F$12=Parameters!$E$17)*Parameters!$I$12*Y74)=0,"",IF(AND(((Parameters!$F$5=Parameters!$E$17)*Parameters!$I$5*ISNUMBER(P74)+(Parameters!$F$6=Parameters!$E$17)*Parameters!$I$6*ISNUMBER(Q74)+(Parameters!$F$7=Parameters!$E$17)*Parameters!$I$7*ISNUMBER(R74)+(Parameters!$F$8=Parameters!$E$17)*Parameters!$I$8*ISNUMBER(S74)+(Parameters!$F$9=Parameters!$E$17)*Parameters!$I$9*ISNUMBER(T74)+(Parameters!$F$10=Parameters!$E$17)*Parameters!$I$10*ISNUMBER(U74)+(Parameters!$F$11=Parameters!$E$17)*Parameters!$I$11*ISNUMBER(V74)+(Parameters!$F$12=Parameters!$E$17)*Parameters!$I$12*ISNUMBER(W74))&gt;0,((Parameters!$F$5=Parameters!$E$17)*Parameters!$I$5*ISNUMBER(P74)+(Parameters!$F$6=Parameters!$E$17)*Parameters!$I$6*ISNUMBER(Q74)+(Parameters!$F$7=Parameters!$E$17)*Parameters!$I$7*ISNUMBER(R74)+(Parameters!$F$8=Parameters!$E$17)*Parameters!$I$8*ISNUMBER(S74)+(Parameters!$F$9=Parameters!$E$17)*Parameters!$I$9*ISNUMBER(T74)+(Parameters!$F$10=Parameters!$E$17)*Parameters!$I$10*ISNUMBER(U74)+(Parameters!$F$11=Parameters!$E$17)*Parameters!$I$11*ISNUMBER(V74)+(Parameters!$F$12=Parameters!$E$17)*Parameters!$I$12*ISNUMBER(W74))/((Parameters!$F$5=Parameters!$E$17)*Parameters!$I$5*1+(Parameters!$F$6=Parameters!$E$17)*Parameters!$I$6*1+(Parameters!$F$7=Parameters!$E$17)*Parameters!$I$7*1+(Parameters!$F$8=Parameters!$E$17)*Parameters!$I$8*1+(Parameters!$F$9=Parameters!$E$17)*Parameters!$I$9*1+(Parameters!$F$10=Parameters!$E$17)*Parameters!$I$10*1+(Parameters!$F$11=Parameters!$E$17)*Parameters!$I$11*X74+(Parameters!$F$12=Parameters!$E$17)*Parameters!$I$12*Y74)&gt;=Parameters!$B$36),((Parameters!$F$5=Parameters!$E$17)*Parameters!$I$5*N(P74)+(Parameters!$F$6=Parameters!$E$17)*Parameters!$I$6*N(Q74)+(Parameters!$F$7=Parameters!$E$17)*Parameters!$I$7*N(R74)+(Parameters!$F$8=Parameters!$E$17)*Parameters!$I$8*N(S74)+(Parameters!$F$9=Parameters!$E$17)*Parameters!$I$9*N(T74)+(Parameters!$F$10=Parameters!$E$17)*Parameters!$I$10*N(U74)+(Parameters!$F$11=Parameters!$E$17)*Parameters!$I$11*N(V74)+(Parameters!$F$12=Parameters!$E$17)*Parameters!$I$12*N(W74))/((Parameters!$F$5=Parameters!$E$17)*Parameters!$I$5*ISNUMBER(P74)+(Parameters!$F$6=Parameters!$E$17)*Parameters!$I$6*ISNUMBER(Q74)+(Parameters!$F$7=Parameters!$E$17)*Parameters!$I$7*ISNUMBER(R74)+(Parameters!$F$8=Parameters!$E$17)*Parameters!$I$8*ISNUMBER(S74)+(Parameters!$F$9=Parameters!$E$17)*Parameters!$I$9*ISNUMBER(T74)+(Parameters!$F$10=Parameters!$E$17)*Parameters!$I$10*ISNUMBER(U74)+(Parameters!$F$11=Parameters!$E$17)*Parameters!$I$11*ISNUMBER(V74)+(Parameters!$F$12=Parameters!$E$17)*Parameters!$I$12*ISNUMBER(W74)),""))</f>
        <v/>
      </c>
      <c r="AC74" s="17" t="n">
        <f aca="false">Parameters!$I$5*ISNUMBER(P74)+Parameters!$I$6*ISNUMBER(Q74)+Parameters!$I$7*ISNUMBER(R74)+Parameters!$I$8*ISNUMBER(S74)+Parameters!$I$9*ISNUMBER(T74)+Parameters!$I$10*ISNUMBER(U74)+Parameters!$I$11*ISNUMBER(V74)+Parameters!$I$12*ISNUMBER(W74)</f>
        <v>75</v>
      </c>
      <c r="AD74" s="17" t="n">
        <f aca="false">Parameters!$I$5*1+Parameters!$I$6*1+Parameters!$I$7*1+Parameters!$I$8*1+Parameters!$I$9*1+Parameters!$I$10*1+Parameters!$I$11*X74+Parameters!$I$12*Y74</f>
        <v>75</v>
      </c>
      <c r="AE74" s="18" t="n">
        <f aca="false">IF(AD74=0,"",AC74/AD74)</f>
        <v>1</v>
      </c>
      <c r="AF74" s="17" t="str">
        <f aca="false">IF(ISNUMBER(Z74),"M","")&amp;IF(ISNUMBER(AA74),"I","")&amp;IF(ISNUMBER(AB74),"O","")</f>
        <v>MI</v>
      </c>
      <c r="AG74" s="19" t="n">
        <f aca="false">IF(AND(ISNUMBER(AE74),ISNUMBER(Z74)+ISNUMBER(AA74)+ISNUMBER(AB74)&gt;=Parameters!$B$37),IF(AE74&gt;=Parameters!$B$35,100*(Parameters!$F$15*N(Z74)+Parameters!$F$16*N(AA74)+Parameters!$F$17*N(AB74))/(Parameters!$F$15*ISNUMBER(Z74)+Parameters!$F$16*ISNUMBER(AA74)+Parameters!$F$17*ISNUMBER(AB74)),""),"")</f>
        <v>89.5833333333333</v>
      </c>
      <c r="AH74" s="17" t="n">
        <f aca="false">IF(ISNUMBER(AG74),RANK(AG74,$AG$2:$AG$113),"")</f>
        <v>31</v>
      </c>
    </row>
    <row r="75" customFormat="false" ht="15" hidden="false" customHeight="false" outlineLevel="0" collapsed="false">
      <c r="A75" s="5" t="s">
        <v>383</v>
      </c>
      <c r="B75" s="5" t="s">
        <v>384</v>
      </c>
      <c r="C75" s="5" t="s">
        <v>234</v>
      </c>
      <c r="D75" s="5" t="s">
        <v>31</v>
      </c>
      <c r="E75" s="5" t="s">
        <v>44</v>
      </c>
      <c r="F75" s="5" t="s">
        <v>218</v>
      </c>
      <c r="G75" s="15"/>
      <c r="H75" s="8"/>
      <c r="I75" s="5" t="s">
        <v>57</v>
      </c>
      <c r="J75" s="5" t="s">
        <v>74</v>
      </c>
      <c r="K75" s="15"/>
      <c r="L75" s="5" t="s">
        <v>76</v>
      </c>
      <c r="M75" s="5" t="s">
        <v>136</v>
      </c>
      <c r="N75" s="5"/>
      <c r="O75" s="5"/>
      <c r="P75" s="16" t="n">
        <f aca="false">IFERROR(IF(ISNUMBER(INDEX(Parameters!$B$5:$B$23,MATCH(D75,Parameters!$A$5:$A$23,0))),INDEX(Parameters!$B$5:$B$23,MATCH(D75,Parameters!$A$5:$A$23,0)),""),"")</f>
        <v>1</v>
      </c>
      <c r="Q75" s="16" t="n">
        <f aca="false">IFERROR(IF(ISNUMBER(INDEX(Parameters!$B$5:$B$23,MATCH(E75,Parameters!$A$5:$A$23,0))),INDEX(Parameters!$B$5:$B$23,MATCH(E75,Parameters!$A$5:$A$23,0)),""),"")</f>
        <v>1</v>
      </c>
      <c r="R75" s="16" t="n">
        <f aca="false">IF(F75="","",IFERROR(MIN(Parameters!$B$33,MAX(0,Parameters!$B$32-VALUE(LEFT(F75,4))))/Parameters!$B$33,""))</f>
        <v>0.333333333333333</v>
      </c>
      <c r="S75" s="16" t="str">
        <f aca="false">IF(ISNUMBER(H75),H75,IF(G75="",IF(ISNUMBER(Parameters!$B$34),Parameters!$B$34,""),""))</f>
        <v/>
      </c>
      <c r="T75" s="16" t="n">
        <f aca="false">IFERROR(IF(ISNUMBER(INDEX(Parameters!$B$5:$B$23,MATCH(I75,Parameters!$A$5:$A$23,0))),INDEX(Parameters!$B$5:$B$23,MATCH(I75,Parameters!$A$5:$A$23,0)),""),"")</f>
        <v>0</v>
      </c>
      <c r="U75" s="16" t="n">
        <f aca="false">IFERROR(IF(ISNUMBER(INDEX(Parameters!$B$5:$B$23,MATCH(L75,Parameters!$A$5:$A$23,0))),INDEX(Parameters!$B$5:$B$23,MATCH(L75,Parameters!$A$5:$A$23,0)),""),"")</f>
        <v>1</v>
      </c>
      <c r="V75" s="16" t="str">
        <f aca="false">IFERROR(IF(ISNUMBER(INDEX(Parameters!$B$5:$B$23,MATCH(J75,Parameters!$A$5:$A$23,0))),INDEX(Parameters!$B$5:$B$23,MATCH(J75,Parameters!$A$5:$A$23,0)),""),"")</f>
        <v/>
      </c>
      <c r="W75" s="16" t="str">
        <f aca="false">IF(K75&lt;&gt;"",1,IF(COUNTIF(Parameters!$A$27:$A$28,J75)&gt;0,0,""))</f>
        <v/>
      </c>
      <c r="X75" s="17" t="n">
        <f aca="false">IF(J75="Not applicable",0,1)</f>
        <v>0</v>
      </c>
      <c r="Y75" s="17" t="n">
        <f aca="false">IF(OR(K75&lt;&gt;"",COUNTIF(Parameters!$A$27:$A$28,J75)&gt;0),1,0)</f>
        <v>0</v>
      </c>
      <c r="Z75"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75+(Parameters!$F$12=Parameters!$E$15)*Parameters!$I$12*Y75)=0,"",IF(AND(((Parameters!$F$5=Parameters!$E$15)*Parameters!$I$5*ISNUMBER(P75)+(Parameters!$F$6=Parameters!$E$15)*Parameters!$I$6*ISNUMBER(Q75)+(Parameters!$F$7=Parameters!$E$15)*Parameters!$I$7*ISNUMBER(R75)+(Parameters!$F$8=Parameters!$E$15)*Parameters!$I$8*ISNUMBER(S75)+(Parameters!$F$9=Parameters!$E$15)*Parameters!$I$9*ISNUMBER(T75)+(Parameters!$F$10=Parameters!$E$15)*Parameters!$I$10*ISNUMBER(U75)+(Parameters!$F$11=Parameters!$E$15)*Parameters!$I$11*ISNUMBER(V75)+(Parameters!$F$12=Parameters!$E$15)*Parameters!$I$12*ISNUMBER(W75))&gt;0,((Parameters!$F$5=Parameters!$E$15)*Parameters!$I$5*ISNUMBER(P75)+(Parameters!$F$6=Parameters!$E$15)*Parameters!$I$6*ISNUMBER(Q75)+(Parameters!$F$7=Parameters!$E$15)*Parameters!$I$7*ISNUMBER(R75)+(Parameters!$F$8=Parameters!$E$15)*Parameters!$I$8*ISNUMBER(S75)+(Parameters!$F$9=Parameters!$E$15)*Parameters!$I$9*ISNUMBER(T75)+(Parameters!$F$10=Parameters!$E$15)*Parameters!$I$10*ISNUMBER(U75)+(Parameters!$F$11=Parameters!$E$15)*Parameters!$I$11*ISNUMBER(V75)+(Parameters!$F$12=Parameters!$E$15)*Parameters!$I$12*ISNUMBER(W75))/((Parameters!$F$5=Parameters!$E$15)*Parameters!$I$5*1+(Parameters!$F$6=Parameters!$E$15)*Parameters!$I$6*1+(Parameters!$F$7=Parameters!$E$15)*Parameters!$I$7*1+(Parameters!$F$8=Parameters!$E$15)*Parameters!$I$8*1+(Parameters!$F$9=Parameters!$E$15)*Parameters!$I$9*1+(Parameters!$F$10=Parameters!$E$15)*Parameters!$I$10*1+(Parameters!$F$11=Parameters!$E$15)*Parameters!$I$11*X75+(Parameters!$F$12=Parameters!$E$15)*Parameters!$I$12*Y75)&gt;=Parameters!$B$36),((Parameters!$F$5=Parameters!$E$15)*Parameters!$I$5*N(P75)+(Parameters!$F$6=Parameters!$E$15)*Parameters!$I$6*N(Q75)+(Parameters!$F$7=Parameters!$E$15)*Parameters!$I$7*N(R75)+(Parameters!$F$8=Parameters!$E$15)*Parameters!$I$8*N(S75)+(Parameters!$F$9=Parameters!$E$15)*Parameters!$I$9*N(T75)+(Parameters!$F$10=Parameters!$E$15)*Parameters!$I$10*N(U75)+(Parameters!$F$11=Parameters!$E$15)*Parameters!$I$11*N(V75)+(Parameters!$F$12=Parameters!$E$15)*Parameters!$I$12*N(W75))/((Parameters!$F$5=Parameters!$E$15)*Parameters!$I$5*ISNUMBER(P75)+(Parameters!$F$6=Parameters!$E$15)*Parameters!$I$6*ISNUMBER(Q75)+(Parameters!$F$7=Parameters!$E$15)*Parameters!$I$7*ISNUMBER(R75)+(Parameters!$F$8=Parameters!$E$15)*Parameters!$I$8*ISNUMBER(S75)+(Parameters!$F$9=Parameters!$E$15)*Parameters!$I$9*ISNUMBER(T75)+(Parameters!$F$10=Parameters!$E$15)*Parameters!$I$10*ISNUMBER(U75)+(Parameters!$F$11=Parameters!$E$15)*Parameters!$I$11*ISNUMBER(V75)+(Parameters!$F$12=Parameters!$E$15)*Parameters!$I$12*ISNUMBER(W75)),""))</f>
        <v>0.933333333333333</v>
      </c>
      <c r="AA75"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75+(Parameters!$F$12=Parameters!$E$16)*Parameters!$I$12*Y75)=0,"",IF(AND(((Parameters!$F$5=Parameters!$E$16)*Parameters!$I$5*ISNUMBER(P75)+(Parameters!$F$6=Parameters!$E$16)*Parameters!$I$6*ISNUMBER(Q75)+(Parameters!$F$7=Parameters!$E$16)*Parameters!$I$7*ISNUMBER(R75)+(Parameters!$F$8=Parameters!$E$16)*Parameters!$I$8*ISNUMBER(S75)+(Parameters!$F$9=Parameters!$E$16)*Parameters!$I$9*ISNUMBER(T75)+(Parameters!$F$10=Parameters!$E$16)*Parameters!$I$10*ISNUMBER(U75)+(Parameters!$F$11=Parameters!$E$16)*Parameters!$I$11*ISNUMBER(V75)+(Parameters!$F$12=Parameters!$E$16)*Parameters!$I$12*ISNUMBER(W75))&gt;0,((Parameters!$F$5=Parameters!$E$16)*Parameters!$I$5*ISNUMBER(P75)+(Parameters!$F$6=Parameters!$E$16)*Parameters!$I$6*ISNUMBER(Q75)+(Parameters!$F$7=Parameters!$E$16)*Parameters!$I$7*ISNUMBER(R75)+(Parameters!$F$8=Parameters!$E$16)*Parameters!$I$8*ISNUMBER(S75)+(Parameters!$F$9=Parameters!$E$16)*Parameters!$I$9*ISNUMBER(T75)+(Parameters!$F$10=Parameters!$E$16)*Parameters!$I$10*ISNUMBER(U75)+(Parameters!$F$11=Parameters!$E$16)*Parameters!$I$11*ISNUMBER(V75)+(Parameters!$F$12=Parameters!$E$16)*Parameters!$I$12*ISNUMBER(W75))/((Parameters!$F$5=Parameters!$E$16)*Parameters!$I$5*1+(Parameters!$F$6=Parameters!$E$16)*Parameters!$I$6*1+(Parameters!$F$7=Parameters!$E$16)*Parameters!$I$7*1+(Parameters!$F$8=Parameters!$E$16)*Parameters!$I$8*1+(Parameters!$F$9=Parameters!$E$16)*Parameters!$I$9*1+(Parameters!$F$10=Parameters!$E$16)*Parameters!$I$10*1+(Parameters!$F$11=Parameters!$E$16)*Parameters!$I$11*X75+(Parameters!$F$12=Parameters!$E$16)*Parameters!$I$12*Y75)&gt;=Parameters!$B$36),((Parameters!$F$5=Parameters!$E$16)*Parameters!$I$5*N(P75)+(Parameters!$F$6=Parameters!$E$16)*Parameters!$I$6*N(Q75)+(Parameters!$F$7=Parameters!$E$16)*Parameters!$I$7*N(R75)+(Parameters!$F$8=Parameters!$E$16)*Parameters!$I$8*N(S75)+(Parameters!$F$9=Parameters!$E$16)*Parameters!$I$9*N(T75)+(Parameters!$F$10=Parameters!$E$16)*Parameters!$I$10*N(U75)+(Parameters!$F$11=Parameters!$E$16)*Parameters!$I$11*N(V75)+(Parameters!$F$12=Parameters!$E$16)*Parameters!$I$12*N(W75))/((Parameters!$F$5=Parameters!$E$16)*Parameters!$I$5*ISNUMBER(P75)+(Parameters!$F$6=Parameters!$E$16)*Parameters!$I$6*ISNUMBER(Q75)+(Parameters!$F$7=Parameters!$E$16)*Parameters!$I$7*ISNUMBER(R75)+(Parameters!$F$8=Parameters!$E$16)*Parameters!$I$8*ISNUMBER(S75)+(Parameters!$F$9=Parameters!$E$16)*Parameters!$I$9*ISNUMBER(T75)+(Parameters!$F$10=Parameters!$E$16)*Parameters!$I$10*ISNUMBER(U75)+(Parameters!$F$11=Parameters!$E$16)*Parameters!$I$11*ISNUMBER(V75)+(Parameters!$F$12=Parameters!$E$16)*Parameters!$I$12*ISNUMBER(W75)),""))</f>
        <v>0.666666666666667</v>
      </c>
      <c r="AB75"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75+(Parameters!$F$12=Parameters!$E$17)*Parameters!$I$12*Y75)=0,"",IF(AND(((Parameters!$F$5=Parameters!$E$17)*Parameters!$I$5*ISNUMBER(P75)+(Parameters!$F$6=Parameters!$E$17)*Parameters!$I$6*ISNUMBER(Q75)+(Parameters!$F$7=Parameters!$E$17)*Parameters!$I$7*ISNUMBER(R75)+(Parameters!$F$8=Parameters!$E$17)*Parameters!$I$8*ISNUMBER(S75)+(Parameters!$F$9=Parameters!$E$17)*Parameters!$I$9*ISNUMBER(T75)+(Parameters!$F$10=Parameters!$E$17)*Parameters!$I$10*ISNUMBER(U75)+(Parameters!$F$11=Parameters!$E$17)*Parameters!$I$11*ISNUMBER(V75)+(Parameters!$F$12=Parameters!$E$17)*Parameters!$I$12*ISNUMBER(W75))&gt;0,((Parameters!$F$5=Parameters!$E$17)*Parameters!$I$5*ISNUMBER(P75)+(Parameters!$F$6=Parameters!$E$17)*Parameters!$I$6*ISNUMBER(Q75)+(Parameters!$F$7=Parameters!$E$17)*Parameters!$I$7*ISNUMBER(R75)+(Parameters!$F$8=Parameters!$E$17)*Parameters!$I$8*ISNUMBER(S75)+(Parameters!$F$9=Parameters!$E$17)*Parameters!$I$9*ISNUMBER(T75)+(Parameters!$F$10=Parameters!$E$17)*Parameters!$I$10*ISNUMBER(U75)+(Parameters!$F$11=Parameters!$E$17)*Parameters!$I$11*ISNUMBER(V75)+(Parameters!$F$12=Parameters!$E$17)*Parameters!$I$12*ISNUMBER(W75))/((Parameters!$F$5=Parameters!$E$17)*Parameters!$I$5*1+(Parameters!$F$6=Parameters!$E$17)*Parameters!$I$6*1+(Parameters!$F$7=Parameters!$E$17)*Parameters!$I$7*1+(Parameters!$F$8=Parameters!$E$17)*Parameters!$I$8*1+(Parameters!$F$9=Parameters!$E$17)*Parameters!$I$9*1+(Parameters!$F$10=Parameters!$E$17)*Parameters!$I$10*1+(Parameters!$F$11=Parameters!$E$17)*Parameters!$I$11*X75+(Parameters!$F$12=Parameters!$E$17)*Parameters!$I$12*Y75)&gt;=Parameters!$B$36),((Parameters!$F$5=Parameters!$E$17)*Parameters!$I$5*N(P75)+(Parameters!$F$6=Parameters!$E$17)*Parameters!$I$6*N(Q75)+(Parameters!$F$7=Parameters!$E$17)*Parameters!$I$7*N(R75)+(Parameters!$F$8=Parameters!$E$17)*Parameters!$I$8*N(S75)+(Parameters!$F$9=Parameters!$E$17)*Parameters!$I$9*N(T75)+(Parameters!$F$10=Parameters!$E$17)*Parameters!$I$10*N(U75)+(Parameters!$F$11=Parameters!$E$17)*Parameters!$I$11*N(V75)+(Parameters!$F$12=Parameters!$E$17)*Parameters!$I$12*N(W75))/((Parameters!$F$5=Parameters!$E$17)*Parameters!$I$5*ISNUMBER(P75)+(Parameters!$F$6=Parameters!$E$17)*Parameters!$I$6*ISNUMBER(Q75)+(Parameters!$F$7=Parameters!$E$17)*Parameters!$I$7*ISNUMBER(R75)+(Parameters!$F$8=Parameters!$E$17)*Parameters!$I$8*ISNUMBER(S75)+(Parameters!$F$9=Parameters!$E$17)*Parameters!$I$9*ISNUMBER(T75)+(Parameters!$F$10=Parameters!$E$17)*Parameters!$I$10*ISNUMBER(U75)+(Parameters!$F$11=Parameters!$E$17)*Parameters!$I$11*ISNUMBER(V75)+(Parameters!$F$12=Parameters!$E$17)*Parameters!$I$12*ISNUMBER(W75)),""))</f>
        <v/>
      </c>
      <c r="AC75" s="17" t="n">
        <f aca="false">Parameters!$I$5*ISNUMBER(P75)+Parameters!$I$6*ISNUMBER(Q75)+Parameters!$I$7*ISNUMBER(R75)+Parameters!$I$8*ISNUMBER(S75)+Parameters!$I$9*ISNUMBER(T75)+Parameters!$I$10*ISNUMBER(U75)+Parameters!$I$11*ISNUMBER(V75)+Parameters!$I$12*ISNUMBER(W75)</f>
        <v>65</v>
      </c>
      <c r="AD75" s="17" t="n">
        <f aca="false">Parameters!$I$5*1+Parameters!$I$6*1+Parameters!$I$7*1+Parameters!$I$8*1+Parameters!$I$9*1+Parameters!$I$10*1+Parameters!$I$11*X75+Parameters!$I$12*Y75</f>
        <v>75</v>
      </c>
      <c r="AE75" s="18" t="n">
        <f aca="false">IF(AD75=0,"",AC75/AD75)</f>
        <v>0.866666666666667</v>
      </c>
      <c r="AF75" s="17" t="str">
        <f aca="false">IF(ISNUMBER(Z75),"M","")&amp;IF(ISNUMBER(AA75),"I","")&amp;IF(ISNUMBER(AB75),"O","")</f>
        <v>MI</v>
      </c>
      <c r="AG75" s="19" t="n">
        <f aca="false">IF(AND(ISNUMBER(AE75),ISNUMBER(Z75)+ISNUMBER(AA75)+ISNUMBER(AB75)&gt;=Parameters!$B$37),IF(AE75&gt;=Parameters!$B$35,100*(Parameters!$F$15*N(Z75)+Parameters!$F$16*N(AA75)+Parameters!$F$17*N(AB75))/(Parameters!$F$15*ISNUMBER(Z75)+Parameters!$F$16*ISNUMBER(AA75)+Parameters!$F$17*ISNUMBER(AB75)),""),"")</f>
        <v>83.3333333333333</v>
      </c>
      <c r="AH75" s="17" t="n">
        <f aca="false">IF(ISNUMBER(AG75),RANK(AG75,$AG$2:$AG$113),"")</f>
        <v>67</v>
      </c>
    </row>
    <row r="76" customFormat="false" ht="15" hidden="false" customHeight="false" outlineLevel="0" collapsed="false">
      <c r="A76" s="5" t="s">
        <v>385</v>
      </c>
      <c r="B76" s="5" t="s">
        <v>386</v>
      </c>
      <c r="C76" s="5" t="s">
        <v>234</v>
      </c>
      <c r="D76" s="5" t="s">
        <v>31</v>
      </c>
      <c r="E76" s="5" t="s">
        <v>44</v>
      </c>
      <c r="F76" s="5" t="s">
        <v>139</v>
      </c>
      <c r="G76" s="15" t="s">
        <v>387</v>
      </c>
      <c r="H76" s="8" t="n">
        <v>1</v>
      </c>
      <c r="I76" s="5" t="s">
        <v>57</v>
      </c>
      <c r="J76" s="5" t="s">
        <v>74</v>
      </c>
      <c r="K76" s="15"/>
      <c r="L76" s="5" t="s">
        <v>79</v>
      </c>
      <c r="M76" s="5" t="s">
        <v>157</v>
      </c>
      <c r="N76" s="5" t="s">
        <v>142</v>
      </c>
      <c r="O76" s="5" t="s">
        <v>197</v>
      </c>
      <c r="P76" s="16" t="n">
        <f aca="false">IFERROR(IF(ISNUMBER(INDEX(Parameters!$B$5:$B$23,MATCH(D76,Parameters!$A$5:$A$23,0))),INDEX(Parameters!$B$5:$B$23,MATCH(D76,Parameters!$A$5:$A$23,0)),""),"")</f>
        <v>1</v>
      </c>
      <c r="Q76" s="16" t="n">
        <f aca="false">IFERROR(IF(ISNUMBER(INDEX(Parameters!$B$5:$B$23,MATCH(E76,Parameters!$A$5:$A$23,0))),INDEX(Parameters!$B$5:$B$23,MATCH(E76,Parameters!$A$5:$A$23,0)),""),"")</f>
        <v>1</v>
      </c>
      <c r="R76" s="16" t="n">
        <f aca="false">IF(F76="","",IFERROR(MIN(Parameters!$B$33,MAX(0,Parameters!$B$32-VALUE(LEFT(F76,4))))/Parameters!$B$33,""))</f>
        <v>0.8</v>
      </c>
      <c r="S76" s="16" t="n">
        <f aca="false">IF(ISNUMBER(H76),H76,IF(G76="",IF(ISNUMBER(Parameters!$B$34),Parameters!$B$34,""),""))</f>
        <v>1</v>
      </c>
      <c r="T76" s="16" t="n">
        <f aca="false">IFERROR(IF(ISNUMBER(INDEX(Parameters!$B$5:$B$23,MATCH(I76,Parameters!$A$5:$A$23,0))),INDEX(Parameters!$B$5:$B$23,MATCH(I76,Parameters!$A$5:$A$23,0)),""),"")</f>
        <v>0</v>
      </c>
      <c r="U76" s="16" t="n">
        <f aca="false">IFERROR(IF(ISNUMBER(INDEX(Parameters!$B$5:$B$23,MATCH(L76,Parameters!$A$5:$A$23,0))),INDEX(Parameters!$B$5:$B$23,MATCH(L76,Parameters!$A$5:$A$23,0)),""),"")</f>
        <v>1</v>
      </c>
      <c r="V76" s="16" t="str">
        <f aca="false">IFERROR(IF(ISNUMBER(INDEX(Parameters!$B$5:$B$23,MATCH(J76,Parameters!$A$5:$A$23,0))),INDEX(Parameters!$B$5:$B$23,MATCH(J76,Parameters!$A$5:$A$23,0)),""),"")</f>
        <v/>
      </c>
      <c r="W76" s="16" t="str">
        <f aca="false">IF(K76&lt;&gt;"",1,IF(COUNTIF(Parameters!$A$27:$A$28,J76)&gt;0,0,""))</f>
        <v/>
      </c>
      <c r="X76" s="17" t="n">
        <f aca="false">IF(J76="Not applicable",0,1)</f>
        <v>0</v>
      </c>
      <c r="Y76" s="17" t="n">
        <f aca="false">IF(OR(K76&lt;&gt;"",COUNTIF(Parameters!$A$27:$A$28,J76)&gt;0),1,0)</f>
        <v>0</v>
      </c>
      <c r="Z76"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76+(Parameters!$F$12=Parameters!$E$15)*Parameters!$I$12*Y76)=0,"",IF(AND(((Parameters!$F$5=Parameters!$E$15)*Parameters!$I$5*ISNUMBER(P76)+(Parameters!$F$6=Parameters!$E$15)*Parameters!$I$6*ISNUMBER(Q76)+(Parameters!$F$7=Parameters!$E$15)*Parameters!$I$7*ISNUMBER(R76)+(Parameters!$F$8=Parameters!$E$15)*Parameters!$I$8*ISNUMBER(S76)+(Parameters!$F$9=Parameters!$E$15)*Parameters!$I$9*ISNUMBER(T76)+(Parameters!$F$10=Parameters!$E$15)*Parameters!$I$10*ISNUMBER(U76)+(Parameters!$F$11=Parameters!$E$15)*Parameters!$I$11*ISNUMBER(V76)+(Parameters!$F$12=Parameters!$E$15)*Parameters!$I$12*ISNUMBER(W76))&gt;0,((Parameters!$F$5=Parameters!$E$15)*Parameters!$I$5*ISNUMBER(P76)+(Parameters!$F$6=Parameters!$E$15)*Parameters!$I$6*ISNUMBER(Q76)+(Parameters!$F$7=Parameters!$E$15)*Parameters!$I$7*ISNUMBER(R76)+(Parameters!$F$8=Parameters!$E$15)*Parameters!$I$8*ISNUMBER(S76)+(Parameters!$F$9=Parameters!$E$15)*Parameters!$I$9*ISNUMBER(T76)+(Parameters!$F$10=Parameters!$E$15)*Parameters!$I$10*ISNUMBER(U76)+(Parameters!$F$11=Parameters!$E$15)*Parameters!$I$11*ISNUMBER(V76)+(Parameters!$F$12=Parameters!$E$15)*Parameters!$I$12*ISNUMBER(W76))/((Parameters!$F$5=Parameters!$E$15)*Parameters!$I$5*1+(Parameters!$F$6=Parameters!$E$15)*Parameters!$I$6*1+(Parameters!$F$7=Parameters!$E$15)*Parameters!$I$7*1+(Parameters!$F$8=Parameters!$E$15)*Parameters!$I$8*1+(Parameters!$F$9=Parameters!$E$15)*Parameters!$I$9*1+(Parameters!$F$10=Parameters!$E$15)*Parameters!$I$10*1+(Parameters!$F$11=Parameters!$E$15)*Parameters!$I$11*X76+(Parameters!$F$12=Parameters!$E$15)*Parameters!$I$12*Y76)&gt;=Parameters!$B$36),((Parameters!$F$5=Parameters!$E$15)*Parameters!$I$5*N(P76)+(Parameters!$F$6=Parameters!$E$15)*Parameters!$I$6*N(Q76)+(Parameters!$F$7=Parameters!$E$15)*Parameters!$I$7*N(R76)+(Parameters!$F$8=Parameters!$E$15)*Parameters!$I$8*N(S76)+(Parameters!$F$9=Parameters!$E$15)*Parameters!$I$9*N(T76)+(Parameters!$F$10=Parameters!$E$15)*Parameters!$I$10*N(U76)+(Parameters!$F$11=Parameters!$E$15)*Parameters!$I$11*N(V76)+(Parameters!$F$12=Parameters!$E$15)*Parameters!$I$12*N(W76))/((Parameters!$F$5=Parameters!$E$15)*Parameters!$I$5*ISNUMBER(P76)+(Parameters!$F$6=Parameters!$E$15)*Parameters!$I$6*ISNUMBER(Q76)+(Parameters!$F$7=Parameters!$E$15)*Parameters!$I$7*ISNUMBER(R76)+(Parameters!$F$8=Parameters!$E$15)*Parameters!$I$8*ISNUMBER(S76)+(Parameters!$F$9=Parameters!$E$15)*Parameters!$I$9*ISNUMBER(T76)+(Parameters!$F$10=Parameters!$E$15)*Parameters!$I$10*ISNUMBER(U76)+(Parameters!$F$11=Parameters!$E$15)*Parameters!$I$11*ISNUMBER(V76)+(Parameters!$F$12=Parameters!$E$15)*Parameters!$I$12*ISNUMBER(W76)),""))</f>
        <v>0.98</v>
      </c>
      <c r="AA76"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76+(Parameters!$F$12=Parameters!$E$16)*Parameters!$I$12*Y76)=0,"",IF(AND(((Parameters!$F$5=Parameters!$E$16)*Parameters!$I$5*ISNUMBER(P76)+(Parameters!$F$6=Parameters!$E$16)*Parameters!$I$6*ISNUMBER(Q76)+(Parameters!$F$7=Parameters!$E$16)*Parameters!$I$7*ISNUMBER(R76)+(Parameters!$F$8=Parameters!$E$16)*Parameters!$I$8*ISNUMBER(S76)+(Parameters!$F$9=Parameters!$E$16)*Parameters!$I$9*ISNUMBER(T76)+(Parameters!$F$10=Parameters!$E$16)*Parameters!$I$10*ISNUMBER(U76)+(Parameters!$F$11=Parameters!$E$16)*Parameters!$I$11*ISNUMBER(V76)+(Parameters!$F$12=Parameters!$E$16)*Parameters!$I$12*ISNUMBER(W76))&gt;0,((Parameters!$F$5=Parameters!$E$16)*Parameters!$I$5*ISNUMBER(P76)+(Parameters!$F$6=Parameters!$E$16)*Parameters!$I$6*ISNUMBER(Q76)+(Parameters!$F$7=Parameters!$E$16)*Parameters!$I$7*ISNUMBER(R76)+(Parameters!$F$8=Parameters!$E$16)*Parameters!$I$8*ISNUMBER(S76)+(Parameters!$F$9=Parameters!$E$16)*Parameters!$I$9*ISNUMBER(T76)+(Parameters!$F$10=Parameters!$E$16)*Parameters!$I$10*ISNUMBER(U76)+(Parameters!$F$11=Parameters!$E$16)*Parameters!$I$11*ISNUMBER(V76)+(Parameters!$F$12=Parameters!$E$16)*Parameters!$I$12*ISNUMBER(W76))/((Parameters!$F$5=Parameters!$E$16)*Parameters!$I$5*1+(Parameters!$F$6=Parameters!$E$16)*Parameters!$I$6*1+(Parameters!$F$7=Parameters!$E$16)*Parameters!$I$7*1+(Parameters!$F$8=Parameters!$E$16)*Parameters!$I$8*1+(Parameters!$F$9=Parameters!$E$16)*Parameters!$I$9*1+(Parameters!$F$10=Parameters!$E$16)*Parameters!$I$10*1+(Parameters!$F$11=Parameters!$E$16)*Parameters!$I$11*X76+(Parameters!$F$12=Parameters!$E$16)*Parameters!$I$12*Y76)&gt;=Parameters!$B$36),((Parameters!$F$5=Parameters!$E$16)*Parameters!$I$5*N(P76)+(Parameters!$F$6=Parameters!$E$16)*Parameters!$I$6*N(Q76)+(Parameters!$F$7=Parameters!$E$16)*Parameters!$I$7*N(R76)+(Parameters!$F$8=Parameters!$E$16)*Parameters!$I$8*N(S76)+(Parameters!$F$9=Parameters!$E$16)*Parameters!$I$9*N(T76)+(Parameters!$F$10=Parameters!$E$16)*Parameters!$I$10*N(U76)+(Parameters!$F$11=Parameters!$E$16)*Parameters!$I$11*N(V76)+(Parameters!$F$12=Parameters!$E$16)*Parameters!$I$12*N(W76))/((Parameters!$F$5=Parameters!$E$16)*Parameters!$I$5*ISNUMBER(P76)+(Parameters!$F$6=Parameters!$E$16)*Parameters!$I$6*ISNUMBER(Q76)+(Parameters!$F$7=Parameters!$E$16)*Parameters!$I$7*ISNUMBER(R76)+(Parameters!$F$8=Parameters!$E$16)*Parameters!$I$8*ISNUMBER(S76)+(Parameters!$F$9=Parameters!$E$16)*Parameters!$I$9*ISNUMBER(T76)+(Parameters!$F$10=Parameters!$E$16)*Parameters!$I$10*ISNUMBER(U76)+(Parameters!$F$11=Parameters!$E$16)*Parameters!$I$11*ISNUMBER(V76)+(Parameters!$F$12=Parameters!$E$16)*Parameters!$I$12*ISNUMBER(W76)),""))</f>
        <v>0.8</v>
      </c>
      <c r="AB76"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76+(Parameters!$F$12=Parameters!$E$17)*Parameters!$I$12*Y76)=0,"",IF(AND(((Parameters!$F$5=Parameters!$E$17)*Parameters!$I$5*ISNUMBER(P76)+(Parameters!$F$6=Parameters!$E$17)*Parameters!$I$6*ISNUMBER(Q76)+(Parameters!$F$7=Parameters!$E$17)*Parameters!$I$7*ISNUMBER(R76)+(Parameters!$F$8=Parameters!$E$17)*Parameters!$I$8*ISNUMBER(S76)+(Parameters!$F$9=Parameters!$E$17)*Parameters!$I$9*ISNUMBER(T76)+(Parameters!$F$10=Parameters!$E$17)*Parameters!$I$10*ISNUMBER(U76)+(Parameters!$F$11=Parameters!$E$17)*Parameters!$I$11*ISNUMBER(V76)+(Parameters!$F$12=Parameters!$E$17)*Parameters!$I$12*ISNUMBER(W76))&gt;0,((Parameters!$F$5=Parameters!$E$17)*Parameters!$I$5*ISNUMBER(P76)+(Parameters!$F$6=Parameters!$E$17)*Parameters!$I$6*ISNUMBER(Q76)+(Parameters!$F$7=Parameters!$E$17)*Parameters!$I$7*ISNUMBER(R76)+(Parameters!$F$8=Parameters!$E$17)*Parameters!$I$8*ISNUMBER(S76)+(Parameters!$F$9=Parameters!$E$17)*Parameters!$I$9*ISNUMBER(T76)+(Parameters!$F$10=Parameters!$E$17)*Parameters!$I$10*ISNUMBER(U76)+(Parameters!$F$11=Parameters!$E$17)*Parameters!$I$11*ISNUMBER(V76)+(Parameters!$F$12=Parameters!$E$17)*Parameters!$I$12*ISNUMBER(W76))/((Parameters!$F$5=Parameters!$E$17)*Parameters!$I$5*1+(Parameters!$F$6=Parameters!$E$17)*Parameters!$I$6*1+(Parameters!$F$7=Parameters!$E$17)*Parameters!$I$7*1+(Parameters!$F$8=Parameters!$E$17)*Parameters!$I$8*1+(Parameters!$F$9=Parameters!$E$17)*Parameters!$I$9*1+(Parameters!$F$10=Parameters!$E$17)*Parameters!$I$10*1+(Parameters!$F$11=Parameters!$E$17)*Parameters!$I$11*X76+(Parameters!$F$12=Parameters!$E$17)*Parameters!$I$12*Y76)&gt;=Parameters!$B$36),((Parameters!$F$5=Parameters!$E$17)*Parameters!$I$5*N(P76)+(Parameters!$F$6=Parameters!$E$17)*Parameters!$I$6*N(Q76)+(Parameters!$F$7=Parameters!$E$17)*Parameters!$I$7*N(R76)+(Parameters!$F$8=Parameters!$E$17)*Parameters!$I$8*N(S76)+(Parameters!$F$9=Parameters!$E$17)*Parameters!$I$9*N(T76)+(Parameters!$F$10=Parameters!$E$17)*Parameters!$I$10*N(U76)+(Parameters!$F$11=Parameters!$E$17)*Parameters!$I$11*N(V76)+(Parameters!$F$12=Parameters!$E$17)*Parameters!$I$12*N(W76))/((Parameters!$F$5=Parameters!$E$17)*Parameters!$I$5*ISNUMBER(P76)+(Parameters!$F$6=Parameters!$E$17)*Parameters!$I$6*ISNUMBER(Q76)+(Parameters!$F$7=Parameters!$E$17)*Parameters!$I$7*ISNUMBER(R76)+(Parameters!$F$8=Parameters!$E$17)*Parameters!$I$8*ISNUMBER(S76)+(Parameters!$F$9=Parameters!$E$17)*Parameters!$I$9*ISNUMBER(T76)+(Parameters!$F$10=Parameters!$E$17)*Parameters!$I$10*ISNUMBER(U76)+(Parameters!$F$11=Parameters!$E$17)*Parameters!$I$11*ISNUMBER(V76)+(Parameters!$F$12=Parameters!$E$17)*Parameters!$I$12*ISNUMBER(W76)),""))</f>
        <v/>
      </c>
      <c r="AC76" s="17" t="n">
        <f aca="false">Parameters!$I$5*ISNUMBER(P76)+Parameters!$I$6*ISNUMBER(Q76)+Parameters!$I$7*ISNUMBER(R76)+Parameters!$I$8*ISNUMBER(S76)+Parameters!$I$9*ISNUMBER(T76)+Parameters!$I$10*ISNUMBER(U76)+Parameters!$I$11*ISNUMBER(V76)+Parameters!$I$12*ISNUMBER(W76)</f>
        <v>75</v>
      </c>
      <c r="AD76" s="17" t="n">
        <f aca="false">Parameters!$I$5*1+Parameters!$I$6*1+Parameters!$I$7*1+Parameters!$I$8*1+Parameters!$I$9*1+Parameters!$I$10*1+Parameters!$I$11*X76+Parameters!$I$12*Y76</f>
        <v>75</v>
      </c>
      <c r="AE76" s="18" t="n">
        <f aca="false">IF(AD76=0,"",AC76/AD76)</f>
        <v>1</v>
      </c>
      <c r="AF76" s="17" t="str">
        <f aca="false">IF(ISNUMBER(Z76),"M","")&amp;IF(ISNUMBER(AA76),"I","")&amp;IF(ISNUMBER(AB76),"O","")</f>
        <v>MI</v>
      </c>
      <c r="AG76" s="19" t="n">
        <f aca="false">IF(AND(ISNUMBER(AE76),ISNUMBER(Z76)+ISNUMBER(AA76)+ISNUMBER(AB76)&gt;=Parameters!$B$37),IF(AE76&gt;=Parameters!$B$35,100*(Parameters!$F$15*N(Z76)+Parameters!$F$16*N(AA76)+Parameters!$F$17*N(AB76))/(Parameters!$F$15*ISNUMBER(Z76)+Parameters!$F$16*ISNUMBER(AA76)+Parameters!$F$17*ISNUMBER(AB76)),""),"")</f>
        <v>91.25</v>
      </c>
      <c r="AH76" s="17" t="n">
        <f aca="false">IF(ISNUMBER(AG76),RANK(AG76,$AG$2:$AG$113),"")</f>
        <v>21</v>
      </c>
    </row>
    <row r="77" customFormat="false" ht="15" hidden="false" customHeight="false" outlineLevel="0" collapsed="false">
      <c r="A77" s="5" t="s">
        <v>388</v>
      </c>
      <c r="B77" s="5" t="s">
        <v>389</v>
      </c>
      <c r="C77" s="5" t="s">
        <v>234</v>
      </c>
      <c r="D77" s="5" t="s">
        <v>31</v>
      </c>
      <c r="E77" s="5" t="s">
        <v>44</v>
      </c>
      <c r="F77" s="5" t="s">
        <v>227</v>
      </c>
      <c r="G77" s="20" t="s">
        <v>390</v>
      </c>
      <c r="H77" s="8" t="n">
        <v>1</v>
      </c>
      <c r="I77" s="5" t="s">
        <v>53</v>
      </c>
      <c r="J77" s="5" t="s">
        <v>74</v>
      </c>
      <c r="K77" s="15"/>
      <c r="L77" s="5" t="s">
        <v>79</v>
      </c>
      <c r="M77" s="5" t="s">
        <v>136</v>
      </c>
      <c r="N77" s="5" t="s">
        <v>173</v>
      </c>
      <c r="O77" s="5" t="s">
        <v>142</v>
      </c>
      <c r="P77" s="16" t="n">
        <f aca="false">IFERROR(IF(ISNUMBER(INDEX(Parameters!$B$5:$B$23,MATCH(D77,Parameters!$A$5:$A$23,0))),INDEX(Parameters!$B$5:$B$23,MATCH(D77,Parameters!$A$5:$A$23,0)),""),"")</f>
        <v>1</v>
      </c>
      <c r="Q77" s="16" t="n">
        <f aca="false">IFERROR(IF(ISNUMBER(INDEX(Parameters!$B$5:$B$23,MATCH(E77,Parameters!$A$5:$A$23,0))),INDEX(Parameters!$B$5:$B$23,MATCH(E77,Parameters!$A$5:$A$23,0)),""),"")</f>
        <v>1</v>
      </c>
      <c r="R77" s="16" t="n">
        <f aca="false">IF(F77="","",IFERROR(MIN(Parameters!$B$33,MAX(0,Parameters!$B$32-VALUE(LEFT(F77,4))))/Parameters!$B$33,""))</f>
        <v>1</v>
      </c>
      <c r="S77" s="16" t="n">
        <f aca="false">IF(ISNUMBER(H77),H77,IF(G77="",IF(ISNUMBER(Parameters!$B$34),Parameters!$B$34,""),""))</f>
        <v>1</v>
      </c>
      <c r="T77" s="16" t="n">
        <f aca="false">IFERROR(IF(ISNUMBER(INDEX(Parameters!$B$5:$B$23,MATCH(I77,Parameters!$A$5:$A$23,0))),INDEX(Parameters!$B$5:$B$23,MATCH(I77,Parameters!$A$5:$A$23,0)),""),"")</f>
        <v>1</v>
      </c>
      <c r="U77" s="16" t="n">
        <f aca="false">IFERROR(IF(ISNUMBER(INDEX(Parameters!$B$5:$B$23,MATCH(L77,Parameters!$A$5:$A$23,0))),INDEX(Parameters!$B$5:$B$23,MATCH(L77,Parameters!$A$5:$A$23,0)),""),"")</f>
        <v>1</v>
      </c>
      <c r="V77" s="16" t="str">
        <f aca="false">IFERROR(IF(ISNUMBER(INDEX(Parameters!$B$5:$B$23,MATCH(J77,Parameters!$A$5:$A$23,0))),INDEX(Parameters!$B$5:$B$23,MATCH(J77,Parameters!$A$5:$A$23,0)),""),"")</f>
        <v/>
      </c>
      <c r="W77" s="16" t="str">
        <f aca="false">IF(K77&lt;&gt;"",1,IF(COUNTIF(Parameters!$A$27:$A$28,J77)&gt;0,0,""))</f>
        <v/>
      </c>
      <c r="X77" s="17" t="n">
        <f aca="false">IF(J77="Not applicable",0,1)</f>
        <v>0</v>
      </c>
      <c r="Y77" s="17" t="n">
        <f aca="false">IF(OR(K77&lt;&gt;"",COUNTIF(Parameters!$A$27:$A$28,J77)&gt;0),1,0)</f>
        <v>0</v>
      </c>
      <c r="Z77"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77+(Parameters!$F$12=Parameters!$E$15)*Parameters!$I$12*Y77)=0,"",IF(AND(((Parameters!$F$5=Parameters!$E$15)*Parameters!$I$5*ISNUMBER(P77)+(Parameters!$F$6=Parameters!$E$15)*Parameters!$I$6*ISNUMBER(Q77)+(Parameters!$F$7=Parameters!$E$15)*Parameters!$I$7*ISNUMBER(R77)+(Parameters!$F$8=Parameters!$E$15)*Parameters!$I$8*ISNUMBER(S77)+(Parameters!$F$9=Parameters!$E$15)*Parameters!$I$9*ISNUMBER(T77)+(Parameters!$F$10=Parameters!$E$15)*Parameters!$I$10*ISNUMBER(U77)+(Parameters!$F$11=Parameters!$E$15)*Parameters!$I$11*ISNUMBER(V77)+(Parameters!$F$12=Parameters!$E$15)*Parameters!$I$12*ISNUMBER(W77))&gt;0,((Parameters!$F$5=Parameters!$E$15)*Parameters!$I$5*ISNUMBER(P77)+(Parameters!$F$6=Parameters!$E$15)*Parameters!$I$6*ISNUMBER(Q77)+(Parameters!$F$7=Parameters!$E$15)*Parameters!$I$7*ISNUMBER(R77)+(Parameters!$F$8=Parameters!$E$15)*Parameters!$I$8*ISNUMBER(S77)+(Parameters!$F$9=Parameters!$E$15)*Parameters!$I$9*ISNUMBER(T77)+(Parameters!$F$10=Parameters!$E$15)*Parameters!$I$10*ISNUMBER(U77)+(Parameters!$F$11=Parameters!$E$15)*Parameters!$I$11*ISNUMBER(V77)+(Parameters!$F$12=Parameters!$E$15)*Parameters!$I$12*ISNUMBER(W77))/((Parameters!$F$5=Parameters!$E$15)*Parameters!$I$5*1+(Parameters!$F$6=Parameters!$E$15)*Parameters!$I$6*1+(Parameters!$F$7=Parameters!$E$15)*Parameters!$I$7*1+(Parameters!$F$8=Parameters!$E$15)*Parameters!$I$8*1+(Parameters!$F$9=Parameters!$E$15)*Parameters!$I$9*1+(Parameters!$F$10=Parameters!$E$15)*Parameters!$I$10*1+(Parameters!$F$11=Parameters!$E$15)*Parameters!$I$11*X77+(Parameters!$F$12=Parameters!$E$15)*Parameters!$I$12*Y77)&gt;=Parameters!$B$36),((Parameters!$F$5=Parameters!$E$15)*Parameters!$I$5*N(P77)+(Parameters!$F$6=Parameters!$E$15)*Parameters!$I$6*N(Q77)+(Parameters!$F$7=Parameters!$E$15)*Parameters!$I$7*N(R77)+(Parameters!$F$8=Parameters!$E$15)*Parameters!$I$8*N(S77)+(Parameters!$F$9=Parameters!$E$15)*Parameters!$I$9*N(T77)+(Parameters!$F$10=Parameters!$E$15)*Parameters!$I$10*N(U77)+(Parameters!$F$11=Parameters!$E$15)*Parameters!$I$11*N(V77)+(Parameters!$F$12=Parameters!$E$15)*Parameters!$I$12*N(W77))/((Parameters!$F$5=Parameters!$E$15)*Parameters!$I$5*ISNUMBER(P77)+(Parameters!$F$6=Parameters!$E$15)*Parameters!$I$6*ISNUMBER(Q77)+(Parameters!$F$7=Parameters!$E$15)*Parameters!$I$7*ISNUMBER(R77)+(Parameters!$F$8=Parameters!$E$15)*Parameters!$I$8*ISNUMBER(S77)+(Parameters!$F$9=Parameters!$E$15)*Parameters!$I$9*ISNUMBER(T77)+(Parameters!$F$10=Parameters!$E$15)*Parameters!$I$10*ISNUMBER(U77)+(Parameters!$F$11=Parameters!$E$15)*Parameters!$I$11*ISNUMBER(V77)+(Parameters!$F$12=Parameters!$E$15)*Parameters!$I$12*ISNUMBER(W77)),""))</f>
        <v>1</v>
      </c>
      <c r="AA77"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77+(Parameters!$F$12=Parameters!$E$16)*Parameters!$I$12*Y77)=0,"",IF(AND(((Parameters!$F$5=Parameters!$E$16)*Parameters!$I$5*ISNUMBER(P77)+(Parameters!$F$6=Parameters!$E$16)*Parameters!$I$6*ISNUMBER(Q77)+(Parameters!$F$7=Parameters!$E$16)*Parameters!$I$7*ISNUMBER(R77)+(Parameters!$F$8=Parameters!$E$16)*Parameters!$I$8*ISNUMBER(S77)+(Parameters!$F$9=Parameters!$E$16)*Parameters!$I$9*ISNUMBER(T77)+(Parameters!$F$10=Parameters!$E$16)*Parameters!$I$10*ISNUMBER(U77)+(Parameters!$F$11=Parameters!$E$16)*Parameters!$I$11*ISNUMBER(V77)+(Parameters!$F$12=Parameters!$E$16)*Parameters!$I$12*ISNUMBER(W77))&gt;0,((Parameters!$F$5=Parameters!$E$16)*Parameters!$I$5*ISNUMBER(P77)+(Parameters!$F$6=Parameters!$E$16)*Parameters!$I$6*ISNUMBER(Q77)+(Parameters!$F$7=Parameters!$E$16)*Parameters!$I$7*ISNUMBER(R77)+(Parameters!$F$8=Parameters!$E$16)*Parameters!$I$8*ISNUMBER(S77)+(Parameters!$F$9=Parameters!$E$16)*Parameters!$I$9*ISNUMBER(T77)+(Parameters!$F$10=Parameters!$E$16)*Parameters!$I$10*ISNUMBER(U77)+(Parameters!$F$11=Parameters!$E$16)*Parameters!$I$11*ISNUMBER(V77)+(Parameters!$F$12=Parameters!$E$16)*Parameters!$I$12*ISNUMBER(W77))/((Parameters!$F$5=Parameters!$E$16)*Parameters!$I$5*1+(Parameters!$F$6=Parameters!$E$16)*Parameters!$I$6*1+(Parameters!$F$7=Parameters!$E$16)*Parameters!$I$7*1+(Parameters!$F$8=Parameters!$E$16)*Parameters!$I$8*1+(Parameters!$F$9=Parameters!$E$16)*Parameters!$I$9*1+(Parameters!$F$10=Parameters!$E$16)*Parameters!$I$10*1+(Parameters!$F$11=Parameters!$E$16)*Parameters!$I$11*X77+(Parameters!$F$12=Parameters!$E$16)*Parameters!$I$12*Y77)&gt;=Parameters!$B$36),((Parameters!$F$5=Parameters!$E$16)*Parameters!$I$5*N(P77)+(Parameters!$F$6=Parameters!$E$16)*Parameters!$I$6*N(Q77)+(Parameters!$F$7=Parameters!$E$16)*Parameters!$I$7*N(R77)+(Parameters!$F$8=Parameters!$E$16)*Parameters!$I$8*N(S77)+(Parameters!$F$9=Parameters!$E$16)*Parameters!$I$9*N(T77)+(Parameters!$F$10=Parameters!$E$16)*Parameters!$I$10*N(U77)+(Parameters!$F$11=Parameters!$E$16)*Parameters!$I$11*N(V77)+(Parameters!$F$12=Parameters!$E$16)*Parameters!$I$12*N(W77))/((Parameters!$F$5=Parameters!$E$16)*Parameters!$I$5*ISNUMBER(P77)+(Parameters!$F$6=Parameters!$E$16)*Parameters!$I$6*ISNUMBER(Q77)+(Parameters!$F$7=Parameters!$E$16)*Parameters!$I$7*ISNUMBER(R77)+(Parameters!$F$8=Parameters!$E$16)*Parameters!$I$8*ISNUMBER(S77)+(Parameters!$F$9=Parameters!$E$16)*Parameters!$I$9*ISNUMBER(T77)+(Parameters!$F$10=Parameters!$E$16)*Parameters!$I$10*ISNUMBER(U77)+(Parameters!$F$11=Parameters!$E$16)*Parameters!$I$11*ISNUMBER(V77)+(Parameters!$F$12=Parameters!$E$16)*Parameters!$I$12*ISNUMBER(W77)),""))</f>
        <v>1</v>
      </c>
      <c r="AB77"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77+(Parameters!$F$12=Parameters!$E$17)*Parameters!$I$12*Y77)=0,"",IF(AND(((Parameters!$F$5=Parameters!$E$17)*Parameters!$I$5*ISNUMBER(P77)+(Parameters!$F$6=Parameters!$E$17)*Parameters!$I$6*ISNUMBER(Q77)+(Parameters!$F$7=Parameters!$E$17)*Parameters!$I$7*ISNUMBER(R77)+(Parameters!$F$8=Parameters!$E$17)*Parameters!$I$8*ISNUMBER(S77)+(Parameters!$F$9=Parameters!$E$17)*Parameters!$I$9*ISNUMBER(T77)+(Parameters!$F$10=Parameters!$E$17)*Parameters!$I$10*ISNUMBER(U77)+(Parameters!$F$11=Parameters!$E$17)*Parameters!$I$11*ISNUMBER(V77)+(Parameters!$F$12=Parameters!$E$17)*Parameters!$I$12*ISNUMBER(W77))&gt;0,((Parameters!$F$5=Parameters!$E$17)*Parameters!$I$5*ISNUMBER(P77)+(Parameters!$F$6=Parameters!$E$17)*Parameters!$I$6*ISNUMBER(Q77)+(Parameters!$F$7=Parameters!$E$17)*Parameters!$I$7*ISNUMBER(R77)+(Parameters!$F$8=Parameters!$E$17)*Parameters!$I$8*ISNUMBER(S77)+(Parameters!$F$9=Parameters!$E$17)*Parameters!$I$9*ISNUMBER(T77)+(Parameters!$F$10=Parameters!$E$17)*Parameters!$I$10*ISNUMBER(U77)+(Parameters!$F$11=Parameters!$E$17)*Parameters!$I$11*ISNUMBER(V77)+(Parameters!$F$12=Parameters!$E$17)*Parameters!$I$12*ISNUMBER(W77))/((Parameters!$F$5=Parameters!$E$17)*Parameters!$I$5*1+(Parameters!$F$6=Parameters!$E$17)*Parameters!$I$6*1+(Parameters!$F$7=Parameters!$E$17)*Parameters!$I$7*1+(Parameters!$F$8=Parameters!$E$17)*Parameters!$I$8*1+(Parameters!$F$9=Parameters!$E$17)*Parameters!$I$9*1+(Parameters!$F$10=Parameters!$E$17)*Parameters!$I$10*1+(Parameters!$F$11=Parameters!$E$17)*Parameters!$I$11*X77+(Parameters!$F$12=Parameters!$E$17)*Parameters!$I$12*Y77)&gt;=Parameters!$B$36),((Parameters!$F$5=Parameters!$E$17)*Parameters!$I$5*N(P77)+(Parameters!$F$6=Parameters!$E$17)*Parameters!$I$6*N(Q77)+(Parameters!$F$7=Parameters!$E$17)*Parameters!$I$7*N(R77)+(Parameters!$F$8=Parameters!$E$17)*Parameters!$I$8*N(S77)+(Parameters!$F$9=Parameters!$E$17)*Parameters!$I$9*N(T77)+(Parameters!$F$10=Parameters!$E$17)*Parameters!$I$10*N(U77)+(Parameters!$F$11=Parameters!$E$17)*Parameters!$I$11*N(V77)+(Parameters!$F$12=Parameters!$E$17)*Parameters!$I$12*N(W77))/((Parameters!$F$5=Parameters!$E$17)*Parameters!$I$5*ISNUMBER(P77)+(Parameters!$F$6=Parameters!$E$17)*Parameters!$I$6*ISNUMBER(Q77)+(Parameters!$F$7=Parameters!$E$17)*Parameters!$I$7*ISNUMBER(R77)+(Parameters!$F$8=Parameters!$E$17)*Parameters!$I$8*ISNUMBER(S77)+(Parameters!$F$9=Parameters!$E$17)*Parameters!$I$9*ISNUMBER(T77)+(Parameters!$F$10=Parameters!$E$17)*Parameters!$I$10*ISNUMBER(U77)+(Parameters!$F$11=Parameters!$E$17)*Parameters!$I$11*ISNUMBER(V77)+(Parameters!$F$12=Parameters!$E$17)*Parameters!$I$12*ISNUMBER(W77)),""))</f>
        <v/>
      </c>
      <c r="AC77" s="17" t="n">
        <f aca="false">Parameters!$I$5*ISNUMBER(P77)+Parameters!$I$6*ISNUMBER(Q77)+Parameters!$I$7*ISNUMBER(R77)+Parameters!$I$8*ISNUMBER(S77)+Parameters!$I$9*ISNUMBER(T77)+Parameters!$I$10*ISNUMBER(U77)+Parameters!$I$11*ISNUMBER(V77)+Parameters!$I$12*ISNUMBER(W77)</f>
        <v>75</v>
      </c>
      <c r="AD77" s="17" t="n">
        <f aca="false">Parameters!$I$5*1+Parameters!$I$6*1+Parameters!$I$7*1+Parameters!$I$8*1+Parameters!$I$9*1+Parameters!$I$10*1+Parameters!$I$11*X77+Parameters!$I$12*Y77</f>
        <v>75</v>
      </c>
      <c r="AE77" s="18" t="n">
        <f aca="false">IF(AD77=0,"",AC77/AD77)</f>
        <v>1</v>
      </c>
      <c r="AF77" s="17" t="str">
        <f aca="false">IF(ISNUMBER(Z77),"M","")&amp;IF(ISNUMBER(AA77),"I","")&amp;IF(ISNUMBER(AB77),"O","")</f>
        <v>MI</v>
      </c>
      <c r="AG77" s="19" t="n">
        <f aca="false">IF(AND(ISNUMBER(AE77),ISNUMBER(Z77)+ISNUMBER(AA77)+ISNUMBER(AB77)&gt;=Parameters!$B$37),IF(AE77&gt;=Parameters!$B$35,100*(Parameters!$F$15*N(Z77)+Parameters!$F$16*N(AA77)+Parameters!$F$17*N(AB77))/(Parameters!$F$15*ISNUMBER(Z77)+Parameters!$F$16*ISNUMBER(AA77)+Parameters!$F$17*ISNUMBER(AB77)),""),"")</f>
        <v>100</v>
      </c>
      <c r="AH77" s="17" t="n">
        <f aca="false">IF(ISNUMBER(AG77),RANK(AG77,$AG$2:$AG$113),"")</f>
        <v>1</v>
      </c>
    </row>
    <row r="78" customFormat="false" ht="15" hidden="false" customHeight="false" outlineLevel="0" collapsed="false">
      <c r="A78" s="5" t="s">
        <v>391</v>
      </c>
      <c r="B78" s="5" t="s">
        <v>391</v>
      </c>
      <c r="C78" s="5" t="s">
        <v>392</v>
      </c>
      <c r="D78" s="5" t="s">
        <v>31</v>
      </c>
      <c r="E78" s="5" t="s">
        <v>44</v>
      </c>
      <c r="F78" s="5" t="s">
        <v>208</v>
      </c>
      <c r="G78" s="15" t="s">
        <v>393</v>
      </c>
      <c r="H78" s="8" t="n">
        <v>1</v>
      </c>
      <c r="I78" s="5" t="s">
        <v>57</v>
      </c>
      <c r="J78" s="5" t="s">
        <v>74</v>
      </c>
      <c r="K78" s="15"/>
      <c r="L78" s="5" t="s">
        <v>79</v>
      </c>
      <c r="M78" s="5" t="s">
        <v>157</v>
      </c>
      <c r="N78" s="5"/>
      <c r="O78" s="5"/>
      <c r="P78" s="16" t="n">
        <f aca="false">IFERROR(IF(ISNUMBER(INDEX(Parameters!$B$5:$B$23,MATCH(D78,Parameters!$A$5:$A$23,0))),INDEX(Parameters!$B$5:$B$23,MATCH(D78,Parameters!$A$5:$A$23,0)),""),"")</f>
        <v>1</v>
      </c>
      <c r="Q78" s="16" t="n">
        <f aca="false">IFERROR(IF(ISNUMBER(INDEX(Parameters!$B$5:$B$23,MATCH(E78,Parameters!$A$5:$A$23,0))),INDEX(Parameters!$B$5:$B$23,MATCH(E78,Parameters!$A$5:$A$23,0)),""),"")</f>
        <v>1</v>
      </c>
      <c r="R78" s="16" t="n">
        <f aca="false">IF(F78="","",IFERROR(MIN(Parameters!$B$33,MAX(0,Parameters!$B$32-VALUE(LEFT(F78,4))))/Parameters!$B$33,""))</f>
        <v>0.2</v>
      </c>
      <c r="S78" s="16" t="n">
        <f aca="false">IF(ISNUMBER(H78),H78,IF(G78="",IF(ISNUMBER(Parameters!$B$34),Parameters!$B$34,""),""))</f>
        <v>1</v>
      </c>
      <c r="T78" s="16" t="n">
        <f aca="false">IFERROR(IF(ISNUMBER(INDEX(Parameters!$B$5:$B$23,MATCH(I78,Parameters!$A$5:$A$23,0))),INDEX(Parameters!$B$5:$B$23,MATCH(I78,Parameters!$A$5:$A$23,0)),""),"")</f>
        <v>0</v>
      </c>
      <c r="U78" s="16" t="n">
        <f aca="false">IFERROR(IF(ISNUMBER(INDEX(Parameters!$B$5:$B$23,MATCH(L78,Parameters!$A$5:$A$23,0))),INDEX(Parameters!$B$5:$B$23,MATCH(L78,Parameters!$A$5:$A$23,0)),""),"")</f>
        <v>1</v>
      </c>
      <c r="V78" s="16" t="str">
        <f aca="false">IFERROR(IF(ISNUMBER(INDEX(Parameters!$B$5:$B$23,MATCH(J78,Parameters!$A$5:$A$23,0))),INDEX(Parameters!$B$5:$B$23,MATCH(J78,Parameters!$A$5:$A$23,0)),""),"")</f>
        <v/>
      </c>
      <c r="W78" s="16" t="str">
        <f aca="false">IF(K78&lt;&gt;"",1,IF(COUNTIF(Parameters!$A$27:$A$28,J78)&gt;0,0,""))</f>
        <v/>
      </c>
      <c r="X78" s="17" t="n">
        <f aca="false">IF(J78="Not applicable",0,1)</f>
        <v>0</v>
      </c>
      <c r="Y78" s="17" t="n">
        <f aca="false">IF(OR(K78&lt;&gt;"",COUNTIF(Parameters!$A$27:$A$28,J78)&gt;0),1,0)</f>
        <v>0</v>
      </c>
      <c r="Z78"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78+(Parameters!$F$12=Parameters!$E$15)*Parameters!$I$12*Y78)=0,"",IF(AND(((Parameters!$F$5=Parameters!$E$15)*Parameters!$I$5*ISNUMBER(P78)+(Parameters!$F$6=Parameters!$E$15)*Parameters!$I$6*ISNUMBER(Q78)+(Parameters!$F$7=Parameters!$E$15)*Parameters!$I$7*ISNUMBER(R78)+(Parameters!$F$8=Parameters!$E$15)*Parameters!$I$8*ISNUMBER(S78)+(Parameters!$F$9=Parameters!$E$15)*Parameters!$I$9*ISNUMBER(T78)+(Parameters!$F$10=Parameters!$E$15)*Parameters!$I$10*ISNUMBER(U78)+(Parameters!$F$11=Parameters!$E$15)*Parameters!$I$11*ISNUMBER(V78)+(Parameters!$F$12=Parameters!$E$15)*Parameters!$I$12*ISNUMBER(W78))&gt;0,((Parameters!$F$5=Parameters!$E$15)*Parameters!$I$5*ISNUMBER(P78)+(Parameters!$F$6=Parameters!$E$15)*Parameters!$I$6*ISNUMBER(Q78)+(Parameters!$F$7=Parameters!$E$15)*Parameters!$I$7*ISNUMBER(R78)+(Parameters!$F$8=Parameters!$E$15)*Parameters!$I$8*ISNUMBER(S78)+(Parameters!$F$9=Parameters!$E$15)*Parameters!$I$9*ISNUMBER(T78)+(Parameters!$F$10=Parameters!$E$15)*Parameters!$I$10*ISNUMBER(U78)+(Parameters!$F$11=Parameters!$E$15)*Parameters!$I$11*ISNUMBER(V78)+(Parameters!$F$12=Parameters!$E$15)*Parameters!$I$12*ISNUMBER(W78))/((Parameters!$F$5=Parameters!$E$15)*Parameters!$I$5*1+(Parameters!$F$6=Parameters!$E$15)*Parameters!$I$6*1+(Parameters!$F$7=Parameters!$E$15)*Parameters!$I$7*1+(Parameters!$F$8=Parameters!$E$15)*Parameters!$I$8*1+(Parameters!$F$9=Parameters!$E$15)*Parameters!$I$9*1+(Parameters!$F$10=Parameters!$E$15)*Parameters!$I$10*1+(Parameters!$F$11=Parameters!$E$15)*Parameters!$I$11*X78+(Parameters!$F$12=Parameters!$E$15)*Parameters!$I$12*Y78)&gt;=Parameters!$B$36),((Parameters!$F$5=Parameters!$E$15)*Parameters!$I$5*N(P78)+(Parameters!$F$6=Parameters!$E$15)*Parameters!$I$6*N(Q78)+(Parameters!$F$7=Parameters!$E$15)*Parameters!$I$7*N(R78)+(Parameters!$F$8=Parameters!$E$15)*Parameters!$I$8*N(S78)+(Parameters!$F$9=Parameters!$E$15)*Parameters!$I$9*N(T78)+(Parameters!$F$10=Parameters!$E$15)*Parameters!$I$10*N(U78)+(Parameters!$F$11=Parameters!$E$15)*Parameters!$I$11*N(V78)+(Parameters!$F$12=Parameters!$E$15)*Parameters!$I$12*N(W78))/((Parameters!$F$5=Parameters!$E$15)*Parameters!$I$5*ISNUMBER(P78)+(Parameters!$F$6=Parameters!$E$15)*Parameters!$I$6*ISNUMBER(Q78)+(Parameters!$F$7=Parameters!$E$15)*Parameters!$I$7*ISNUMBER(R78)+(Parameters!$F$8=Parameters!$E$15)*Parameters!$I$8*ISNUMBER(S78)+(Parameters!$F$9=Parameters!$E$15)*Parameters!$I$9*ISNUMBER(T78)+(Parameters!$F$10=Parameters!$E$15)*Parameters!$I$10*ISNUMBER(U78)+(Parameters!$F$11=Parameters!$E$15)*Parameters!$I$11*ISNUMBER(V78)+(Parameters!$F$12=Parameters!$E$15)*Parameters!$I$12*ISNUMBER(W78)),""))</f>
        <v>0.92</v>
      </c>
      <c r="AA78"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78+(Parameters!$F$12=Parameters!$E$16)*Parameters!$I$12*Y78)=0,"",IF(AND(((Parameters!$F$5=Parameters!$E$16)*Parameters!$I$5*ISNUMBER(P78)+(Parameters!$F$6=Parameters!$E$16)*Parameters!$I$6*ISNUMBER(Q78)+(Parameters!$F$7=Parameters!$E$16)*Parameters!$I$7*ISNUMBER(R78)+(Parameters!$F$8=Parameters!$E$16)*Parameters!$I$8*ISNUMBER(S78)+(Parameters!$F$9=Parameters!$E$16)*Parameters!$I$9*ISNUMBER(T78)+(Parameters!$F$10=Parameters!$E$16)*Parameters!$I$10*ISNUMBER(U78)+(Parameters!$F$11=Parameters!$E$16)*Parameters!$I$11*ISNUMBER(V78)+(Parameters!$F$12=Parameters!$E$16)*Parameters!$I$12*ISNUMBER(W78))&gt;0,((Parameters!$F$5=Parameters!$E$16)*Parameters!$I$5*ISNUMBER(P78)+(Parameters!$F$6=Parameters!$E$16)*Parameters!$I$6*ISNUMBER(Q78)+(Parameters!$F$7=Parameters!$E$16)*Parameters!$I$7*ISNUMBER(R78)+(Parameters!$F$8=Parameters!$E$16)*Parameters!$I$8*ISNUMBER(S78)+(Parameters!$F$9=Parameters!$E$16)*Parameters!$I$9*ISNUMBER(T78)+(Parameters!$F$10=Parameters!$E$16)*Parameters!$I$10*ISNUMBER(U78)+(Parameters!$F$11=Parameters!$E$16)*Parameters!$I$11*ISNUMBER(V78)+(Parameters!$F$12=Parameters!$E$16)*Parameters!$I$12*ISNUMBER(W78))/((Parameters!$F$5=Parameters!$E$16)*Parameters!$I$5*1+(Parameters!$F$6=Parameters!$E$16)*Parameters!$I$6*1+(Parameters!$F$7=Parameters!$E$16)*Parameters!$I$7*1+(Parameters!$F$8=Parameters!$E$16)*Parameters!$I$8*1+(Parameters!$F$9=Parameters!$E$16)*Parameters!$I$9*1+(Parameters!$F$10=Parameters!$E$16)*Parameters!$I$10*1+(Parameters!$F$11=Parameters!$E$16)*Parameters!$I$11*X78+(Parameters!$F$12=Parameters!$E$16)*Parameters!$I$12*Y78)&gt;=Parameters!$B$36),((Parameters!$F$5=Parameters!$E$16)*Parameters!$I$5*N(P78)+(Parameters!$F$6=Parameters!$E$16)*Parameters!$I$6*N(Q78)+(Parameters!$F$7=Parameters!$E$16)*Parameters!$I$7*N(R78)+(Parameters!$F$8=Parameters!$E$16)*Parameters!$I$8*N(S78)+(Parameters!$F$9=Parameters!$E$16)*Parameters!$I$9*N(T78)+(Parameters!$F$10=Parameters!$E$16)*Parameters!$I$10*N(U78)+(Parameters!$F$11=Parameters!$E$16)*Parameters!$I$11*N(V78)+(Parameters!$F$12=Parameters!$E$16)*Parameters!$I$12*N(W78))/((Parameters!$F$5=Parameters!$E$16)*Parameters!$I$5*ISNUMBER(P78)+(Parameters!$F$6=Parameters!$E$16)*Parameters!$I$6*ISNUMBER(Q78)+(Parameters!$F$7=Parameters!$E$16)*Parameters!$I$7*ISNUMBER(R78)+(Parameters!$F$8=Parameters!$E$16)*Parameters!$I$8*ISNUMBER(S78)+(Parameters!$F$9=Parameters!$E$16)*Parameters!$I$9*ISNUMBER(T78)+(Parameters!$F$10=Parameters!$E$16)*Parameters!$I$10*ISNUMBER(U78)+(Parameters!$F$11=Parameters!$E$16)*Parameters!$I$11*ISNUMBER(V78)+(Parameters!$F$12=Parameters!$E$16)*Parameters!$I$12*ISNUMBER(W78)),""))</f>
        <v>0.8</v>
      </c>
      <c r="AB78"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78+(Parameters!$F$12=Parameters!$E$17)*Parameters!$I$12*Y78)=0,"",IF(AND(((Parameters!$F$5=Parameters!$E$17)*Parameters!$I$5*ISNUMBER(P78)+(Parameters!$F$6=Parameters!$E$17)*Parameters!$I$6*ISNUMBER(Q78)+(Parameters!$F$7=Parameters!$E$17)*Parameters!$I$7*ISNUMBER(R78)+(Parameters!$F$8=Parameters!$E$17)*Parameters!$I$8*ISNUMBER(S78)+(Parameters!$F$9=Parameters!$E$17)*Parameters!$I$9*ISNUMBER(T78)+(Parameters!$F$10=Parameters!$E$17)*Parameters!$I$10*ISNUMBER(U78)+(Parameters!$F$11=Parameters!$E$17)*Parameters!$I$11*ISNUMBER(V78)+(Parameters!$F$12=Parameters!$E$17)*Parameters!$I$12*ISNUMBER(W78))&gt;0,((Parameters!$F$5=Parameters!$E$17)*Parameters!$I$5*ISNUMBER(P78)+(Parameters!$F$6=Parameters!$E$17)*Parameters!$I$6*ISNUMBER(Q78)+(Parameters!$F$7=Parameters!$E$17)*Parameters!$I$7*ISNUMBER(R78)+(Parameters!$F$8=Parameters!$E$17)*Parameters!$I$8*ISNUMBER(S78)+(Parameters!$F$9=Parameters!$E$17)*Parameters!$I$9*ISNUMBER(T78)+(Parameters!$F$10=Parameters!$E$17)*Parameters!$I$10*ISNUMBER(U78)+(Parameters!$F$11=Parameters!$E$17)*Parameters!$I$11*ISNUMBER(V78)+(Parameters!$F$12=Parameters!$E$17)*Parameters!$I$12*ISNUMBER(W78))/((Parameters!$F$5=Parameters!$E$17)*Parameters!$I$5*1+(Parameters!$F$6=Parameters!$E$17)*Parameters!$I$6*1+(Parameters!$F$7=Parameters!$E$17)*Parameters!$I$7*1+(Parameters!$F$8=Parameters!$E$17)*Parameters!$I$8*1+(Parameters!$F$9=Parameters!$E$17)*Parameters!$I$9*1+(Parameters!$F$10=Parameters!$E$17)*Parameters!$I$10*1+(Parameters!$F$11=Parameters!$E$17)*Parameters!$I$11*X78+(Parameters!$F$12=Parameters!$E$17)*Parameters!$I$12*Y78)&gt;=Parameters!$B$36),((Parameters!$F$5=Parameters!$E$17)*Parameters!$I$5*N(P78)+(Parameters!$F$6=Parameters!$E$17)*Parameters!$I$6*N(Q78)+(Parameters!$F$7=Parameters!$E$17)*Parameters!$I$7*N(R78)+(Parameters!$F$8=Parameters!$E$17)*Parameters!$I$8*N(S78)+(Parameters!$F$9=Parameters!$E$17)*Parameters!$I$9*N(T78)+(Parameters!$F$10=Parameters!$E$17)*Parameters!$I$10*N(U78)+(Parameters!$F$11=Parameters!$E$17)*Parameters!$I$11*N(V78)+(Parameters!$F$12=Parameters!$E$17)*Parameters!$I$12*N(W78))/((Parameters!$F$5=Parameters!$E$17)*Parameters!$I$5*ISNUMBER(P78)+(Parameters!$F$6=Parameters!$E$17)*Parameters!$I$6*ISNUMBER(Q78)+(Parameters!$F$7=Parameters!$E$17)*Parameters!$I$7*ISNUMBER(R78)+(Parameters!$F$8=Parameters!$E$17)*Parameters!$I$8*ISNUMBER(S78)+(Parameters!$F$9=Parameters!$E$17)*Parameters!$I$9*ISNUMBER(T78)+(Parameters!$F$10=Parameters!$E$17)*Parameters!$I$10*ISNUMBER(U78)+(Parameters!$F$11=Parameters!$E$17)*Parameters!$I$11*ISNUMBER(V78)+(Parameters!$F$12=Parameters!$E$17)*Parameters!$I$12*ISNUMBER(W78)),""))</f>
        <v/>
      </c>
      <c r="AC78" s="17" t="n">
        <f aca="false">Parameters!$I$5*ISNUMBER(P78)+Parameters!$I$6*ISNUMBER(Q78)+Parameters!$I$7*ISNUMBER(R78)+Parameters!$I$8*ISNUMBER(S78)+Parameters!$I$9*ISNUMBER(T78)+Parameters!$I$10*ISNUMBER(U78)+Parameters!$I$11*ISNUMBER(V78)+Parameters!$I$12*ISNUMBER(W78)</f>
        <v>75</v>
      </c>
      <c r="AD78" s="17" t="n">
        <f aca="false">Parameters!$I$5*1+Parameters!$I$6*1+Parameters!$I$7*1+Parameters!$I$8*1+Parameters!$I$9*1+Parameters!$I$10*1+Parameters!$I$11*X78+Parameters!$I$12*Y78</f>
        <v>75</v>
      </c>
      <c r="AE78" s="18" t="n">
        <f aca="false">IF(AD78=0,"",AC78/AD78)</f>
        <v>1</v>
      </c>
      <c r="AF78" s="17" t="str">
        <f aca="false">IF(ISNUMBER(Z78),"M","")&amp;IF(ISNUMBER(AA78),"I","")&amp;IF(ISNUMBER(AB78),"O","")</f>
        <v>MI</v>
      </c>
      <c r="AG78" s="19" t="n">
        <f aca="false">IF(AND(ISNUMBER(AE78),ISNUMBER(Z78)+ISNUMBER(AA78)+ISNUMBER(AB78)&gt;=Parameters!$B$37),IF(AE78&gt;=Parameters!$B$35,100*(Parameters!$F$15*N(Z78)+Parameters!$F$16*N(AA78)+Parameters!$F$17*N(AB78))/(Parameters!$F$15*ISNUMBER(Z78)+Parameters!$F$16*ISNUMBER(AA78)+Parameters!$F$17*ISNUMBER(AB78)),""),"")</f>
        <v>87.5</v>
      </c>
      <c r="AH78" s="17" t="n">
        <f aca="false">IF(ISNUMBER(AG78),RANK(AG78,$AG$2:$AG$113),"")</f>
        <v>40</v>
      </c>
    </row>
    <row r="79" customFormat="false" ht="15" hidden="false" customHeight="false" outlineLevel="0" collapsed="false">
      <c r="A79" s="5" t="s">
        <v>394</v>
      </c>
      <c r="B79" s="5" t="s">
        <v>395</v>
      </c>
      <c r="C79" s="5" t="s">
        <v>396</v>
      </c>
      <c r="D79" s="5" t="s">
        <v>31</v>
      </c>
      <c r="E79" s="5" t="s">
        <v>44</v>
      </c>
      <c r="F79" s="5" t="s">
        <v>208</v>
      </c>
      <c r="G79" s="15" t="s">
        <v>397</v>
      </c>
      <c r="H79" s="8" t="n">
        <v>1</v>
      </c>
      <c r="I79" s="5" t="s">
        <v>57</v>
      </c>
      <c r="J79" s="5" t="s">
        <v>74</v>
      </c>
      <c r="K79" s="15"/>
      <c r="L79" s="5" t="s">
        <v>76</v>
      </c>
      <c r="M79" s="5" t="s">
        <v>141</v>
      </c>
      <c r="N79" s="5" t="s">
        <v>252</v>
      </c>
      <c r="O79" s="5" t="s">
        <v>168</v>
      </c>
      <c r="P79" s="16" t="n">
        <f aca="false">IFERROR(IF(ISNUMBER(INDEX(Parameters!$B$5:$B$23,MATCH(D79,Parameters!$A$5:$A$23,0))),INDEX(Parameters!$B$5:$B$23,MATCH(D79,Parameters!$A$5:$A$23,0)),""),"")</f>
        <v>1</v>
      </c>
      <c r="Q79" s="16" t="n">
        <f aca="false">IFERROR(IF(ISNUMBER(INDEX(Parameters!$B$5:$B$23,MATCH(E79,Parameters!$A$5:$A$23,0))),INDEX(Parameters!$B$5:$B$23,MATCH(E79,Parameters!$A$5:$A$23,0)),""),"")</f>
        <v>1</v>
      </c>
      <c r="R79" s="16" t="n">
        <f aca="false">IF(F79="","",IFERROR(MIN(Parameters!$B$33,MAX(0,Parameters!$B$32-VALUE(LEFT(F79,4))))/Parameters!$B$33,""))</f>
        <v>0.2</v>
      </c>
      <c r="S79" s="16" t="n">
        <f aca="false">IF(ISNUMBER(H79),H79,IF(G79="",IF(ISNUMBER(Parameters!$B$34),Parameters!$B$34,""),""))</f>
        <v>1</v>
      </c>
      <c r="T79" s="16" t="n">
        <f aca="false">IFERROR(IF(ISNUMBER(INDEX(Parameters!$B$5:$B$23,MATCH(I79,Parameters!$A$5:$A$23,0))),INDEX(Parameters!$B$5:$B$23,MATCH(I79,Parameters!$A$5:$A$23,0)),""),"")</f>
        <v>0</v>
      </c>
      <c r="U79" s="16" t="n">
        <f aca="false">IFERROR(IF(ISNUMBER(INDEX(Parameters!$B$5:$B$23,MATCH(L79,Parameters!$A$5:$A$23,0))),INDEX(Parameters!$B$5:$B$23,MATCH(L79,Parameters!$A$5:$A$23,0)),""),"")</f>
        <v>1</v>
      </c>
      <c r="V79" s="16" t="str">
        <f aca="false">IFERROR(IF(ISNUMBER(INDEX(Parameters!$B$5:$B$23,MATCH(J79,Parameters!$A$5:$A$23,0))),INDEX(Parameters!$B$5:$B$23,MATCH(J79,Parameters!$A$5:$A$23,0)),""),"")</f>
        <v/>
      </c>
      <c r="W79" s="16" t="str">
        <f aca="false">IF(K79&lt;&gt;"",1,IF(COUNTIF(Parameters!$A$27:$A$28,J79)&gt;0,0,""))</f>
        <v/>
      </c>
      <c r="X79" s="17" t="n">
        <f aca="false">IF(J79="Not applicable",0,1)</f>
        <v>0</v>
      </c>
      <c r="Y79" s="17" t="n">
        <f aca="false">IF(OR(K79&lt;&gt;"",COUNTIF(Parameters!$A$27:$A$28,J79)&gt;0),1,0)</f>
        <v>0</v>
      </c>
      <c r="Z79"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79+(Parameters!$F$12=Parameters!$E$15)*Parameters!$I$12*Y79)=0,"",IF(AND(((Parameters!$F$5=Parameters!$E$15)*Parameters!$I$5*ISNUMBER(P79)+(Parameters!$F$6=Parameters!$E$15)*Parameters!$I$6*ISNUMBER(Q79)+(Parameters!$F$7=Parameters!$E$15)*Parameters!$I$7*ISNUMBER(R79)+(Parameters!$F$8=Parameters!$E$15)*Parameters!$I$8*ISNUMBER(S79)+(Parameters!$F$9=Parameters!$E$15)*Parameters!$I$9*ISNUMBER(T79)+(Parameters!$F$10=Parameters!$E$15)*Parameters!$I$10*ISNUMBER(U79)+(Parameters!$F$11=Parameters!$E$15)*Parameters!$I$11*ISNUMBER(V79)+(Parameters!$F$12=Parameters!$E$15)*Parameters!$I$12*ISNUMBER(W79))&gt;0,((Parameters!$F$5=Parameters!$E$15)*Parameters!$I$5*ISNUMBER(P79)+(Parameters!$F$6=Parameters!$E$15)*Parameters!$I$6*ISNUMBER(Q79)+(Parameters!$F$7=Parameters!$E$15)*Parameters!$I$7*ISNUMBER(R79)+(Parameters!$F$8=Parameters!$E$15)*Parameters!$I$8*ISNUMBER(S79)+(Parameters!$F$9=Parameters!$E$15)*Parameters!$I$9*ISNUMBER(T79)+(Parameters!$F$10=Parameters!$E$15)*Parameters!$I$10*ISNUMBER(U79)+(Parameters!$F$11=Parameters!$E$15)*Parameters!$I$11*ISNUMBER(V79)+(Parameters!$F$12=Parameters!$E$15)*Parameters!$I$12*ISNUMBER(W79))/((Parameters!$F$5=Parameters!$E$15)*Parameters!$I$5*1+(Parameters!$F$6=Parameters!$E$15)*Parameters!$I$6*1+(Parameters!$F$7=Parameters!$E$15)*Parameters!$I$7*1+(Parameters!$F$8=Parameters!$E$15)*Parameters!$I$8*1+(Parameters!$F$9=Parameters!$E$15)*Parameters!$I$9*1+(Parameters!$F$10=Parameters!$E$15)*Parameters!$I$10*1+(Parameters!$F$11=Parameters!$E$15)*Parameters!$I$11*X79+(Parameters!$F$12=Parameters!$E$15)*Parameters!$I$12*Y79)&gt;=Parameters!$B$36),((Parameters!$F$5=Parameters!$E$15)*Parameters!$I$5*N(P79)+(Parameters!$F$6=Parameters!$E$15)*Parameters!$I$6*N(Q79)+(Parameters!$F$7=Parameters!$E$15)*Parameters!$I$7*N(R79)+(Parameters!$F$8=Parameters!$E$15)*Parameters!$I$8*N(S79)+(Parameters!$F$9=Parameters!$E$15)*Parameters!$I$9*N(T79)+(Parameters!$F$10=Parameters!$E$15)*Parameters!$I$10*N(U79)+(Parameters!$F$11=Parameters!$E$15)*Parameters!$I$11*N(V79)+(Parameters!$F$12=Parameters!$E$15)*Parameters!$I$12*N(W79))/((Parameters!$F$5=Parameters!$E$15)*Parameters!$I$5*ISNUMBER(P79)+(Parameters!$F$6=Parameters!$E$15)*Parameters!$I$6*ISNUMBER(Q79)+(Parameters!$F$7=Parameters!$E$15)*Parameters!$I$7*ISNUMBER(R79)+(Parameters!$F$8=Parameters!$E$15)*Parameters!$I$8*ISNUMBER(S79)+(Parameters!$F$9=Parameters!$E$15)*Parameters!$I$9*ISNUMBER(T79)+(Parameters!$F$10=Parameters!$E$15)*Parameters!$I$10*ISNUMBER(U79)+(Parameters!$F$11=Parameters!$E$15)*Parameters!$I$11*ISNUMBER(V79)+(Parameters!$F$12=Parameters!$E$15)*Parameters!$I$12*ISNUMBER(W79)),""))</f>
        <v>0.92</v>
      </c>
      <c r="AA79"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79+(Parameters!$F$12=Parameters!$E$16)*Parameters!$I$12*Y79)=0,"",IF(AND(((Parameters!$F$5=Parameters!$E$16)*Parameters!$I$5*ISNUMBER(P79)+(Parameters!$F$6=Parameters!$E$16)*Parameters!$I$6*ISNUMBER(Q79)+(Parameters!$F$7=Parameters!$E$16)*Parameters!$I$7*ISNUMBER(R79)+(Parameters!$F$8=Parameters!$E$16)*Parameters!$I$8*ISNUMBER(S79)+(Parameters!$F$9=Parameters!$E$16)*Parameters!$I$9*ISNUMBER(T79)+(Parameters!$F$10=Parameters!$E$16)*Parameters!$I$10*ISNUMBER(U79)+(Parameters!$F$11=Parameters!$E$16)*Parameters!$I$11*ISNUMBER(V79)+(Parameters!$F$12=Parameters!$E$16)*Parameters!$I$12*ISNUMBER(W79))&gt;0,((Parameters!$F$5=Parameters!$E$16)*Parameters!$I$5*ISNUMBER(P79)+(Parameters!$F$6=Parameters!$E$16)*Parameters!$I$6*ISNUMBER(Q79)+(Parameters!$F$7=Parameters!$E$16)*Parameters!$I$7*ISNUMBER(R79)+(Parameters!$F$8=Parameters!$E$16)*Parameters!$I$8*ISNUMBER(S79)+(Parameters!$F$9=Parameters!$E$16)*Parameters!$I$9*ISNUMBER(T79)+(Parameters!$F$10=Parameters!$E$16)*Parameters!$I$10*ISNUMBER(U79)+(Parameters!$F$11=Parameters!$E$16)*Parameters!$I$11*ISNUMBER(V79)+(Parameters!$F$12=Parameters!$E$16)*Parameters!$I$12*ISNUMBER(W79))/((Parameters!$F$5=Parameters!$E$16)*Parameters!$I$5*1+(Parameters!$F$6=Parameters!$E$16)*Parameters!$I$6*1+(Parameters!$F$7=Parameters!$E$16)*Parameters!$I$7*1+(Parameters!$F$8=Parameters!$E$16)*Parameters!$I$8*1+(Parameters!$F$9=Parameters!$E$16)*Parameters!$I$9*1+(Parameters!$F$10=Parameters!$E$16)*Parameters!$I$10*1+(Parameters!$F$11=Parameters!$E$16)*Parameters!$I$11*X79+(Parameters!$F$12=Parameters!$E$16)*Parameters!$I$12*Y79)&gt;=Parameters!$B$36),((Parameters!$F$5=Parameters!$E$16)*Parameters!$I$5*N(P79)+(Parameters!$F$6=Parameters!$E$16)*Parameters!$I$6*N(Q79)+(Parameters!$F$7=Parameters!$E$16)*Parameters!$I$7*N(R79)+(Parameters!$F$8=Parameters!$E$16)*Parameters!$I$8*N(S79)+(Parameters!$F$9=Parameters!$E$16)*Parameters!$I$9*N(T79)+(Parameters!$F$10=Parameters!$E$16)*Parameters!$I$10*N(U79)+(Parameters!$F$11=Parameters!$E$16)*Parameters!$I$11*N(V79)+(Parameters!$F$12=Parameters!$E$16)*Parameters!$I$12*N(W79))/((Parameters!$F$5=Parameters!$E$16)*Parameters!$I$5*ISNUMBER(P79)+(Parameters!$F$6=Parameters!$E$16)*Parameters!$I$6*ISNUMBER(Q79)+(Parameters!$F$7=Parameters!$E$16)*Parameters!$I$7*ISNUMBER(R79)+(Parameters!$F$8=Parameters!$E$16)*Parameters!$I$8*ISNUMBER(S79)+(Parameters!$F$9=Parameters!$E$16)*Parameters!$I$9*ISNUMBER(T79)+(Parameters!$F$10=Parameters!$E$16)*Parameters!$I$10*ISNUMBER(U79)+(Parameters!$F$11=Parameters!$E$16)*Parameters!$I$11*ISNUMBER(V79)+(Parameters!$F$12=Parameters!$E$16)*Parameters!$I$12*ISNUMBER(W79)),""))</f>
        <v>0.8</v>
      </c>
      <c r="AB79"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79+(Parameters!$F$12=Parameters!$E$17)*Parameters!$I$12*Y79)=0,"",IF(AND(((Parameters!$F$5=Parameters!$E$17)*Parameters!$I$5*ISNUMBER(P79)+(Parameters!$F$6=Parameters!$E$17)*Parameters!$I$6*ISNUMBER(Q79)+(Parameters!$F$7=Parameters!$E$17)*Parameters!$I$7*ISNUMBER(R79)+(Parameters!$F$8=Parameters!$E$17)*Parameters!$I$8*ISNUMBER(S79)+(Parameters!$F$9=Parameters!$E$17)*Parameters!$I$9*ISNUMBER(T79)+(Parameters!$F$10=Parameters!$E$17)*Parameters!$I$10*ISNUMBER(U79)+(Parameters!$F$11=Parameters!$E$17)*Parameters!$I$11*ISNUMBER(V79)+(Parameters!$F$12=Parameters!$E$17)*Parameters!$I$12*ISNUMBER(W79))&gt;0,((Parameters!$F$5=Parameters!$E$17)*Parameters!$I$5*ISNUMBER(P79)+(Parameters!$F$6=Parameters!$E$17)*Parameters!$I$6*ISNUMBER(Q79)+(Parameters!$F$7=Parameters!$E$17)*Parameters!$I$7*ISNUMBER(R79)+(Parameters!$F$8=Parameters!$E$17)*Parameters!$I$8*ISNUMBER(S79)+(Parameters!$F$9=Parameters!$E$17)*Parameters!$I$9*ISNUMBER(T79)+(Parameters!$F$10=Parameters!$E$17)*Parameters!$I$10*ISNUMBER(U79)+(Parameters!$F$11=Parameters!$E$17)*Parameters!$I$11*ISNUMBER(V79)+(Parameters!$F$12=Parameters!$E$17)*Parameters!$I$12*ISNUMBER(W79))/((Parameters!$F$5=Parameters!$E$17)*Parameters!$I$5*1+(Parameters!$F$6=Parameters!$E$17)*Parameters!$I$6*1+(Parameters!$F$7=Parameters!$E$17)*Parameters!$I$7*1+(Parameters!$F$8=Parameters!$E$17)*Parameters!$I$8*1+(Parameters!$F$9=Parameters!$E$17)*Parameters!$I$9*1+(Parameters!$F$10=Parameters!$E$17)*Parameters!$I$10*1+(Parameters!$F$11=Parameters!$E$17)*Parameters!$I$11*X79+(Parameters!$F$12=Parameters!$E$17)*Parameters!$I$12*Y79)&gt;=Parameters!$B$36),((Parameters!$F$5=Parameters!$E$17)*Parameters!$I$5*N(P79)+(Parameters!$F$6=Parameters!$E$17)*Parameters!$I$6*N(Q79)+(Parameters!$F$7=Parameters!$E$17)*Parameters!$I$7*N(R79)+(Parameters!$F$8=Parameters!$E$17)*Parameters!$I$8*N(S79)+(Parameters!$F$9=Parameters!$E$17)*Parameters!$I$9*N(T79)+(Parameters!$F$10=Parameters!$E$17)*Parameters!$I$10*N(U79)+(Parameters!$F$11=Parameters!$E$17)*Parameters!$I$11*N(V79)+(Parameters!$F$12=Parameters!$E$17)*Parameters!$I$12*N(W79))/((Parameters!$F$5=Parameters!$E$17)*Parameters!$I$5*ISNUMBER(P79)+(Parameters!$F$6=Parameters!$E$17)*Parameters!$I$6*ISNUMBER(Q79)+(Parameters!$F$7=Parameters!$E$17)*Parameters!$I$7*ISNUMBER(R79)+(Parameters!$F$8=Parameters!$E$17)*Parameters!$I$8*ISNUMBER(S79)+(Parameters!$F$9=Parameters!$E$17)*Parameters!$I$9*ISNUMBER(T79)+(Parameters!$F$10=Parameters!$E$17)*Parameters!$I$10*ISNUMBER(U79)+(Parameters!$F$11=Parameters!$E$17)*Parameters!$I$11*ISNUMBER(V79)+(Parameters!$F$12=Parameters!$E$17)*Parameters!$I$12*ISNUMBER(W79)),""))</f>
        <v/>
      </c>
      <c r="AC79" s="17" t="n">
        <f aca="false">Parameters!$I$5*ISNUMBER(P79)+Parameters!$I$6*ISNUMBER(Q79)+Parameters!$I$7*ISNUMBER(R79)+Parameters!$I$8*ISNUMBER(S79)+Parameters!$I$9*ISNUMBER(T79)+Parameters!$I$10*ISNUMBER(U79)+Parameters!$I$11*ISNUMBER(V79)+Parameters!$I$12*ISNUMBER(W79)</f>
        <v>75</v>
      </c>
      <c r="AD79" s="17" t="n">
        <f aca="false">Parameters!$I$5*1+Parameters!$I$6*1+Parameters!$I$7*1+Parameters!$I$8*1+Parameters!$I$9*1+Parameters!$I$10*1+Parameters!$I$11*X79+Parameters!$I$12*Y79</f>
        <v>75</v>
      </c>
      <c r="AE79" s="18" t="n">
        <f aca="false">IF(AD79=0,"",AC79/AD79)</f>
        <v>1</v>
      </c>
      <c r="AF79" s="17" t="str">
        <f aca="false">IF(ISNUMBER(Z79),"M","")&amp;IF(ISNUMBER(AA79),"I","")&amp;IF(ISNUMBER(AB79),"O","")</f>
        <v>MI</v>
      </c>
      <c r="AG79" s="19" t="n">
        <f aca="false">IF(AND(ISNUMBER(AE79),ISNUMBER(Z79)+ISNUMBER(AA79)+ISNUMBER(AB79)&gt;=Parameters!$B$37),IF(AE79&gt;=Parameters!$B$35,100*(Parameters!$F$15*N(Z79)+Parameters!$F$16*N(AA79)+Parameters!$F$17*N(AB79))/(Parameters!$F$15*ISNUMBER(Z79)+Parameters!$F$16*ISNUMBER(AA79)+Parameters!$F$17*ISNUMBER(AB79)),""),"")</f>
        <v>87.5</v>
      </c>
      <c r="AH79" s="17" t="n">
        <f aca="false">IF(ISNUMBER(AG79),RANK(AG79,$AG$2:$AG$113),"")</f>
        <v>40</v>
      </c>
    </row>
    <row r="80" customFormat="false" ht="15" hidden="false" customHeight="false" outlineLevel="0" collapsed="false">
      <c r="A80" s="5" t="s">
        <v>398</v>
      </c>
      <c r="B80" s="5" t="s">
        <v>399</v>
      </c>
      <c r="C80" s="5" t="s">
        <v>226</v>
      </c>
      <c r="D80" s="5" t="s">
        <v>31</v>
      </c>
      <c r="E80" s="5" t="s">
        <v>71</v>
      </c>
      <c r="F80" s="5"/>
      <c r="G80" s="15"/>
      <c r="H80" s="8"/>
      <c r="I80" s="5" t="s">
        <v>57</v>
      </c>
      <c r="J80" s="5" t="s">
        <v>74</v>
      </c>
      <c r="K80" s="15"/>
      <c r="L80" s="5" t="s">
        <v>79</v>
      </c>
      <c r="M80" s="5" t="s">
        <v>157</v>
      </c>
      <c r="N80" s="5"/>
      <c r="O80" s="5"/>
      <c r="P80" s="16" t="n">
        <f aca="false">IFERROR(IF(ISNUMBER(INDEX(Parameters!$B$5:$B$23,MATCH(D80,Parameters!$A$5:$A$23,0))),INDEX(Parameters!$B$5:$B$23,MATCH(D80,Parameters!$A$5:$A$23,0)),""),"")</f>
        <v>1</v>
      </c>
      <c r="Q80" s="16" t="str">
        <f aca="false">IFERROR(IF(ISNUMBER(INDEX(Parameters!$B$5:$B$23,MATCH(E80,Parameters!$A$5:$A$23,0))),INDEX(Parameters!$B$5:$B$23,MATCH(E80,Parameters!$A$5:$A$23,0)),""),"")</f>
        <v/>
      </c>
      <c r="R80" s="16" t="str">
        <f aca="false">IF(F80="","",IFERROR(MIN(Parameters!$B$33,MAX(0,Parameters!$B$32-VALUE(LEFT(F80,4))))/Parameters!$B$33,""))</f>
        <v/>
      </c>
      <c r="S80" s="16" t="str">
        <f aca="false">IF(ISNUMBER(H80),H80,IF(G80="",IF(ISNUMBER(Parameters!$B$34),Parameters!$B$34,""),""))</f>
        <v/>
      </c>
      <c r="T80" s="16" t="n">
        <f aca="false">IFERROR(IF(ISNUMBER(INDEX(Parameters!$B$5:$B$23,MATCH(I80,Parameters!$A$5:$A$23,0))),INDEX(Parameters!$B$5:$B$23,MATCH(I80,Parameters!$A$5:$A$23,0)),""),"")</f>
        <v>0</v>
      </c>
      <c r="U80" s="16" t="n">
        <f aca="false">IFERROR(IF(ISNUMBER(INDEX(Parameters!$B$5:$B$23,MATCH(L80,Parameters!$A$5:$A$23,0))),INDEX(Parameters!$B$5:$B$23,MATCH(L80,Parameters!$A$5:$A$23,0)),""),"")</f>
        <v>1</v>
      </c>
      <c r="V80" s="16" t="str">
        <f aca="false">IFERROR(IF(ISNUMBER(INDEX(Parameters!$B$5:$B$23,MATCH(J80,Parameters!$A$5:$A$23,0))),INDEX(Parameters!$B$5:$B$23,MATCH(J80,Parameters!$A$5:$A$23,0)),""),"")</f>
        <v/>
      </c>
      <c r="W80" s="16" t="str">
        <f aca="false">IF(K80&lt;&gt;"",1,IF(COUNTIF(Parameters!$A$27:$A$28,J80)&gt;0,0,""))</f>
        <v/>
      </c>
      <c r="X80" s="17" t="n">
        <f aca="false">IF(J80="Not applicable",0,1)</f>
        <v>0</v>
      </c>
      <c r="Y80" s="17" t="n">
        <f aca="false">IF(OR(K80&lt;&gt;"",COUNTIF(Parameters!$A$27:$A$28,J80)&gt;0),1,0)</f>
        <v>0</v>
      </c>
      <c r="Z80" s="16" t="str">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80+(Parameters!$F$12=Parameters!$E$15)*Parameters!$I$12*Y80)=0,"",IF(AND(((Parameters!$F$5=Parameters!$E$15)*Parameters!$I$5*ISNUMBER(P80)+(Parameters!$F$6=Parameters!$E$15)*Parameters!$I$6*ISNUMBER(Q80)+(Parameters!$F$7=Parameters!$E$15)*Parameters!$I$7*ISNUMBER(R80)+(Parameters!$F$8=Parameters!$E$15)*Parameters!$I$8*ISNUMBER(S80)+(Parameters!$F$9=Parameters!$E$15)*Parameters!$I$9*ISNUMBER(T80)+(Parameters!$F$10=Parameters!$E$15)*Parameters!$I$10*ISNUMBER(U80)+(Parameters!$F$11=Parameters!$E$15)*Parameters!$I$11*ISNUMBER(V80)+(Parameters!$F$12=Parameters!$E$15)*Parameters!$I$12*ISNUMBER(W80))&gt;0,((Parameters!$F$5=Parameters!$E$15)*Parameters!$I$5*ISNUMBER(P80)+(Parameters!$F$6=Parameters!$E$15)*Parameters!$I$6*ISNUMBER(Q80)+(Parameters!$F$7=Parameters!$E$15)*Parameters!$I$7*ISNUMBER(R80)+(Parameters!$F$8=Parameters!$E$15)*Parameters!$I$8*ISNUMBER(S80)+(Parameters!$F$9=Parameters!$E$15)*Parameters!$I$9*ISNUMBER(T80)+(Parameters!$F$10=Parameters!$E$15)*Parameters!$I$10*ISNUMBER(U80)+(Parameters!$F$11=Parameters!$E$15)*Parameters!$I$11*ISNUMBER(V80)+(Parameters!$F$12=Parameters!$E$15)*Parameters!$I$12*ISNUMBER(W80))/((Parameters!$F$5=Parameters!$E$15)*Parameters!$I$5*1+(Parameters!$F$6=Parameters!$E$15)*Parameters!$I$6*1+(Parameters!$F$7=Parameters!$E$15)*Parameters!$I$7*1+(Parameters!$F$8=Parameters!$E$15)*Parameters!$I$8*1+(Parameters!$F$9=Parameters!$E$15)*Parameters!$I$9*1+(Parameters!$F$10=Parameters!$E$15)*Parameters!$I$10*1+(Parameters!$F$11=Parameters!$E$15)*Parameters!$I$11*X80+(Parameters!$F$12=Parameters!$E$15)*Parameters!$I$12*Y80)&gt;=Parameters!$B$36),((Parameters!$F$5=Parameters!$E$15)*Parameters!$I$5*N(P80)+(Parameters!$F$6=Parameters!$E$15)*Parameters!$I$6*N(Q80)+(Parameters!$F$7=Parameters!$E$15)*Parameters!$I$7*N(R80)+(Parameters!$F$8=Parameters!$E$15)*Parameters!$I$8*N(S80)+(Parameters!$F$9=Parameters!$E$15)*Parameters!$I$9*N(T80)+(Parameters!$F$10=Parameters!$E$15)*Parameters!$I$10*N(U80)+(Parameters!$F$11=Parameters!$E$15)*Parameters!$I$11*N(V80)+(Parameters!$F$12=Parameters!$E$15)*Parameters!$I$12*N(W80))/((Parameters!$F$5=Parameters!$E$15)*Parameters!$I$5*ISNUMBER(P80)+(Parameters!$F$6=Parameters!$E$15)*Parameters!$I$6*ISNUMBER(Q80)+(Parameters!$F$7=Parameters!$E$15)*Parameters!$I$7*ISNUMBER(R80)+(Parameters!$F$8=Parameters!$E$15)*Parameters!$I$8*ISNUMBER(S80)+(Parameters!$F$9=Parameters!$E$15)*Parameters!$I$9*ISNUMBER(T80)+(Parameters!$F$10=Parameters!$E$15)*Parameters!$I$10*ISNUMBER(U80)+(Parameters!$F$11=Parameters!$E$15)*Parameters!$I$11*ISNUMBER(V80)+(Parameters!$F$12=Parameters!$E$15)*Parameters!$I$12*ISNUMBER(W80)),""))</f>
        <v/>
      </c>
      <c r="AA80"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80+(Parameters!$F$12=Parameters!$E$16)*Parameters!$I$12*Y80)=0,"",IF(AND(((Parameters!$F$5=Parameters!$E$16)*Parameters!$I$5*ISNUMBER(P80)+(Parameters!$F$6=Parameters!$E$16)*Parameters!$I$6*ISNUMBER(Q80)+(Parameters!$F$7=Parameters!$E$16)*Parameters!$I$7*ISNUMBER(R80)+(Parameters!$F$8=Parameters!$E$16)*Parameters!$I$8*ISNUMBER(S80)+(Parameters!$F$9=Parameters!$E$16)*Parameters!$I$9*ISNUMBER(T80)+(Parameters!$F$10=Parameters!$E$16)*Parameters!$I$10*ISNUMBER(U80)+(Parameters!$F$11=Parameters!$E$16)*Parameters!$I$11*ISNUMBER(V80)+(Parameters!$F$12=Parameters!$E$16)*Parameters!$I$12*ISNUMBER(W80))&gt;0,((Parameters!$F$5=Parameters!$E$16)*Parameters!$I$5*ISNUMBER(P80)+(Parameters!$F$6=Parameters!$E$16)*Parameters!$I$6*ISNUMBER(Q80)+(Parameters!$F$7=Parameters!$E$16)*Parameters!$I$7*ISNUMBER(R80)+(Parameters!$F$8=Parameters!$E$16)*Parameters!$I$8*ISNUMBER(S80)+(Parameters!$F$9=Parameters!$E$16)*Parameters!$I$9*ISNUMBER(T80)+(Parameters!$F$10=Parameters!$E$16)*Parameters!$I$10*ISNUMBER(U80)+(Parameters!$F$11=Parameters!$E$16)*Parameters!$I$11*ISNUMBER(V80)+(Parameters!$F$12=Parameters!$E$16)*Parameters!$I$12*ISNUMBER(W80))/((Parameters!$F$5=Parameters!$E$16)*Parameters!$I$5*1+(Parameters!$F$6=Parameters!$E$16)*Parameters!$I$6*1+(Parameters!$F$7=Parameters!$E$16)*Parameters!$I$7*1+(Parameters!$F$8=Parameters!$E$16)*Parameters!$I$8*1+(Parameters!$F$9=Parameters!$E$16)*Parameters!$I$9*1+(Parameters!$F$10=Parameters!$E$16)*Parameters!$I$10*1+(Parameters!$F$11=Parameters!$E$16)*Parameters!$I$11*X80+(Parameters!$F$12=Parameters!$E$16)*Parameters!$I$12*Y80)&gt;=Parameters!$B$36),((Parameters!$F$5=Parameters!$E$16)*Parameters!$I$5*N(P80)+(Parameters!$F$6=Parameters!$E$16)*Parameters!$I$6*N(Q80)+(Parameters!$F$7=Parameters!$E$16)*Parameters!$I$7*N(R80)+(Parameters!$F$8=Parameters!$E$16)*Parameters!$I$8*N(S80)+(Parameters!$F$9=Parameters!$E$16)*Parameters!$I$9*N(T80)+(Parameters!$F$10=Parameters!$E$16)*Parameters!$I$10*N(U80)+(Parameters!$F$11=Parameters!$E$16)*Parameters!$I$11*N(V80)+(Parameters!$F$12=Parameters!$E$16)*Parameters!$I$12*N(W80))/((Parameters!$F$5=Parameters!$E$16)*Parameters!$I$5*ISNUMBER(P80)+(Parameters!$F$6=Parameters!$E$16)*Parameters!$I$6*ISNUMBER(Q80)+(Parameters!$F$7=Parameters!$E$16)*Parameters!$I$7*ISNUMBER(R80)+(Parameters!$F$8=Parameters!$E$16)*Parameters!$I$8*ISNUMBER(S80)+(Parameters!$F$9=Parameters!$E$16)*Parameters!$I$9*ISNUMBER(T80)+(Parameters!$F$10=Parameters!$E$16)*Parameters!$I$10*ISNUMBER(U80)+(Parameters!$F$11=Parameters!$E$16)*Parameters!$I$11*ISNUMBER(V80)+(Parameters!$F$12=Parameters!$E$16)*Parameters!$I$12*ISNUMBER(W80)),""))</f>
        <v>0.666666666666667</v>
      </c>
      <c r="AB80"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80+(Parameters!$F$12=Parameters!$E$17)*Parameters!$I$12*Y80)=0,"",IF(AND(((Parameters!$F$5=Parameters!$E$17)*Parameters!$I$5*ISNUMBER(P80)+(Parameters!$F$6=Parameters!$E$17)*Parameters!$I$6*ISNUMBER(Q80)+(Parameters!$F$7=Parameters!$E$17)*Parameters!$I$7*ISNUMBER(R80)+(Parameters!$F$8=Parameters!$E$17)*Parameters!$I$8*ISNUMBER(S80)+(Parameters!$F$9=Parameters!$E$17)*Parameters!$I$9*ISNUMBER(T80)+(Parameters!$F$10=Parameters!$E$17)*Parameters!$I$10*ISNUMBER(U80)+(Parameters!$F$11=Parameters!$E$17)*Parameters!$I$11*ISNUMBER(V80)+(Parameters!$F$12=Parameters!$E$17)*Parameters!$I$12*ISNUMBER(W80))&gt;0,((Parameters!$F$5=Parameters!$E$17)*Parameters!$I$5*ISNUMBER(P80)+(Parameters!$F$6=Parameters!$E$17)*Parameters!$I$6*ISNUMBER(Q80)+(Parameters!$F$7=Parameters!$E$17)*Parameters!$I$7*ISNUMBER(R80)+(Parameters!$F$8=Parameters!$E$17)*Parameters!$I$8*ISNUMBER(S80)+(Parameters!$F$9=Parameters!$E$17)*Parameters!$I$9*ISNUMBER(T80)+(Parameters!$F$10=Parameters!$E$17)*Parameters!$I$10*ISNUMBER(U80)+(Parameters!$F$11=Parameters!$E$17)*Parameters!$I$11*ISNUMBER(V80)+(Parameters!$F$12=Parameters!$E$17)*Parameters!$I$12*ISNUMBER(W80))/((Parameters!$F$5=Parameters!$E$17)*Parameters!$I$5*1+(Parameters!$F$6=Parameters!$E$17)*Parameters!$I$6*1+(Parameters!$F$7=Parameters!$E$17)*Parameters!$I$7*1+(Parameters!$F$8=Parameters!$E$17)*Parameters!$I$8*1+(Parameters!$F$9=Parameters!$E$17)*Parameters!$I$9*1+(Parameters!$F$10=Parameters!$E$17)*Parameters!$I$10*1+(Parameters!$F$11=Parameters!$E$17)*Parameters!$I$11*X80+(Parameters!$F$12=Parameters!$E$17)*Parameters!$I$12*Y80)&gt;=Parameters!$B$36),((Parameters!$F$5=Parameters!$E$17)*Parameters!$I$5*N(P80)+(Parameters!$F$6=Parameters!$E$17)*Parameters!$I$6*N(Q80)+(Parameters!$F$7=Parameters!$E$17)*Parameters!$I$7*N(R80)+(Parameters!$F$8=Parameters!$E$17)*Parameters!$I$8*N(S80)+(Parameters!$F$9=Parameters!$E$17)*Parameters!$I$9*N(T80)+(Parameters!$F$10=Parameters!$E$17)*Parameters!$I$10*N(U80)+(Parameters!$F$11=Parameters!$E$17)*Parameters!$I$11*N(V80)+(Parameters!$F$12=Parameters!$E$17)*Parameters!$I$12*N(W80))/((Parameters!$F$5=Parameters!$E$17)*Parameters!$I$5*ISNUMBER(P80)+(Parameters!$F$6=Parameters!$E$17)*Parameters!$I$6*ISNUMBER(Q80)+(Parameters!$F$7=Parameters!$E$17)*Parameters!$I$7*ISNUMBER(R80)+(Parameters!$F$8=Parameters!$E$17)*Parameters!$I$8*ISNUMBER(S80)+(Parameters!$F$9=Parameters!$E$17)*Parameters!$I$9*ISNUMBER(T80)+(Parameters!$F$10=Parameters!$E$17)*Parameters!$I$10*ISNUMBER(U80)+(Parameters!$F$11=Parameters!$E$17)*Parameters!$I$11*ISNUMBER(V80)+(Parameters!$F$12=Parameters!$E$17)*Parameters!$I$12*ISNUMBER(W80)),""))</f>
        <v/>
      </c>
      <c r="AC80" s="17" t="n">
        <f aca="false">Parameters!$I$5*ISNUMBER(P80)+Parameters!$I$6*ISNUMBER(Q80)+Parameters!$I$7*ISNUMBER(R80)+Parameters!$I$8*ISNUMBER(S80)+Parameters!$I$9*ISNUMBER(T80)+Parameters!$I$10*ISNUMBER(U80)+Parameters!$I$11*ISNUMBER(V80)+Parameters!$I$12*ISNUMBER(W80)</f>
        <v>35</v>
      </c>
      <c r="AD80" s="17" t="n">
        <f aca="false">Parameters!$I$5*1+Parameters!$I$6*1+Parameters!$I$7*1+Parameters!$I$8*1+Parameters!$I$9*1+Parameters!$I$10*1+Parameters!$I$11*X80+Parameters!$I$12*Y80</f>
        <v>75</v>
      </c>
      <c r="AE80" s="18" t="n">
        <f aca="false">IF(AD80=0,"",AC80/AD80)</f>
        <v>0.466666666666667</v>
      </c>
      <c r="AF80" s="17" t="str">
        <f aca="false">IF(ISNUMBER(Z80),"M","")&amp;IF(ISNUMBER(AA80),"I","")&amp;IF(ISNUMBER(AB80),"O","")</f>
        <v>I</v>
      </c>
      <c r="AG80" s="19" t="str">
        <f aca="false">IF(AND(ISNUMBER(AE80),ISNUMBER(Z80)+ISNUMBER(AA80)+ISNUMBER(AB80)&gt;=Parameters!$B$37),IF(AE80&gt;=Parameters!$B$35,100*(Parameters!$F$15*N(Z80)+Parameters!$F$16*N(AA80)+Parameters!$F$17*N(AB80))/(Parameters!$F$15*ISNUMBER(Z80)+Parameters!$F$16*ISNUMBER(AA80)+Parameters!$F$17*ISNUMBER(AB80)),""),"")</f>
        <v/>
      </c>
      <c r="AH80" s="17" t="str">
        <f aca="false">IF(ISNUMBER(AG80),RANK(AG80,$AG$2:$AG$113),"")</f>
        <v/>
      </c>
    </row>
    <row r="81" customFormat="false" ht="15" hidden="false" customHeight="false" outlineLevel="0" collapsed="false">
      <c r="A81" s="5" t="s">
        <v>400</v>
      </c>
      <c r="B81" s="5" t="s">
        <v>401</v>
      </c>
      <c r="C81" s="5" t="s">
        <v>306</v>
      </c>
      <c r="D81" s="5" t="s">
        <v>31</v>
      </c>
      <c r="E81" s="5" t="s">
        <v>44</v>
      </c>
      <c r="F81" s="5" t="s">
        <v>245</v>
      </c>
      <c r="G81" s="15"/>
      <c r="H81" s="8"/>
      <c r="I81" s="5" t="s">
        <v>57</v>
      </c>
      <c r="J81" s="5" t="s">
        <v>68</v>
      </c>
      <c r="K81" s="15"/>
      <c r="L81" s="5" t="s">
        <v>79</v>
      </c>
      <c r="M81" s="5" t="s">
        <v>141</v>
      </c>
      <c r="N81" s="5"/>
      <c r="O81" s="5"/>
      <c r="P81" s="16" t="n">
        <f aca="false">IFERROR(IF(ISNUMBER(INDEX(Parameters!$B$5:$B$23,MATCH(D81,Parameters!$A$5:$A$23,0))),INDEX(Parameters!$B$5:$B$23,MATCH(D81,Parameters!$A$5:$A$23,0)),""),"")</f>
        <v>1</v>
      </c>
      <c r="Q81" s="16" t="n">
        <f aca="false">IFERROR(IF(ISNUMBER(INDEX(Parameters!$B$5:$B$23,MATCH(E81,Parameters!$A$5:$A$23,0))),INDEX(Parameters!$B$5:$B$23,MATCH(E81,Parameters!$A$5:$A$23,0)),""),"")</f>
        <v>1</v>
      </c>
      <c r="R81" s="16" t="n">
        <f aca="false">IF(F81="","",IFERROR(MIN(Parameters!$B$33,MAX(0,Parameters!$B$32-VALUE(LEFT(F81,4))))/Parameters!$B$33,""))</f>
        <v>1</v>
      </c>
      <c r="S81" s="16" t="str">
        <f aca="false">IF(ISNUMBER(H81),H81,IF(G81="",IF(ISNUMBER(Parameters!$B$34),Parameters!$B$34,""),""))</f>
        <v/>
      </c>
      <c r="T81" s="16" t="n">
        <f aca="false">IFERROR(IF(ISNUMBER(INDEX(Parameters!$B$5:$B$23,MATCH(I81,Parameters!$A$5:$A$23,0))),INDEX(Parameters!$B$5:$B$23,MATCH(I81,Parameters!$A$5:$A$23,0)),""),"")</f>
        <v>0</v>
      </c>
      <c r="U81" s="16" t="n">
        <f aca="false">IFERROR(IF(ISNUMBER(INDEX(Parameters!$B$5:$B$23,MATCH(L81,Parameters!$A$5:$A$23,0))),INDEX(Parameters!$B$5:$B$23,MATCH(L81,Parameters!$A$5:$A$23,0)),""),"")</f>
        <v>1</v>
      </c>
      <c r="V81" s="16" t="n">
        <f aca="false">IFERROR(IF(ISNUMBER(INDEX(Parameters!$B$5:$B$23,MATCH(J81,Parameters!$A$5:$A$23,0))),INDEX(Parameters!$B$5:$B$23,MATCH(J81,Parameters!$A$5:$A$23,0)),""),"")</f>
        <v>1</v>
      </c>
      <c r="W81" s="16" t="n">
        <f aca="false">IF(K81&lt;&gt;"",1,IF(COUNTIF(Parameters!$A$27:$A$28,J81)&gt;0,0,""))</f>
        <v>0</v>
      </c>
      <c r="X81" s="17" t="n">
        <f aca="false">IF(J81="Not applicable",0,1)</f>
        <v>1</v>
      </c>
      <c r="Y81" s="17" t="n">
        <f aca="false">IF(OR(K81&lt;&gt;"",COUNTIF(Parameters!$A$27:$A$28,J81)&gt;0),1,0)</f>
        <v>1</v>
      </c>
      <c r="Z81"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81+(Parameters!$F$12=Parameters!$E$15)*Parameters!$I$12*Y81)=0,"",IF(AND(((Parameters!$F$5=Parameters!$E$15)*Parameters!$I$5*ISNUMBER(P81)+(Parameters!$F$6=Parameters!$E$15)*Parameters!$I$6*ISNUMBER(Q81)+(Parameters!$F$7=Parameters!$E$15)*Parameters!$I$7*ISNUMBER(R81)+(Parameters!$F$8=Parameters!$E$15)*Parameters!$I$8*ISNUMBER(S81)+(Parameters!$F$9=Parameters!$E$15)*Parameters!$I$9*ISNUMBER(T81)+(Parameters!$F$10=Parameters!$E$15)*Parameters!$I$10*ISNUMBER(U81)+(Parameters!$F$11=Parameters!$E$15)*Parameters!$I$11*ISNUMBER(V81)+(Parameters!$F$12=Parameters!$E$15)*Parameters!$I$12*ISNUMBER(W81))&gt;0,((Parameters!$F$5=Parameters!$E$15)*Parameters!$I$5*ISNUMBER(P81)+(Parameters!$F$6=Parameters!$E$15)*Parameters!$I$6*ISNUMBER(Q81)+(Parameters!$F$7=Parameters!$E$15)*Parameters!$I$7*ISNUMBER(R81)+(Parameters!$F$8=Parameters!$E$15)*Parameters!$I$8*ISNUMBER(S81)+(Parameters!$F$9=Parameters!$E$15)*Parameters!$I$9*ISNUMBER(T81)+(Parameters!$F$10=Parameters!$E$15)*Parameters!$I$10*ISNUMBER(U81)+(Parameters!$F$11=Parameters!$E$15)*Parameters!$I$11*ISNUMBER(V81)+(Parameters!$F$12=Parameters!$E$15)*Parameters!$I$12*ISNUMBER(W81))/((Parameters!$F$5=Parameters!$E$15)*Parameters!$I$5*1+(Parameters!$F$6=Parameters!$E$15)*Parameters!$I$6*1+(Parameters!$F$7=Parameters!$E$15)*Parameters!$I$7*1+(Parameters!$F$8=Parameters!$E$15)*Parameters!$I$8*1+(Parameters!$F$9=Parameters!$E$15)*Parameters!$I$9*1+(Parameters!$F$10=Parameters!$E$15)*Parameters!$I$10*1+(Parameters!$F$11=Parameters!$E$15)*Parameters!$I$11*X81+(Parameters!$F$12=Parameters!$E$15)*Parameters!$I$12*Y81)&gt;=Parameters!$B$36),((Parameters!$F$5=Parameters!$E$15)*Parameters!$I$5*N(P81)+(Parameters!$F$6=Parameters!$E$15)*Parameters!$I$6*N(Q81)+(Parameters!$F$7=Parameters!$E$15)*Parameters!$I$7*N(R81)+(Parameters!$F$8=Parameters!$E$15)*Parameters!$I$8*N(S81)+(Parameters!$F$9=Parameters!$E$15)*Parameters!$I$9*N(T81)+(Parameters!$F$10=Parameters!$E$15)*Parameters!$I$10*N(U81)+(Parameters!$F$11=Parameters!$E$15)*Parameters!$I$11*N(V81)+(Parameters!$F$12=Parameters!$E$15)*Parameters!$I$12*N(W81))/((Parameters!$F$5=Parameters!$E$15)*Parameters!$I$5*ISNUMBER(P81)+(Parameters!$F$6=Parameters!$E$15)*Parameters!$I$6*ISNUMBER(Q81)+(Parameters!$F$7=Parameters!$E$15)*Parameters!$I$7*ISNUMBER(R81)+(Parameters!$F$8=Parameters!$E$15)*Parameters!$I$8*ISNUMBER(S81)+(Parameters!$F$9=Parameters!$E$15)*Parameters!$I$9*ISNUMBER(T81)+(Parameters!$F$10=Parameters!$E$15)*Parameters!$I$10*ISNUMBER(U81)+(Parameters!$F$11=Parameters!$E$15)*Parameters!$I$11*ISNUMBER(V81)+(Parameters!$F$12=Parameters!$E$15)*Parameters!$I$12*ISNUMBER(W81)),""))</f>
        <v>1</v>
      </c>
      <c r="AA81"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81+(Parameters!$F$12=Parameters!$E$16)*Parameters!$I$12*Y81)=0,"",IF(AND(((Parameters!$F$5=Parameters!$E$16)*Parameters!$I$5*ISNUMBER(P81)+(Parameters!$F$6=Parameters!$E$16)*Parameters!$I$6*ISNUMBER(Q81)+(Parameters!$F$7=Parameters!$E$16)*Parameters!$I$7*ISNUMBER(R81)+(Parameters!$F$8=Parameters!$E$16)*Parameters!$I$8*ISNUMBER(S81)+(Parameters!$F$9=Parameters!$E$16)*Parameters!$I$9*ISNUMBER(T81)+(Parameters!$F$10=Parameters!$E$16)*Parameters!$I$10*ISNUMBER(U81)+(Parameters!$F$11=Parameters!$E$16)*Parameters!$I$11*ISNUMBER(V81)+(Parameters!$F$12=Parameters!$E$16)*Parameters!$I$12*ISNUMBER(W81))&gt;0,((Parameters!$F$5=Parameters!$E$16)*Parameters!$I$5*ISNUMBER(P81)+(Parameters!$F$6=Parameters!$E$16)*Parameters!$I$6*ISNUMBER(Q81)+(Parameters!$F$7=Parameters!$E$16)*Parameters!$I$7*ISNUMBER(R81)+(Parameters!$F$8=Parameters!$E$16)*Parameters!$I$8*ISNUMBER(S81)+(Parameters!$F$9=Parameters!$E$16)*Parameters!$I$9*ISNUMBER(T81)+(Parameters!$F$10=Parameters!$E$16)*Parameters!$I$10*ISNUMBER(U81)+(Parameters!$F$11=Parameters!$E$16)*Parameters!$I$11*ISNUMBER(V81)+(Parameters!$F$12=Parameters!$E$16)*Parameters!$I$12*ISNUMBER(W81))/((Parameters!$F$5=Parameters!$E$16)*Parameters!$I$5*1+(Parameters!$F$6=Parameters!$E$16)*Parameters!$I$6*1+(Parameters!$F$7=Parameters!$E$16)*Parameters!$I$7*1+(Parameters!$F$8=Parameters!$E$16)*Parameters!$I$8*1+(Parameters!$F$9=Parameters!$E$16)*Parameters!$I$9*1+(Parameters!$F$10=Parameters!$E$16)*Parameters!$I$10*1+(Parameters!$F$11=Parameters!$E$16)*Parameters!$I$11*X81+(Parameters!$F$12=Parameters!$E$16)*Parameters!$I$12*Y81)&gt;=Parameters!$B$36),((Parameters!$F$5=Parameters!$E$16)*Parameters!$I$5*N(P81)+(Parameters!$F$6=Parameters!$E$16)*Parameters!$I$6*N(Q81)+(Parameters!$F$7=Parameters!$E$16)*Parameters!$I$7*N(R81)+(Parameters!$F$8=Parameters!$E$16)*Parameters!$I$8*N(S81)+(Parameters!$F$9=Parameters!$E$16)*Parameters!$I$9*N(T81)+(Parameters!$F$10=Parameters!$E$16)*Parameters!$I$10*N(U81)+(Parameters!$F$11=Parameters!$E$16)*Parameters!$I$11*N(V81)+(Parameters!$F$12=Parameters!$E$16)*Parameters!$I$12*N(W81))/((Parameters!$F$5=Parameters!$E$16)*Parameters!$I$5*ISNUMBER(P81)+(Parameters!$F$6=Parameters!$E$16)*Parameters!$I$6*ISNUMBER(Q81)+(Parameters!$F$7=Parameters!$E$16)*Parameters!$I$7*ISNUMBER(R81)+(Parameters!$F$8=Parameters!$E$16)*Parameters!$I$8*ISNUMBER(S81)+(Parameters!$F$9=Parameters!$E$16)*Parameters!$I$9*ISNUMBER(T81)+(Parameters!$F$10=Parameters!$E$16)*Parameters!$I$10*ISNUMBER(U81)+(Parameters!$F$11=Parameters!$E$16)*Parameters!$I$11*ISNUMBER(V81)+(Parameters!$F$12=Parameters!$E$16)*Parameters!$I$12*ISNUMBER(W81)),""))</f>
        <v>0.666666666666667</v>
      </c>
      <c r="AB81"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81+(Parameters!$F$12=Parameters!$E$17)*Parameters!$I$12*Y81)=0,"",IF(AND(((Parameters!$F$5=Parameters!$E$17)*Parameters!$I$5*ISNUMBER(P81)+(Parameters!$F$6=Parameters!$E$17)*Parameters!$I$6*ISNUMBER(Q81)+(Parameters!$F$7=Parameters!$E$17)*Parameters!$I$7*ISNUMBER(R81)+(Parameters!$F$8=Parameters!$E$17)*Parameters!$I$8*ISNUMBER(S81)+(Parameters!$F$9=Parameters!$E$17)*Parameters!$I$9*ISNUMBER(T81)+(Parameters!$F$10=Parameters!$E$17)*Parameters!$I$10*ISNUMBER(U81)+(Parameters!$F$11=Parameters!$E$17)*Parameters!$I$11*ISNUMBER(V81)+(Parameters!$F$12=Parameters!$E$17)*Parameters!$I$12*ISNUMBER(W81))&gt;0,((Parameters!$F$5=Parameters!$E$17)*Parameters!$I$5*ISNUMBER(P81)+(Parameters!$F$6=Parameters!$E$17)*Parameters!$I$6*ISNUMBER(Q81)+(Parameters!$F$7=Parameters!$E$17)*Parameters!$I$7*ISNUMBER(R81)+(Parameters!$F$8=Parameters!$E$17)*Parameters!$I$8*ISNUMBER(S81)+(Parameters!$F$9=Parameters!$E$17)*Parameters!$I$9*ISNUMBER(T81)+(Parameters!$F$10=Parameters!$E$17)*Parameters!$I$10*ISNUMBER(U81)+(Parameters!$F$11=Parameters!$E$17)*Parameters!$I$11*ISNUMBER(V81)+(Parameters!$F$12=Parameters!$E$17)*Parameters!$I$12*ISNUMBER(W81))/((Parameters!$F$5=Parameters!$E$17)*Parameters!$I$5*1+(Parameters!$F$6=Parameters!$E$17)*Parameters!$I$6*1+(Parameters!$F$7=Parameters!$E$17)*Parameters!$I$7*1+(Parameters!$F$8=Parameters!$E$17)*Parameters!$I$8*1+(Parameters!$F$9=Parameters!$E$17)*Parameters!$I$9*1+(Parameters!$F$10=Parameters!$E$17)*Parameters!$I$10*1+(Parameters!$F$11=Parameters!$E$17)*Parameters!$I$11*X81+(Parameters!$F$12=Parameters!$E$17)*Parameters!$I$12*Y81)&gt;=Parameters!$B$36),((Parameters!$F$5=Parameters!$E$17)*Parameters!$I$5*N(P81)+(Parameters!$F$6=Parameters!$E$17)*Parameters!$I$6*N(Q81)+(Parameters!$F$7=Parameters!$E$17)*Parameters!$I$7*N(R81)+(Parameters!$F$8=Parameters!$E$17)*Parameters!$I$8*N(S81)+(Parameters!$F$9=Parameters!$E$17)*Parameters!$I$9*N(T81)+(Parameters!$F$10=Parameters!$E$17)*Parameters!$I$10*N(U81)+(Parameters!$F$11=Parameters!$E$17)*Parameters!$I$11*N(V81)+(Parameters!$F$12=Parameters!$E$17)*Parameters!$I$12*N(W81))/((Parameters!$F$5=Parameters!$E$17)*Parameters!$I$5*ISNUMBER(P81)+(Parameters!$F$6=Parameters!$E$17)*Parameters!$I$6*ISNUMBER(Q81)+(Parameters!$F$7=Parameters!$E$17)*Parameters!$I$7*ISNUMBER(R81)+(Parameters!$F$8=Parameters!$E$17)*Parameters!$I$8*ISNUMBER(S81)+(Parameters!$F$9=Parameters!$E$17)*Parameters!$I$9*ISNUMBER(T81)+(Parameters!$F$10=Parameters!$E$17)*Parameters!$I$10*ISNUMBER(U81)+(Parameters!$F$11=Parameters!$E$17)*Parameters!$I$11*ISNUMBER(V81)+(Parameters!$F$12=Parameters!$E$17)*Parameters!$I$12*ISNUMBER(W81)),""))</f>
        <v>0.5</v>
      </c>
      <c r="AC81" s="17" t="n">
        <f aca="false">Parameters!$I$5*ISNUMBER(P81)+Parameters!$I$6*ISNUMBER(Q81)+Parameters!$I$7*ISNUMBER(R81)+Parameters!$I$8*ISNUMBER(S81)+Parameters!$I$9*ISNUMBER(T81)+Parameters!$I$10*ISNUMBER(U81)+Parameters!$I$11*ISNUMBER(V81)+Parameters!$I$12*ISNUMBER(W81)</f>
        <v>85</v>
      </c>
      <c r="AD81" s="17" t="n">
        <f aca="false">Parameters!$I$5*1+Parameters!$I$6*1+Parameters!$I$7*1+Parameters!$I$8*1+Parameters!$I$9*1+Parameters!$I$10*1+Parameters!$I$11*X81+Parameters!$I$12*Y81</f>
        <v>95</v>
      </c>
      <c r="AE81" s="18" t="n">
        <f aca="false">IF(AD81=0,"",AC81/AD81)</f>
        <v>0.894736842105263</v>
      </c>
      <c r="AF81" s="17" t="str">
        <f aca="false">IF(ISNUMBER(Z81),"M","")&amp;IF(ISNUMBER(AA81),"I","")&amp;IF(ISNUMBER(AB81),"O","")</f>
        <v>MIO</v>
      </c>
      <c r="AG81" s="19" t="n">
        <f aca="false">IF(AND(ISNUMBER(AE81),ISNUMBER(Z81)+ISNUMBER(AA81)+ISNUMBER(AB81)&gt;=Parameters!$B$37),IF(AE81&gt;=Parameters!$B$35,100*(Parameters!$F$15*N(Z81)+Parameters!$F$16*N(AA81)+Parameters!$F$17*N(AB81))/(Parameters!$F$15*ISNUMBER(Z81)+Parameters!$F$16*ISNUMBER(AA81)+Parameters!$F$17*ISNUMBER(AB81)),""),"")</f>
        <v>80</v>
      </c>
      <c r="AH81" s="17" t="n">
        <f aca="false">IF(ISNUMBER(AG81),RANK(AG81,$AG$2:$AG$113),"")</f>
        <v>73</v>
      </c>
    </row>
    <row r="82" customFormat="false" ht="15" hidden="false" customHeight="false" outlineLevel="0" collapsed="false">
      <c r="A82" s="5" t="s">
        <v>402</v>
      </c>
      <c r="B82" s="5" t="s">
        <v>401</v>
      </c>
      <c r="C82" s="5" t="s">
        <v>306</v>
      </c>
      <c r="D82" s="5" t="s">
        <v>31</v>
      </c>
      <c r="E82" s="5" t="s">
        <v>44</v>
      </c>
      <c r="F82" s="5" t="s">
        <v>195</v>
      </c>
      <c r="G82" s="15"/>
      <c r="H82" s="8"/>
      <c r="I82" s="5" t="s">
        <v>57</v>
      </c>
      <c r="J82" s="5" t="s">
        <v>68</v>
      </c>
      <c r="K82" s="15"/>
      <c r="L82" s="5" t="s">
        <v>79</v>
      </c>
      <c r="M82" s="5" t="s">
        <v>141</v>
      </c>
      <c r="N82" s="5"/>
      <c r="O82" s="5"/>
      <c r="P82" s="16" t="n">
        <f aca="false">IFERROR(IF(ISNUMBER(INDEX(Parameters!$B$5:$B$23,MATCH(D82,Parameters!$A$5:$A$23,0))),INDEX(Parameters!$B$5:$B$23,MATCH(D82,Parameters!$A$5:$A$23,0)),""),"")</f>
        <v>1</v>
      </c>
      <c r="Q82" s="16" t="n">
        <f aca="false">IFERROR(IF(ISNUMBER(INDEX(Parameters!$B$5:$B$23,MATCH(E82,Parameters!$A$5:$A$23,0))),INDEX(Parameters!$B$5:$B$23,MATCH(E82,Parameters!$A$5:$A$23,0)),""),"")</f>
        <v>1</v>
      </c>
      <c r="R82" s="16" t="n">
        <f aca="false">IF(F82="","",IFERROR(MIN(Parameters!$B$33,MAX(0,Parameters!$B$32-VALUE(LEFT(F82,4))))/Parameters!$B$33,""))</f>
        <v>0.933333333333333</v>
      </c>
      <c r="S82" s="16" t="str">
        <f aca="false">IF(ISNUMBER(H82),H82,IF(G82="",IF(ISNUMBER(Parameters!$B$34),Parameters!$B$34,""),""))</f>
        <v/>
      </c>
      <c r="T82" s="16" t="n">
        <f aca="false">IFERROR(IF(ISNUMBER(INDEX(Parameters!$B$5:$B$23,MATCH(I82,Parameters!$A$5:$A$23,0))),INDEX(Parameters!$B$5:$B$23,MATCH(I82,Parameters!$A$5:$A$23,0)),""),"")</f>
        <v>0</v>
      </c>
      <c r="U82" s="16" t="n">
        <f aca="false">IFERROR(IF(ISNUMBER(INDEX(Parameters!$B$5:$B$23,MATCH(L82,Parameters!$A$5:$A$23,0))),INDEX(Parameters!$B$5:$B$23,MATCH(L82,Parameters!$A$5:$A$23,0)),""),"")</f>
        <v>1</v>
      </c>
      <c r="V82" s="16" t="n">
        <f aca="false">IFERROR(IF(ISNUMBER(INDEX(Parameters!$B$5:$B$23,MATCH(J82,Parameters!$A$5:$A$23,0))),INDEX(Parameters!$B$5:$B$23,MATCH(J82,Parameters!$A$5:$A$23,0)),""),"")</f>
        <v>1</v>
      </c>
      <c r="W82" s="16" t="n">
        <f aca="false">IF(K82&lt;&gt;"",1,IF(COUNTIF(Parameters!$A$27:$A$28,J82)&gt;0,0,""))</f>
        <v>0</v>
      </c>
      <c r="X82" s="17" t="n">
        <f aca="false">IF(J82="Not applicable",0,1)</f>
        <v>1</v>
      </c>
      <c r="Y82" s="17" t="n">
        <f aca="false">IF(OR(K82&lt;&gt;"",COUNTIF(Parameters!$A$27:$A$28,J82)&gt;0),1,0)</f>
        <v>1</v>
      </c>
      <c r="Z82"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82+(Parameters!$F$12=Parameters!$E$15)*Parameters!$I$12*Y82)=0,"",IF(AND(((Parameters!$F$5=Parameters!$E$15)*Parameters!$I$5*ISNUMBER(P82)+(Parameters!$F$6=Parameters!$E$15)*Parameters!$I$6*ISNUMBER(Q82)+(Parameters!$F$7=Parameters!$E$15)*Parameters!$I$7*ISNUMBER(R82)+(Parameters!$F$8=Parameters!$E$15)*Parameters!$I$8*ISNUMBER(S82)+(Parameters!$F$9=Parameters!$E$15)*Parameters!$I$9*ISNUMBER(T82)+(Parameters!$F$10=Parameters!$E$15)*Parameters!$I$10*ISNUMBER(U82)+(Parameters!$F$11=Parameters!$E$15)*Parameters!$I$11*ISNUMBER(V82)+(Parameters!$F$12=Parameters!$E$15)*Parameters!$I$12*ISNUMBER(W82))&gt;0,((Parameters!$F$5=Parameters!$E$15)*Parameters!$I$5*ISNUMBER(P82)+(Parameters!$F$6=Parameters!$E$15)*Parameters!$I$6*ISNUMBER(Q82)+(Parameters!$F$7=Parameters!$E$15)*Parameters!$I$7*ISNUMBER(R82)+(Parameters!$F$8=Parameters!$E$15)*Parameters!$I$8*ISNUMBER(S82)+(Parameters!$F$9=Parameters!$E$15)*Parameters!$I$9*ISNUMBER(T82)+(Parameters!$F$10=Parameters!$E$15)*Parameters!$I$10*ISNUMBER(U82)+(Parameters!$F$11=Parameters!$E$15)*Parameters!$I$11*ISNUMBER(V82)+(Parameters!$F$12=Parameters!$E$15)*Parameters!$I$12*ISNUMBER(W82))/((Parameters!$F$5=Parameters!$E$15)*Parameters!$I$5*1+(Parameters!$F$6=Parameters!$E$15)*Parameters!$I$6*1+(Parameters!$F$7=Parameters!$E$15)*Parameters!$I$7*1+(Parameters!$F$8=Parameters!$E$15)*Parameters!$I$8*1+(Parameters!$F$9=Parameters!$E$15)*Parameters!$I$9*1+(Parameters!$F$10=Parameters!$E$15)*Parameters!$I$10*1+(Parameters!$F$11=Parameters!$E$15)*Parameters!$I$11*X82+(Parameters!$F$12=Parameters!$E$15)*Parameters!$I$12*Y82)&gt;=Parameters!$B$36),((Parameters!$F$5=Parameters!$E$15)*Parameters!$I$5*N(P82)+(Parameters!$F$6=Parameters!$E$15)*Parameters!$I$6*N(Q82)+(Parameters!$F$7=Parameters!$E$15)*Parameters!$I$7*N(R82)+(Parameters!$F$8=Parameters!$E$15)*Parameters!$I$8*N(S82)+(Parameters!$F$9=Parameters!$E$15)*Parameters!$I$9*N(T82)+(Parameters!$F$10=Parameters!$E$15)*Parameters!$I$10*N(U82)+(Parameters!$F$11=Parameters!$E$15)*Parameters!$I$11*N(V82)+(Parameters!$F$12=Parameters!$E$15)*Parameters!$I$12*N(W82))/((Parameters!$F$5=Parameters!$E$15)*Parameters!$I$5*ISNUMBER(P82)+(Parameters!$F$6=Parameters!$E$15)*Parameters!$I$6*ISNUMBER(Q82)+(Parameters!$F$7=Parameters!$E$15)*Parameters!$I$7*ISNUMBER(R82)+(Parameters!$F$8=Parameters!$E$15)*Parameters!$I$8*ISNUMBER(S82)+(Parameters!$F$9=Parameters!$E$15)*Parameters!$I$9*ISNUMBER(T82)+(Parameters!$F$10=Parameters!$E$15)*Parameters!$I$10*ISNUMBER(U82)+(Parameters!$F$11=Parameters!$E$15)*Parameters!$I$11*ISNUMBER(V82)+(Parameters!$F$12=Parameters!$E$15)*Parameters!$I$12*ISNUMBER(W82)),""))</f>
        <v>0.993333333333333</v>
      </c>
      <c r="AA82"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82+(Parameters!$F$12=Parameters!$E$16)*Parameters!$I$12*Y82)=0,"",IF(AND(((Parameters!$F$5=Parameters!$E$16)*Parameters!$I$5*ISNUMBER(P82)+(Parameters!$F$6=Parameters!$E$16)*Parameters!$I$6*ISNUMBER(Q82)+(Parameters!$F$7=Parameters!$E$16)*Parameters!$I$7*ISNUMBER(R82)+(Parameters!$F$8=Parameters!$E$16)*Parameters!$I$8*ISNUMBER(S82)+(Parameters!$F$9=Parameters!$E$16)*Parameters!$I$9*ISNUMBER(T82)+(Parameters!$F$10=Parameters!$E$16)*Parameters!$I$10*ISNUMBER(U82)+(Parameters!$F$11=Parameters!$E$16)*Parameters!$I$11*ISNUMBER(V82)+(Parameters!$F$12=Parameters!$E$16)*Parameters!$I$12*ISNUMBER(W82))&gt;0,((Parameters!$F$5=Parameters!$E$16)*Parameters!$I$5*ISNUMBER(P82)+(Parameters!$F$6=Parameters!$E$16)*Parameters!$I$6*ISNUMBER(Q82)+(Parameters!$F$7=Parameters!$E$16)*Parameters!$I$7*ISNUMBER(R82)+(Parameters!$F$8=Parameters!$E$16)*Parameters!$I$8*ISNUMBER(S82)+(Parameters!$F$9=Parameters!$E$16)*Parameters!$I$9*ISNUMBER(T82)+(Parameters!$F$10=Parameters!$E$16)*Parameters!$I$10*ISNUMBER(U82)+(Parameters!$F$11=Parameters!$E$16)*Parameters!$I$11*ISNUMBER(V82)+(Parameters!$F$12=Parameters!$E$16)*Parameters!$I$12*ISNUMBER(W82))/((Parameters!$F$5=Parameters!$E$16)*Parameters!$I$5*1+(Parameters!$F$6=Parameters!$E$16)*Parameters!$I$6*1+(Parameters!$F$7=Parameters!$E$16)*Parameters!$I$7*1+(Parameters!$F$8=Parameters!$E$16)*Parameters!$I$8*1+(Parameters!$F$9=Parameters!$E$16)*Parameters!$I$9*1+(Parameters!$F$10=Parameters!$E$16)*Parameters!$I$10*1+(Parameters!$F$11=Parameters!$E$16)*Parameters!$I$11*X82+(Parameters!$F$12=Parameters!$E$16)*Parameters!$I$12*Y82)&gt;=Parameters!$B$36),((Parameters!$F$5=Parameters!$E$16)*Parameters!$I$5*N(P82)+(Parameters!$F$6=Parameters!$E$16)*Parameters!$I$6*N(Q82)+(Parameters!$F$7=Parameters!$E$16)*Parameters!$I$7*N(R82)+(Parameters!$F$8=Parameters!$E$16)*Parameters!$I$8*N(S82)+(Parameters!$F$9=Parameters!$E$16)*Parameters!$I$9*N(T82)+(Parameters!$F$10=Parameters!$E$16)*Parameters!$I$10*N(U82)+(Parameters!$F$11=Parameters!$E$16)*Parameters!$I$11*N(V82)+(Parameters!$F$12=Parameters!$E$16)*Parameters!$I$12*N(W82))/((Parameters!$F$5=Parameters!$E$16)*Parameters!$I$5*ISNUMBER(P82)+(Parameters!$F$6=Parameters!$E$16)*Parameters!$I$6*ISNUMBER(Q82)+(Parameters!$F$7=Parameters!$E$16)*Parameters!$I$7*ISNUMBER(R82)+(Parameters!$F$8=Parameters!$E$16)*Parameters!$I$8*ISNUMBER(S82)+(Parameters!$F$9=Parameters!$E$16)*Parameters!$I$9*ISNUMBER(T82)+(Parameters!$F$10=Parameters!$E$16)*Parameters!$I$10*ISNUMBER(U82)+(Parameters!$F$11=Parameters!$E$16)*Parameters!$I$11*ISNUMBER(V82)+(Parameters!$F$12=Parameters!$E$16)*Parameters!$I$12*ISNUMBER(W82)),""))</f>
        <v>0.666666666666667</v>
      </c>
      <c r="AB82"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82+(Parameters!$F$12=Parameters!$E$17)*Parameters!$I$12*Y82)=0,"",IF(AND(((Parameters!$F$5=Parameters!$E$17)*Parameters!$I$5*ISNUMBER(P82)+(Parameters!$F$6=Parameters!$E$17)*Parameters!$I$6*ISNUMBER(Q82)+(Parameters!$F$7=Parameters!$E$17)*Parameters!$I$7*ISNUMBER(R82)+(Parameters!$F$8=Parameters!$E$17)*Parameters!$I$8*ISNUMBER(S82)+(Parameters!$F$9=Parameters!$E$17)*Parameters!$I$9*ISNUMBER(T82)+(Parameters!$F$10=Parameters!$E$17)*Parameters!$I$10*ISNUMBER(U82)+(Parameters!$F$11=Parameters!$E$17)*Parameters!$I$11*ISNUMBER(V82)+(Parameters!$F$12=Parameters!$E$17)*Parameters!$I$12*ISNUMBER(W82))&gt;0,((Parameters!$F$5=Parameters!$E$17)*Parameters!$I$5*ISNUMBER(P82)+(Parameters!$F$6=Parameters!$E$17)*Parameters!$I$6*ISNUMBER(Q82)+(Parameters!$F$7=Parameters!$E$17)*Parameters!$I$7*ISNUMBER(R82)+(Parameters!$F$8=Parameters!$E$17)*Parameters!$I$8*ISNUMBER(S82)+(Parameters!$F$9=Parameters!$E$17)*Parameters!$I$9*ISNUMBER(T82)+(Parameters!$F$10=Parameters!$E$17)*Parameters!$I$10*ISNUMBER(U82)+(Parameters!$F$11=Parameters!$E$17)*Parameters!$I$11*ISNUMBER(V82)+(Parameters!$F$12=Parameters!$E$17)*Parameters!$I$12*ISNUMBER(W82))/((Parameters!$F$5=Parameters!$E$17)*Parameters!$I$5*1+(Parameters!$F$6=Parameters!$E$17)*Parameters!$I$6*1+(Parameters!$F$7=Parameters!$E$17)*Parameters!$I$7*1+(Parameters!$F$8=Parameters!$E$17)*Parameters!$I$8*1+(Parameters!$F$9=Parameters!$E$17)*Parameters!$I$9*1+(Parameters!$F$10=Parameters!$E$17)*Parameters!$I$10*1+(Parameters!$F$11=Parameters!$E$17)*Parameters!$I$11*X82+(Parameters!$F$12=Parameters!$E$17)*Parameters!$I$12*Y82)&gt;=Parameters!$B$36),((Parameters!$F$5=Parameters!$E$17)*Parameters!$I$5*N(P82)+(Parameters!$F$6=Parameters!$E$17)*Parameters!$I$6*N(Q82)+(Parameters!$F$7=Parameters!$E$17)*Parameters!$I$7*N(R82)+(Parameters!$F$8=Parameters!$E$17)*Parameters!$I$8*N(S82)+(Parameters!$F$9=Parameters!$E$17)*Parameters!$I$9*N(T82)+(Parameters!$F$10=Parameters!$E$17)*Parameters!$I$10*N(U82)+(Parameters!$F$11=Parameters!$E$17)*Parameters!$I$11*N(V82)+(Parameters!$F$12=Parameters!$E$17)*Parameters!$I$12*N(W82))/((Parameters!$F$5=Parameters!$E$17)*Parameters!$I$5*ISNUMBER(P82)+(Parameters!$F$6=Parameters!$E$17)*Parameters!$I$6*ISNUMBER(Q82)+(Parameters!$F$7=Parameters!$E$17)*Parameters!$I$7*ISNUMBER(R82)+(Parameters!$F$8=Parameters!$E$17)*Parameters!$I$8*ISNUMBER(S82)+(Parameters!$F$9=Parameters!$E$17)*Parameters!$I$9*ISNUMBER(T82)+(Parameters!$F$10=Parameters!$E$17)*Parameters!$I$10*ISNUMBER(U82)+(Parameters!$F$11=Parameters!$E$17)*Parameters!$I$11*ISNUMBER(V82)+(Parameters!$F$12=Parameters!$E$17)*Parameters!$I$12*ISNUMBER(W82)),""))</f>
        <v>0.5</v>
      </c>
      <c r="AC82" s="17" t="n">
        <f aca="false">Parameters!$I$5*ISNUMBER(P82)+Parameters!$I$6*ISNUMBER(Q82)+Parameters!$I$7*ISNUMBER(R82)+Parameters!$I$8*ISNUMBER(S82)+Parameters!$I$9*ISNUMBER(T82)+Parameters!$I$10*ISNUMBER(U82)+Parameters!$I$11*ISNUMBER(V82)+Parameters!$I$12*ISNUMBER(W82)</f>
        <v>85</v>
      </c>
      <c r="AD82" s="17" t="n">
        <f aca="false">Parameters!$I$5*1+Parameters!$I$6*1+Parameters!$I$7*1+Parameters!$I$8*1+Parameters!$I$9*1+Parameters!$I$10*1+Parameters!$I$11*X82+Parameters!$I$12*Y82</f>
        <v>95</v>
      </c>
      <c r="AE82" s="18" t="n">
        <f aca="false">IF(AD82=0,"",AC82/AD82)</f>
        <v>0.894736842105263</v>
      </c>
      <c r="AF82" s="17" t="str">
        <f aca="false">IF(ISNUMBER(Z82),"M","")&amp;IF(ISNUMBER(AA82),"I","")&amp;IF(ISNUMBER(AB82),"O","")</f>
        <v>MIO</v>
      </c>
      <c r="AG82" s="19" t="n">
        <f aca="false">IF(AND(ISNUMBER(AE82),ISNUMBER(Z82)+ISNUMBER(AA82)+ISNUMBER(AB82)&gt;=Parameters!$B$37),IF(AE82&gt;=Parameters!$B$35,100*(Parameters!$F$15*N(Z82)+Parameters!$F$16*N(AA82)+Parameters!$F$17*N(AB82))/(Parameters!$F$15*ISNUMBER(Z82)+Parameters!$F$16*ISNUMBER(AA82)+Parameters!$F$17*ISNUMBER(AB82)),""),"")</f>
        <v>79.6666666666667</v>
      </c>
      <c r="AH82" s="17" t="n">
        <f aca="false">IF(ISNUMBER(AG82),RANK(AG82,$AG$2:$AG$113),"")</f>
        <v>80</v>
      </c>
    </row>
    <row r="83" customFormat="false" ht="15" hidden="false" customHeight="false" outlineLevel="0" collapsed="false">
      <c r="A83" s="5" t="s">
        <v>403</v>
      </c>
      <c r="B83" s="5" t="s">
        <v>401</v>
      </c>
      <c r="C83" s="5" t="s">
        <v>306</v>
      </c>
      <c r="D83" s="5" t="s">
        <v>31</v>
      </c>
      <c r="E83" s="5" t="s">
        <v>44</v>
      </c>
      <c r="F83" s="5" t="s">
        <v>135</v>
      </c>
      <c r="G83" s="15"/>
      <c r="H83" s="8"/>
      <c r="I83" s="5" t="s">
        <v>57</v>
      </c>
      <c r="J83" s="5" t="s">
        <v>68</v>
      </c>
      <c r="K83" s="15"/>
      <c r="L83" s="5" t="s">
        <v>79</v>
      </c>
      <c r="M83" s="5" t="s">
        <v>141</v>
      </c>
      <c r="N83" s="5"/>
      <c r="O83" s="5"/>
      <c r="P83" s="16" t="n">
        <f aca="false">IFERROR(IF(ISNUMBER(INDEX(Parameters!$B$5:$B$23,MATCH(D83,Parameters!$A$5:$A$23,0))),INDEX(Parameters!$B$5:$B$23,MATCH(D83,Parameters!$A$5:$A$23,0)),""),"")</f>
        <v>1</v>
      </c>
      <c r="Q83" s="16" t="n">
        <f aca="false">IFERROR(IF(ISNUMBER(INDEX(Parameters!$B$5:$B$23,MATCH(E83,Parameters!$A$5:$A$23,0))),INDEX(Parameters!$B$5:$B$23,MATCH(E83,Parameters!$A$5:$A$23,0)),""),"")</f>
        <v>1</v>
      </c>
      <c r="R83" s="16" t="n">
        <f aca="false">IF(F83="","",IFERROR(MIN(Parameters!$B$33,MAX(0,Parameters!$B$32-VALUE(LEFT(F83,4))))/Parameters!$B$33,""))</f>
        <v>0.4</v>
      </c>
      <c r="S83" s="16" t="str">
        <f aca="false">IF(ISNUMBER(H83),H83,IF(G83="",IF(ISNUMBER(Parameters!$B$34),Parameters!$B$34,""),""))</f>
        <v/>
      </c>
      <c r="T83" s="16" t="n">
        <f aca="false">IFERROR(IF(ISNUMBER(INDEX(Parameters!$B$5:$B$23,MATCH(I83,Parameters!$A$5:$A$23,0))),INDEX(Parameters!$B$5:$B$23,MATCH(I83,Parameters!$A$5:$A$23,0)),""),"")</f>
        <v>0</v>
      </c>
      <c r="U83" s="16" t="n">
        <f aca="false">IFERROR(IF(ISNUMBER(INDEX(Parameters!$B$5:$B$23,MATCH(L83,Parameters!$A$5:$A$23,0))),INDEX(Parameters!$B$5:$B$23,MATCH(L83,Parameters!$A$5:$A$23,0)),""),"")</f>
        <v>1</v>
      </c>
      <c r="V83" s="16" t="n">
        <f aca="false">IFERROR(IF(ISNUMBER(INDEX(Parameters!$B$5:$B$23,MATCH(J83,Parameters!$A$5:$A$23,0))),INDEX(Parameters!$B$5:$B$23,MATCH(J83,Parameters!$A$5:$A$23,0)),""),"")</f>
        <v>1</v>
      </c>
      <c r="W83" s="16" t="n">
        <f aca="false">IF(K83&lt;&gt;"",1,IF(COUNTIF(Parameters!$A$27:$A$28,J83)&gt;0,0,""))</f>
        <v>0</v>
      </c>
      <c r="X83" s="17" t="n">
        <f aca="false">IF(J83="Not applicable",0,1)</f>
        <v>1</v>
      </c>
      <c r="Y83" s="17" t="n">
        <f aca="false">IF(OR(K83&lt;&gt;"",COUNTIF(Parameters!$A$27:$A$28,J83)&gt;0),1,0)</f>
        <v>1</v>
      </c>
      <c r="Z83"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83+(Parameters!$F$12=Parameters!$E$15)*Parameters!$I$12*Y83)=0,"",IF(AND(((Parameters!$F$5=Parameters!$E$15)*Parameters!$I$5*ISNUMBER(P83)+(Parameters!$F$6=Parameters!$E$15)*Parameters!$I$6*ISNUMBER(Q83)+(Parameters!$F$7=Parameters!$E$15)*Parameters!$I$7*ISNUMBER(R83)+(Parameters!$F$8=Parameters!$E$15)*Parameters!$I$8*ISNUMBER(S83)+(Parameters!$F$9=Parameters!$E$15)*Parameters!$I$9*ISNUMBER(T83)+(Parameters!$F$10=Parameters!$E$15)*Parameters!$I$10*ISNUMBER(U83)+(Parameters!$F$11=Parameters!$E$15)*Parameters!$I$11*ISNUMBER(V83)+(Parameters!$F$12=Parameters!$E$15)*Parameters!$I$12*ISNUMBER(W83))&gt;0,((Parameters!$F$5=Parameters!$E$15)*Parameters!$I$5*ISNUMBER(P83)+(Parameters!$F$6=Parameters!$E$15)*Parameters!$I$6*ISNUMBER(Q83)+(Parameters!$F$7=Parameters!$E$15)*Parameters!$I$7*ISNUMBER(R83)+(Parameters!$F$8=Parameters!$E$15)*Parameters!$I$8*ISNUMBER(S83)+(Parameters!$F$9=Parameters!$E$15)*Parameters!$I$9*ISNUMBER(T83)+(Parameters!$F$10=Parameters!$E$15)*Parameters!$I$10*ISNUMBER(U83)+(Parameters!$F$11=Parameters!$E$15)*Parameters!$I$11*ISNUMBER(V83)+(Parameters!$F$12=Parameters!$E$15)*Parameters!$I$12*ISNUMBER(W83))/((Parameters!$F$5=Parameters!$E$15)*Parameters!$I$5*1+(Parameters!$F$6=Parameters!$E$15)*Parameters!$I$6*1+(Parameters!$F$7=Parameters!$E$15)*Parameters!$I$7*1+(Parameters!$F$8=Parameters!$E$15)*Parameters!$I$8*1+(Parameters!$F$9=Parameters!$E$15)*Parameters!$I$9*1+(Parameters!$F$10=Parameters!$E$15)*Parameters!$I$10*1+(Parameters!$F$11=Parameters!$E$15)*Parameters!$I$11*X83+(Parameters!$F$12=Parameters!$E$15)*Parameters!$I$12*Y83)&gt;=Parameters!$B$36),((Parameters!$F$5=Parameters!$E$15)*Parameters!$I$5*N(P83)+(Parameters!$F$6=Parameters!$E$15)*Parameters!$I$6*N(Q83)+(Parameters!$F$7=Parameters!$E$15)*Parameters!$I$7*N(R83)+(Parameters!$F$8=Parameters!$E$15)*Parameters!$I$8*N(S83)+(Parameters!$F$9=Parameters!$E$15)*Parameters!$I$9*N(T83)+(Parameters!$F$10=Parameters!$E$15)*Parameters!$I$10*N(U83)+(Parameters!$F$11=Parameters!$E$15)*Parameters!$I$11*N(V83)+(Parameters!$F$12=Parameters!$E$15)*Parameters!$I$12*N(W83))/((Parameters!$F$5=Parameters!$E$15)*Parameters!$I$5*ISNUMBER(P83)+(Parameters!$F$6=Parameters!$E$15)*Parameters!$I$6*ISNUMBER(Q83)+(Parameters!$F$7=Parameters!$E$15)*Parameters!$I$7*ISNUMBER(R83)+(Parameters!$F$8=Parameters!$E$15)*Parameters!$I$8*ISNUMBER(S83)+(Parameters!$F$9=Parameters!$E$15)*Parameters!$I$9*ISNUMBER(T83)+(Parameters!$F$10=Parameters!$E$15)*Parameters!$I$10*ISNUMBER(U83)+(Parameters!$F$11=Parameters!$E$15)*Parameters!$I$11*ISNUMBER(V83)+(Parameters!$F$12=Parameters!$E$15)*Parameters!$I$12*ISNUMBER(W83)),""))</f>
        <v>0.94</v>
      </c>
      <c r="AA83"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83+(Parameters!$F$12=Parameters!$E$16)*Parameters!$I$12*Y83)=0,"",IF(AND(((Parameters!$F$5=Parameters!$E$16)*Parameters!$I$5*ISNUMBER(P83)+(Parameters!$F$6=Parameters!$E$16)*Parameters!$I$6*ISNUMBER(Q83)+(Parameters!$F$7=Parameters!$E$16)*Parameters!$I$7*ISNUMBER(R83)+(Parameters!$F$8=Parameters!$E$16)*Parameters!$I$8*ISNUMBER(S83)+(Parameters!$F$9=Parameters!$E$16)*Parameters!$I$9*ISNUMBER(T83)+(Parameters!$F$10=Parameters!$E$16)*Parameters!$I$10*ISNUMBER(U83)+(Parameters!$F$11=Parameters!$E$16)*Parameters!$I$11*ISNUMBER(V83)+(Parameters!$F$12=Parameters!$E$16)*Parameters!$I$12*ISNUMBER(W83))&gt;0,((Parameters!$F$5=Parameters!$E$16)*Parameters!$I$5*ISNUMBER(P83)+(Parameters!$F$6=Parameters!$E$16)*Parameters!$I$6*ISNUMBER(Q83)+(Parameters!$F$7=Parameters!$E$16)*Parameters!$I$7*ISNUMBER(R83)+(Parameters!$F$8=Parameters!$E$16)*Parameters!$I$8*ISNUMBER(S83)+(Parameters!$F$9=Parameters!$E$16)*Parameters!$I$9*ISNUMBER(T83)+(Parameters!$F$10=Parameters!$E$16)*Parameters!$I$10*ISNUMBER(U83)+(Parameters!$F$11=Parameters!$E$16)*Parameters!$I$11*ISNUMBER(V83)+(Parameters!$F$12=Parameters!$E$16)*Parameters!$I$12*ISNUMBER(W83))/((Parameters!$F$5=Parameters!$E$16)*Parameters!$I$5*1+(Parameters!$F$6=Parameters!$E$16)*Parameters!$I$6*1+(Parameters!$F$7=Parameters!$E$16)*Parameters!$I$7*1+(Parameters!$F$8=Parameters!$E$16)*Parameters!$I$8*1+(Parameters!$F$9=Parameters!$E$16)*Parameters!$I$9*1+(Parameters!$F$10=Parameters!$E$16)*Parameters!$I$10*1+(Parameters!$F$11=Parameters!$E$16)*Parameters!$I$11*X83+(Parameters!$F$12=Parameters!$E$16)*Parameters!$I$12*Y83)&gt;=Parameters!$B$36),((Parameters!$F$5=Parameters!$E$16)*Parameters!$I$5*N(P83)+(Parameters!$F$6=Parameters!$E$16)*Parameters!$I$6*N(Q83)+(Parameters!$F$7=Parameters!$E$16)*Parameters!$I$7*N(R83)+(Parameters!$F$8=Parameters!$E$16)*Parameters!$I$8*N(S83)+(Parameters!$F$9=Parameters!$E$16)*Parameters!$I$9*N(T83)+(Parameters!$F$10=Parameters!$E$16)*Parameters!$I$10*N(U83)+(Parameters!$F$11=Parameters!$E$16)*Parameters!$I$11*N(V83)+(Parameters!$F$12=Parameters!$E$16)*Parameters!$I$12*N(W83))/((Parameters!$F$5=Parameters!$E$16)*Parameters!$I$5*ISNUMBER(P83)+(Parameters!$F$6=Parameters!$E$16)*Parameters!$I$6*ISNUMBER(Q83)+(Parameters!$F$7=Parameters!$E$16)*Parameters!$I$7*ISNUMBER(R83)+(Parameters!$F$8=Parameters!$E$16)*Parameters!$I$8*ISNUMBER(S83)+(Parameters!$F$9=Parameters!$E$16)*Parameters!$I$9*ISNUMBER(T83)+(Parameters!$F$10=Parameters!$E$16)*Parameters!$I$10*ISNUMBER(U83)+(Parameters!$F$11=Parameters!$E$16)*Parameters!$I$11*ISNUMBER(V83)+(Parameters!$F$12=Parameters!$E$16)*Parameters!$I$12*ISNUMBER(W83)),""))</f>
        <v>0.666666666666667</v>
      </c>
      <c r="AB83"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83+(Parameters!$F$12=Parameters!$E$17)*Parameters!$I$12*Y83)=0,"",IF(AND(((Parameters!$F$5=Parameters!$E$17)*Parameters!$I$5*ISNUMBER(P83)+(Parameters!$F$6=Parameters!$E$17)*Parameters!$I$6*ISNUMBER(Q83)+(Parameters!$F$7=Parameters!$E$17)*Parameters!$I$7*ISNUMBER(R83)+(Parameters!$F$8=Parameters!$E$17)*Parameters!$I$8*ISNUMBER(S83)+(Parameters!$F$9=Parameters!$E$17)*Parameters!$I$9*ISNUMBER(T83)+(Parameters!$F$10=Parameters!$E$17)*Parameters!$I$10*ISNUMBER(U83)+(Parameters!$F$11=Parameters!$E$17)*Parameters!$I$11*ISNUMBER(V83)+(Parameters!$F$12=Parameters!$E$17)*Parameters!$I$12*ISNUMBER(W83))&gt;0,((Parameters!$F$5=Parameters!$E$17)*Parameters!$I$5*ISNUMBER(P83)+(Parameters!$F$6=Parameters!$E$17)*Parameters!$I$6*ISNUMBER(Q83)+(Parameters!$F$7=Parameters!$E$17)*Parameters!$I$7*ISNUMBER(R83)+(Parameters!$F$8=Parameters!$E$17)*Parameters!$I$8*ISNUMBER(S83)+(Parameters!$F$9=Parameters!$E$17)*Parameters!$I$9*ISNUMBER(T83)+(Parameters!$F$10=Parameters!$E$17)*Parameters!$I$10*ISNUMBER(U83)+(Parameters!$F$11=Parameters!$E$17)*Parameters!$I$11*ISNUMBER(V83)+(Parameters!$F$12=Parameters!$E$17)*Parameters!$I$12*ISNUMBER(W83))/((Parameters!$F$5=Parameters!$E$17)*Parameters!$I$5*1+(Parameters!$F$6=Parameters!$E$17)*Parameters!$I$6*1+(Parameters!$F$7=Parameters!$E$17)*Parameters!$I$7*1+(Parameters!$F$8=Parameters!$E$17)*Parameters!$I$8*1+(Parameters!$F$9=Parameters!$E$17)*Parameters!$I$9*1+(Parameters!$F$10=Parameters!$E$17)*Parameters!$I$10*1+(Parameters!$F$11=Parameters!$E$17)*Parameters!$I$11*X83+(Parameters!$F$12=Parameters!$E$17)*Parameters!$I$12*Y83)&gt;=Parameters!$B$36),((Parameters!$F$5=Parameters!$E$17)*Parameters!$I$5*N(P83)+(Parameters!$F$6=Parameters!$E$17)*Parameters!$I$6*N(Q83)+(Parameters!$F$7=Parameters!$E$17)*Parameters!$I$7*N(R83)+(Parameters!$F$8=Parameters!$E$17)*Parameters!$I$8*N(S83)+(Parameters!$F$9=Parameters!$E$17)*Parameters!$I$9*N(T83)+(Parameters!$F$10=Parameters!$E$17)*Parameters!$I$10*N(U83)+(Parameters!$F$11=Parameters!$E$17)*Parameters!$I$11*N(V83)+(Parameters!$F$12=Parameters!$E$17)*Parameters!$I$12*N(W83))/((Parameters!$F$5=Parameters!$E$17)*Parameters!$I$5*ISNUMBER(P83)+(Parameters!$F$6=Parameters!$E$17)*Parameters!$I$6*ISNUMBER(Q83)+(Parameters!$F$7=Parameters!$E$17)*Parameters!$I$7*ISNUMBER(R83)+(Parameters!$F$8=Parameters!$E$17)*Parameters!$I$8*ISNUMBER(S83)+(Parameters!$F$9=Parameters!$E$17)*Parameters!$I$9*ISNUMBER(T83)+(Parameters!$F$10=Parameters!$E$17)*Parameters!$I$10*ISNUMBER(U83)+(Parameters!$F$11=Parameters!$E$17)*Parameters!$I$11*ISNUMBER(V83)+(Parameters!$F$12=Parameters!$E$17)*Parameters!$I$12*ISNUMBER(W83)),""))</f>
        <v>0.5</v>
      </c>
      <c r="AC83" s="17" t="n">
        <f aca="false">Parameters!$I$5*ISNUMBER(P83)+Parameters!$I$6*ISNUMBER(Q83)+Parameters!$I$7*ISNUMBER(R83)+Parameters!$I$8*ISNUMBER(S83)+Parameters!$I$9*ISNUMBER(T83)+Parameters!$I$10*ISNUMBER(U83)+Parameters!$I$11*ISNUMBER(V83)+Parameters!$I$12*ISNUMBER(W83)</f>
        <v>85</v>
      </c>
      <c r="AD83" s="17" t="n">
        <f aca="false">Parameters!$I$5*1+Parameters!$I$6*1+Parameters!$I$7*1+Parameters!$I$8*1+Parameters!$I$9*1+Parameters!$I$10*1+Parameters!$I$11*X83+Parameters!$I$12*Y83</f>
        <v>95</v>
      </c>
      <c r="AE83" s="18" t="n">
        <f aca="false">IF(AD83=0,"",AC83/AD83)</f>
        <v>0.894736842105263</v>
      </c>
      <c r="AF83" s="17" t="str">
        <f aca="false">IF(ISNUMBER(Z83),"M","")&amp;IF(ISNUMBER(AA83),"I","")&amp;IF(ISNUMBER(AB83),"O","")</f>
        <v>MIO</v>
      </c>
      <c r="AG83" s="19" t="n">
        <f aca="false">IF(AND(ISNUMBER(AE83),ISNUMBER(Z83)+ISNUMBER(AA83)+ISNUMBER(AB83)&gt;=Parameters!$B$37),IF(AE83&gt;=Parameters!$B$35,100*(Parameters!$F$15*N(Z83)+Parameters!$F$16*N(AA83)+Parameters!$F$17*N(AB83))/(Parameters!$F$15*ISNUMBER(Z83)+Parameters!$F$16*ISNUMBER(AA83)+Parameters!$F$17*ISNUMBER(AB83)),""),"")</f>
        <v>77</v>
      </c>
      <c r="AH83" s="17" t="n">
        <f aca="false">IF(ISNUMBER(AG83),RANK(AG83,$AG$2:$AG$113),"")</f>
        <v>87</v>
      </c>
    </row>
    <row r="84" customFormat="false" ht="15" hidden="false" customHeight="false" outlineLevel="0" collapsed="false">
      <c r="A84" s="5" t="s">
        <v>404</v>
      </c>
      <c r="B84" s="5" t="s">
        <v>405</v>
      </c>
      <c r="C84" s="5" t="s">
        <v>226</v>
      </c>
      <c r="D84" s="5" t="s">
        <v>31</v>
      </c>
      <c r="E84" s="5" t="s">
        <v>44</v>
      </c>
      <c r="F84" s="5" t="s">
        <v>146</v>
      </c>
      <c r="G84" s="15" t="s">
        <v>406</v>
      </c>
      <c r="H84" s="8" t="n">
        <v>1</v>
      </c>
      <c r="I84" s="5" t="s">
        <v>57</v>
      </c>
      <c r="J84" s="5" t="s">
        <v>74</v>
      </c>
      <c r="K84" s="15"/>
      <c r="L84" s="5" t="s">
        <v>81</v>
      </c>
      <c r="M84" s="5" t="s">
        <v>157</v>
      </c>
      <c r="N84" s="5" t="s">
        <v>173</v>
      </c>
      <c r="O84" s="5" t="s">
        <v>71</v>
      </c>
      <c r="P84" s="16" t="n">
        <f aca="false">IFERROR(IF(ISNUMBER(INDEX(Parameters!$B$5:$B$23,MATCH(D84,Parameters!$A$5:$A$23,0))),INDEX(Parameters!$B$5:$B$23,MATCH(D84,Parameters!$A$5:$A$23,0)),""),"")</f>
        <v>1</v>
      </c>
      <c r="Q84" s="16" t="n">
        <f aca="false">IFERROR(IF(ISNUMBER(INDEX(Parameters!$B$5:$B$23,MATCH(E84,Parameters!$A$5:$A$23,0))),INDEX(Parameters!$B$5:$B$23,MATCH(E84,Parameters!$A$5:$A$23,0)),""),"")</f>
        <v>1</v>
      </c>
      <c r="R84" s="16" t="n">
        <f aca="false">IF(F84="","",IFERROR(MIN(Parameters!$B$33,MAX(0,Parameters!$B$32-VALUE(LEFT(F84,4))))/Parameters!$B$33,""))</f>
        <v>0.533333333333333</v>
      </c>
      <c r="S84" s="16" t="n">
        <f aca="false">IF(ISNUMBER(H84),H84,IF(G84="",IF(ISNUMBER(Parameters!$B$34),Parameters!$B$34,""),""))</f>
        <v>1</v>
      </c>
      <c r="T84" s="16" t="n">
        <f aca="false">IFERROR(IF(ISNUMBER(INDEX(Parameters!$B$5:$B$23,MATCH(I84,Parameters!$A$5:$A$23,0))),INDEX(Parameters!$B$5:$B$23,MATCH(I84,Parameters!$A$5:$A$23,0)),""),"")</f>
        <v>0</v>
      </c>
      <c r="U84" s="16" t="n">
        <f aca="false">IFERROR(IF(ISNUMBER(INDEX(Parameters!$B$5:$B$23,MATCH(L84,Parameters!$A$5:$A$23,0))),INDEX(Parameters!$B$5:$B$23,MATCH(L84,Parameters!$A$5:$A$23,0)),""),"")</f>
        <v>1</v>
      </c>
      <c r="V84" s="16" t="str">
        <f aca="false">IFERROR(IF(ISNUMBER(INDEX(Parameters!$B$5:$B$23,MATCH(J84,Parameters!$A$5:$A$23,0))),INDEX(Parameters!$B$5:$B$23,MATCH(J84,Parameters!$A$5:$A$23,0)),""),"")</f>
        <v/>
      </c>
      <c r="W84" s="16" t="str">
        <f aca="false">IF(K84&lt;&gt;"",1,IF(COUNTIF(Parameters!$A$27:$A$28,J84)&gt;0,0,""))</f>
        <v/>
      </c>
      <c r="X84" s="17" t="n">
        <f aca="false">IF(J84="Not applicable",0,1)</f>
        <v>0</v>
      </c>
      <c r="Y84" s="17" t="n">
        <f aca="false">IF(OR(K84&lt;&gt;"",COUNTIF(Parameters!$A$27:$A$28,J84)&gt;0),1,0)</f>
        <v>0</v>
      </c>
      <c r="Z84"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84+(Parameters!$F$12=Parameters!$E$15)*Parameters!$I$12*Y84)=0,"",IF(AND(((Parameters!$F$5=Parameters!$E$15)*Parameters!$I$5*ISNUMBER(P84)+(Parameters!$F$6=Parameters!$E$15)*Parameters!$I$6*ISNUMBER(Q84)+(Parameters!$F$7=Parameters!$E$15)*Parameters!$I$7*ISNUMBER(R84)+(Parameters!$F$8=Parameters!$E$15)*Parameters!$I$8*ISNUMBER(S84)+(Parameters!$F$9=Parameters!$E$15)*Parameters!$I$9*ISNUMBER(T84)+(Parameters!$F$10=Parameters!$E$15)*Parameters!$I$10*ISNUMBER(U84)+(Parameters!$F$11=Parameters!$E$15)*Parameters!$I$11*ISNUMBER(V84)+(Parameters!$F$12=Parameters!$E$15)*Parameters!$I$12*ISNUMBER(W84))&gt;0,((Parameters!$F$5=Parameters!$E$15)*Parameters!$I$5*ISNUMBER(P84)+(Parameters!$F$6=Parameters!$E$15)*Parameters!$I$6*ISNUMBER(Q84)+(Parameters!$F$7=Parameters!$E$15)*Parameters!$I$7*ISNUMBER(R84)+(Parameters!$F$8=Parameters!$E$15)*Parameters!$I$8*ISNUMBER(S84)+(Parameters!$F$9=Parameters!$E$15)*Parameters!$I$9*ISNUMBER(T84)+(Parameters!$F$10=Parameters!$E$15)*Parameters!$I$10*ISNUMBER(U84)+(Parameters!$F$11=Parameters!$E$15)*Parameters!$I$11*ISNUMBER(V84)+(Parameters!$F$12=Parameters!$E$15)*Parameters!$I$12*ISNUMBER(W84))/((Parameters!$F$5=Parameters!$E$15)*Parameters!$I$5*1+(Parameters!$F$6=Parameters!$E$15)*Parameters!$I$6*1+(Parameters!$F$7=Parameters!$E$15)*Parameters!$I$7*1+(Parameters!$F$8=Parameters!$E$15)*Parameters!$I$8*1+(Parameters!$F$9=Parameters!$E$15)*Parameters!$I$9*1+(Parameters!$F$10=Parameters!$E$15)*Parameters!$I$10*1+(Parameters!$F$11=Parameters!$E$15)*Parameters!$I$11*X84+(Parameters!$F$12=Parameters!$E$15)*Parameters!$I$12*Y84)&gt;=Parameters!$B$36),((Parameters!$F$5=Parameters!$E$15)*Parameters!$I$5*N(P84)+(Parameters!$F$6=Parameters!$E$15)*Parameters!$I$6*N(Q84)+(Parameters!$F$7=Parameters!$E$15)*Parameters!$I$7*N(R84)+(Parameters!$F$8=Parameters!$E$15)*Parameters!$I$8*N(S84)+(Parameters!$F$9=Parameters!$E$15)*Parameters!$I$9*N(T84)+(Parameters!$F$10=Parameters!$E$15)*Parameters!$I$10*N(U84)+(Parameters!$F$11=Parameters!$E$15)*Parameters!$I$11*N(V84)+(Parameters!$F$12=Parameters!$E$15)*Parameters!$I$12*N(W84))/((Parameters!$F$5=Parameters!$E$15)*Parameters!$I$5*ISNUMBER(P84)+(Parameters!$F$6=Parameters!$E$15)*Parameters!$I$6*ISNUMBER(Q84)+(Parameters!$F$7=Parameters!$E$15)*Parameters!$I$7*ISNUMBER(R84)+(Parameters!$F$8=Parameters!$E$15)*Parameters!$I$8*ISNUMBER(S84)+(Parameters!$F$9=Parameters!$E$15)*Parameters!$I$9*ISNUMBER(T84)+(Parameters!$F$10=Parameters!$E$15)*Parameters!$I$10*ISNUMBER(U84)+(Parameters!$F$11=Parameters!$E$15)*Parameters!$I$11*ISNUMBER(V84)+(Parameters!$F$12=Parameters!$E$15)*Parameters!$I$12*ISNUMBER(W84)),""))</f>
        <v>0.953333333333333</v>
      </c>
      <c r="AA84"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84+(Parameters!$F$12=Parameters!$E$16)*Parameters!$I$12*Y84)=0,"",IF(AND(((Parameters!$F$5=Parameters!$E$16)*Parameters!$I$5*ISNUMBER(P84)+(Parameters!$F$6=Parameters!$E$16)*Parameters!$I$6*ISNUMBER(Q84)+(Parameters!$F$7=Parameters!$E$16)*Parameters!$I$7*ISNUMBER(R84)+(Parameters!$F$8=Parameters!$E$16)*Parameters!$I$8*ISNUMBER(S84)+(Parameters!$F$9=Parameters!$E$16)*Parameters!$I$9*ISNUMBER(T84)+(Parameters!$F$10=Parameters!$E$16)*Parameters!$I$10*ISNUMBER(U84)+(Parameters!$F$11=Parameters!$E$16)*Parameters!$I$11*ISNUMBER(V84)+(Parameters!$F$12=Parameters!$E$16)*Parameters!$I$12*ISNUMBER(W84))&gt;0,((Parameters!$F$5=Parameters!$E$16)*Parameters!$I$5*ISNUMBER(P84)+(Parameters!$F$6=Parameters!$E$16)*Parameters!$I$6*ISNUMBER(Q84)+(Parameters!$F$7=Parameters!$E$16)*Parameters!$I$7*ISNUMBER(R84)+(Parameters!$F$8=Parameters!$E$16)*Parameters!$I$8*ISNUMBER(S84)+(Parameters!$F$9=Parameters!$E$16)*Parameters!$I$9*ISNUMBER(T84)+(Parameters!$F$10=Parameters!$E$16)*Parameters!$I$10*ISNUMBER(U84)+(Parameters!$F$11=Parameters!$E$16)*Parameters!$I$11*ISNUMBER(V84)+(Parameters!$F$12=Parameters!$E$16)*Parameters!$I$12*ISNUMBER(W84))/((Parameters!$F$5=Parameters!$E$16)*Parameters!$I$5*1+(Parameters!$F$6=Parameters!$E$16)*Parameters!$I$6*1+(Parameters!$F$7=Parameters!$E$16)*Parameters!$I$7*1+(Parameters!$F$8=Parameters!$E$16)*Parameters!$I$8*1+(Parameters!$F$9=Parameters!$E$16)*Parameters!$I$9*1+(Parameters!$F$10=Parameters!$E$16)*Parameters!$I$10*1+(Parameters!$F$11=Parameters!$E$16)*Parameters!$I$11*X84+(Parameters!$F$12=Parameters!$E$16)*Parameters!$I$12*Y84)&gt;=Parameters!$B$36),((Parameters!$F$5=Parameters!$E$16)*Parameters!$I$5*N(P84)+(Parameters!$F$6=Parameters!$E$16)*Parameters!$I$6*N(Q84)+(Parameters!$F$7=Parameters!$E$16)*Parameters!$I$7*N(R84)+(Parameters!$F$8=Parameters!$E$16)*Parameters!$I$8*N(S84)+(Parameters!$F$9=Parameters!$E$16)*Parameters!$I$9*N(T84)+(Parameters!$F$10=Parameters!$E$16)*Parameters!$I$10*N(U84)+(Parameters!$F$11=Parameters!$E$16)*Parameters!$I$11*N(V84)+(Parameters!$F$12=Parameters!$E$16)*Parameters!$I$12*N(W84))/((Parameters!$F$5=Parameters!$E$16)*Parameters!$I$5*ISNUMBER(P84)+(Parameters!$F$6=Parameters!$E$16)*Parameters!$I$6*ISNUMBER(Q84)+(Parameters!$F$7=Parameters!$E$16)*Parameters!$I$7*ISNUMBER(R84)+(Parameters!$F$8=Parameters!$E$16)*Parameters!$I$8*ISNUMBER(S84)+(Parameters!$F$9=Parameters!$E$16)*Parameters!$I$9*ISNUMBER(T84)+(Parameters!$F$10=Parameters!$E$16)*Parameters!$I$10*ISNUMBER(U84)+(Parameters!$F$11=Parameters!$E$16)*Parameters!$I$11*ISNUMBER(V84)+(Parameters!$F$12=Parameters!$E$16)*Parameters!$I$12*ISNUMBER(W84)),""))</f>
        <v>0.8</v>
      </c>
      <c r="AB84"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84+(Parameters!$F$12=Parameters!$E$17)*Parameters!$I$12*Y84)=0,"",IF(AND(((Parameters!$F$5=Parameters!$E$17)*Parameters!$I$5*ISNUMBER(P84)+(Parameters!$F$6=Parameters!$E$17)*Parameters!$I$6*ISNUMBER(Q84)+(Parameters!$F$7=Parameters!$E$17)*Parameters!$I$7*ISNUMBER(R84)+(Parameters!$F$8=Parameters!$E$17)*Parameters!$I$8*ISNUMBER(S84)+(Parameters!$F$9=Parameters!$E$17)*Parameters!$I$9*ISNUMBER(T84)+(Parameters!$F$10=Parameters!$E$17)*Parameters!$I$10*ISNUMBER(U84)+(Parameters!$F$11=Parameters!$E$17)*Parameters!$I$11*ISNUMBER(V84)+(Parameters!$F$12=Parameters!$E$17)*Parameters!$I$12*ISNUMBER(W84))&gt;0,((Parameters!$F$5=Parameters!$E$17)*Parameters!$I$5*ISNUMBER(P84)+(Parameters!$F$6=Parameters!$E$17)*Parameters!$I$6*ISNUMBER(Q84)+(Parameters!$F$7=Parameters!$E$17)*Parameters!$I$7*ISNUMBER(R84)+(Parameters!$F$8=Parameters!$E$17)*Parameters!$I$8*ISNUMBER(S84)+(Parameters!$F$9=Parameters!$E$17)*Parameters!$I$9*ISNUMBER(T84)+(Parameters!$F$10=Parameters!$E$17)*Parameters!$I$10*ISNUMBER(U84)+(Parameters!$F$11=Parameters!$E$17)*Parameters!$I$11*ISNUMBER(V84)+(Parameters!$F$12=Parameters!$E$17)*Parameters!$I$12*ISNUMBER(W84))/((Parameters!$F$5=Parameters!$E$17)*Parameters!$I$5*1+(Parameters!$F$6=Parameters!$E$17)*Parameters!$I$6*1+(Parameters!$F$7=Parameters!$E$17)*Parameters!$I$7*1+(Parameters!$F$8=Parameters!$E$17)*Parameters!$I$8*1+(Parameters!$F$9=Parameters!$E$17)*Parameters!$I$9*1+(Parameters!$F$10=Parameters!$E$17)*Parameters!$I$10*1+(Parameters!$F$11=Parameters!$E$17)*Parameters!$I$11*X84+(Parameters!$F$12=Parameters!$E$17)*Parameters!$I$12*Y84)&gt;=Parameters!$B$36),((Parameters!$F$5=Parameters!$E$17)*Parameters!$I$5*N(P84)+(Parameters!$F$6=Parameters!$E$17)*Parameters!$I$6*N(Q84)+(Parameters!$F$7=Parameters!$E$17)*Parameters!$I$7*N(R84)+(Parameters!$F$8=Parameters!$E$17)*Parameters!$I$8*N(S84)+(Parameters!$F$9=Parameters!$E$17)*Parameters!$I$9*N(T84)+(Parameters!$F$10=Parameters!$E$17)*Parameters!$I$10*N(U84)+(Parameters!$F$11=Parameters!$E$17)*Parameters!$I$11*N(V84)+(Parameters!$F$12=Parameters!$E$17)*Parameters!$I$12*N(W84))/((Parameters!$F$5=Parameters!$E$17)*Parameters!$I$5*ISNUMBER(P84)+(Parameters!$F$6=Parameters!$E$17)*Parameters!$I$6*ISNUMBER(Q84)+(Parameters!$F$7=Parameters!$E$17)*Parameters!$I$7*ISNUMBER(R84)+(Parameters!$F$8=Parameters!$E$17)*Parameters!$I$8*ISNUMBER(S84)+(Parameters!$F$9=Parameters!$E$17)*Parameters!$I$9*ISNUMBER(T84)+(Parameters!$F$10=Parameters!$E$17)*Parameters!$I$10*ISNUMBER(U84)+(Parameters!$F$11=Parameters!$E$17)*Parameters!$I$11*ISNUMBER(V84)+(Parameters!$F$12=Parameters!$E$17)*Parameters!$I$12*ISNUMBER(W84)),""))</f>
        <v/>
      </c>
      <c r="AC84" s="17" t="n">
        <f aca="false">Parameters!$I$5*ISNUMBER(P84)+Parameters!$I$6*ISNUMBER(Q84)+Parameters!$I$7*ISNUMBER(R84)+Parameters!$I$8*ISNUMBER(S84)+Parameters!$I$9*ISNUMBER(T84)+Parameters!$I$10*ISNUMBER(U84)+Parameters!$I$11*ISNUMBER(V84)+Parameters!$I$12*ISNUMBER(W84)</f>
        <v>75</v>
      </c>
      <c r="AD84" s="17" t="n">
        <f aca="false">Parameters!$I$5*1+Parameters!$I$6*1+Parameters!$I$7*1+Parameters!$I$8*1+Parameters!$I$9*1+Parameters!$I$10*1+Parameters!$I$11*X84+Parameters!$I$12*Y84</f>
        <v>75</v>
      </c>
      <c r="AE84" s="18" t="n">
        <f aca="false">IF(AD84=0,"",AC84/AD84)</f>
        <v>1</v>
      </c>
      <c r="AF84" s="17" t="str">
        <f aca="false">IF(ISNUMBER(Z84),"M","")&amp;IF(ISNUMBER(AA84),"I","")&amp;IF(ISNUMBER(AB84),"O","")</f>
        <v>MI</v>
      </c>
      <c r="AG84" s="19" t="n">
        <f aca="false">IF(AND(ISNUMBER(AE84),ISNUMBER(Z84)+ISNUMBER(AA84)+ISNUMBER(AB84)&gt;=Parameters!$B$37),IF(AE84&gt;=Parameters!$B$35,100*(Parameters!$F$15*N(Z84)+Parameters!$F$16*N(AA84)+Parameters!$F$17*N(AB84))/(Parameters!$F$15*ISNUMBER(Z84)+Parameters!$F$16*ISNUMBER(AA84)+Parameters!$F$17*ISNUMBER(AB84)),""),"")</f>
        <v>89.5833333333333</v>
      </c>
      <c r="AH84" s="17" t="n">
        <f aca="false">IF(ISNUMBER(AG84),RANK(AG84,$AG$2:$AG$113),"")</f>
        <v>31</v>
      </c>
    </row>
    <row r="85" customFormat="false" ht="15" hidden="false" customHeight="false" outlineLevel="0" collapsed="false">
      <c r="A85" s="5" t="s">
        <v>407</v>
      </c>
      <c r="B85" s="5" t="s">
        <v>408</v>
      </c>
      <c r="C85" s="5" t="s">
        <v>145</v>
      </c>
      <c r="D85" s="5" t="s">
        <v>31</v>
      </c>
      <c r="E85" s="5" t="s">
        <v>44</v>
      </c>
      <c r="F85" s="5" t="s">
        <v>310</v>
      </c>
      <c r="G85" s="15"/>
      <c r="H85" s="8"/>
      <c r="I85" s="5" t="s">
        <v>57</v>
      </c>
      <c r="J85" s="5" t="s">
        <v>74</v>
      </c>
      <c r="K85" s="15"/>
      <c r="L85" s="5" t="s">
        <v>79</v>
      </c>
      <c r="M85" s="5" t="s">
        <v>141</v>
      </c>
      <c r="N85" s="5"/>
      <c r="O85" s="5"/>
      <c r="P85" s="16" t="n">
        <f aca="false">IFERROR(IF(ISNUMBER(INDEX(Parameters!$B$5:$B$23,MATCH(D85,Parameters!$A$5:$A$23,0))),INDEX(Parameters!$B$5:$B$23,MATCH(D85,Parameters!$A$5:$A$23,0)),""),"")</f>
        <v>1</v>
      </c>
      <c r="Q85" s="16" t="n">
        <f aca="false">IFERROR(IF(ISNUMBER(INDEX(Parameters!$B$5:$B$23,MATCH(E85,Parameters!$A$5:$A$23,0))),INDEX(Parameters!$B$5:$B$23,MATCH(E85,Parameters!$A$5:$A$23,0)),""),"")</f>
        <v>1</v>
      </c>
      <c r="R85" s="16" t="n">
        <f aca="false">IF(F85="","",IFERROR(MIN(Parameters!$B$33,MAX(0,Parameters!$B$32-VALUE(LEFT(F85,4))))/Parameters!$B$33,""))</f>
        <v>1</v>
      </c>
      <c r="S85" s="16" t="str">
        <f aca="false">IF(ISNUMBER(H85),H85,IF(G85="",IF(ISNUMBER(Parameters!$B$34),Parameters!$B$34,""),""))</f>
        <v/>
      </c>
      <c r="T85" s="16" t="n">
        <f aca="false">IFERROR(IF(ISNUMBER(INDEX(Parameters!$B$5:$B$23,MATCH(I85,Parameters!$A$5:$A$23,0))),INDEX(Parameters!$B$5:$B$23,MATCH(I85,Parameters!$A$5:$A$23,0)),""),"")</f>
        <v>0</v>
      </c>
      <c r="U85" s="16" t="n">
        <f aca="false">IFERROR(IF(ISNUMBER(INDEX(Parameters!$B$5:$B$23,MATCH(L85,Parameters!$A$5:$A$23,0))),INDEX(Parameters!$B$5:$B$23,MATCH(L85,Parameters!$A$5:$A$23,0)),""),"")</f>
        <v>1</v>
      </c>
      <c r="V85" s="16" t="str">
        <f aca="false">IFERROR(IF(ISNUMBER(INDEX(Parameters!$B$5:$B$23,MATCH(J85,Parameters!$A$5:$A$23,0))),INDEX(Parameters!$B$5:$B$23,MATCH(J85,Parameters!$A$5:$A$23,0)),""),"")</f>
        <v/>
      </c>
      <c r="W85" s="16" t="str">
        <f aca="false">IF(K85&lt;&gt;"",1,IF(COUNTIF(Parameters!$A$27:$A$28,J85)&gt;0,0,""))</f>
        <v/>
      </c>
      <c r="X85" s="17" t="n">
        <f aca="false">IF(J85="Not applicable",0,1)</f>
        <v>0</v>
      </c>
      <c r="Y85" s="17" t="n">
        <f aca="false">IF(OR(K85&lt;&gt;"",COUNTIF(Parameters!$A$27:$A$28,J85)&gt;0),1,0)</f>
        <v>0</v>
      </c>
      <c r="Z85"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85+(Parameters!$F$12=Parameters!$E$15)*Parameters!$I$12*Y85)=0,"",IF(AND(((Parameters!$F$5=Parameters!$E$15)*Parameters!$I$5*ISNUMBER(P85)+(Parameters!$F$6=Parameters!$E$15)*Parameters!$I$6*ISNUMBER(Q85)+(Parameters!$F$7=Parameters!$E$15)*Parameters!$I$7*ISNUMBER(R85)+(Parameters!$F$8=Parameters!$E$15)*Parameters!$I$8*ISNUMBER(S85)+(Parameters!$F$9=Parameters!$E$15)*Parameters!$I$9*ISNUMBER(T85)+(Parameters!$F$10=Parameters!$E$15)*Parameters!$I$10*ISNUMBER(U85)+(Parameters!$F$11=Parameters!$E$15)*Parameters!$I$11*ISNUMBER(V85)+(Parameters!$F$12=Parameters!$E$15)*Parameters!$I$12*ISNUMBER(W85))&gt;0,((Parameters!$F$5=Parameters!$E$15)*Parameters!$I$5*ISNUMBER(P85)+(Parameters!$F$6=Parameters!$E$15)*Parameters!$I$6*ISNUMBER(Q85)+(Parameters!$F$7=Parameters!$E$15)*Parameters!$I$7*ISNUMBER(R85)+(Parameters!$F$8=Parameters!$E$15)*Parameters!$I$8*ISNUMBER(S85)+(Parameters!$F$9=Parameters!$E$15)*Parameters!$I$9*ISNUMBER(T85)+(Parameters!$F$10=Parameters!$E$15)*Parameters!$I$10*ISNUMBER(U85)+(Parameters!$F$11=Parameters!$E$15)*Parameters!$I$11*ISNUMBER(V85)+(Parameters!$F$12=Parameters!$E$15)*Parameters!$I$12*ISNUMBER(W85))/((Parameters!$F$5=Parameters!$E$15)*Parameters!$I$5*1+(Parameters!$F$6=Parameters!$E$15)*Parameters!$I$6*1+(Parameters!$F$7=Parameters!$E$15)*Parameters!$I$7*1+(Parameters!$F$8=Parameters!$E$15)*Parameters!$I$8*1+(Parameters!$F$9=Parameters!$E$15)*Parameters!$I$9*1+(Parameters!$F$10=Parameters!$E$15)*Parameters!$I$10*1+(Parameters!$F$11=Parameters!$E$15)*Parameters!$I$11*X85+(Parameters!$F$12=Parameters!$E$15)*Parameters!$I$12*Y85)&gt;=Parameters!$B$36),((Parameters!$F$5=Parameters!$E$15)*Parameters!$I$5*N(P85)+(Parameters!$F$6=Parameters!$E$15)*Parameters!$I$6*N(Q85)+(Parameters!$F$7=Parameters!$E$15)*Parameters!$I$7*N(R85)+(Parameters!$F$8=Parameters!$E$15)*Parameters!$I$8*N(S85)+(Parameters!$F$9=Parameters!$E$15)*Parameters!$I$9*N(T85)+(Parameters!$F$10=Parameters!$E$15)*Parameters!$I$10*N(U85)+(Parameters!$F$11=Parameters!$E$15)*Parameters!$I$11*N(V85)+(Parameters!$F$12=Parameters!$E$15)*Parameters!$I$12*N(W85))/((Parameters!$F$5=Parameters!$E$15)*Parameters!$I$5*ISNUMBER(P85)+(Parameters!$F$6=Parameters!$E$15)*Parameters!$I$6*ISNUMBER(Q85)+(Parameters!$F$7=Parameters!$E$15)*Parameters!$I$7*ISNUMBER(R85)+(Parameters!$F$8=Parameters!$E$15)*Parameters!$I$8*ISNUMBER(S85)+(Parameters!$F$9=Parameters!$E$15)*Parameters!$I$9*ISNUMBER(T85)+(Parameters!$F$10=Parameters!$E$15)*Parameters!$I$10*ISNUMBER(U85)+(Parameters!$F$11=Parameters!$E$15)*Parameters!$I$11*ISNUMBER(V85)+(Parameters!$F$12=Parameters!$E$15)*Parameters!$I$12*ISNUMBER(W85)),""))</f>
        <v>1</v>
      </c>
      <c r="AA85"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85+(Parameters!$F$12=Parameters!$E$16)*Parameters!$I$12*Y85)=0,"",IF(AND(((Parameters!$F$5=Parameters!$E$16)*Parameters!$I$5*ISNUMBER(P85)+(Parameters!$F$6=Parameters!$E$16)*Parameters!$I$6*ISNUMBER(Q85)+(Parameters!$F$7=Parameters!$E$16)*Parameters!$I$7*ISNUMBER(R85)+(Parameters!$F$8=Parameters!$E$16)*Parameters!$I$8*ISNUMBER(S85)+(Parameters!$F$9=Parameters!$E$16)*Parameters!$I$9*ISNUMBER(T85)+(Parameters!$F$10=Parameters!$E$16)*Parameters!$I$10*ISNUMBER(U85)+(Parameters!$F$11=Parameters!$E$16)*Parameters!$I$11*ISNUMBER(V85)+(Parameters!$F$12=Parameters!$E$16)*Parameters!$I$12*ISNUMBER(W85))&gt;0,((Parameters!$F$5=Parameters!$E$16)*Parameters!$I$5*ISNUMBER(P85)+(Parameters!$F$6=Parameters!$E$16)*Parameters!$I$6*ISNUMBER(Q85)+(Parameters!$F$7=Parameters!$E$16)*Parameters!$I$7*ISNUMBER(R85)+(Parameters!$F$8=Parameters!$E$16)*Parameters!$I$8*ISNUMBER(S85)+(Parameters!$F$9=Parameters!$E$16)*Parameters!$I$9*ISNUMBER(T85)+(Parameters!$F$10=Parameters!$E$16)*Parameters!$I$10*ISNUMBER(U85)+(Parameters!$F$11=Parameters!$E$16)*Parameters!$I$11*ISNUMBER(V85)+(Parameters!$F$12=Parameters!$E$16)*Parameters!$I$12*ISNUMBER(W85))/((Parameters!$F$5=Parameters!$E$16)*Parameters!$I$5*1+(Parameters!$F$6=Parameters!$E$16)*Parameters!$I$6*1+(Parameters!$F$7=Parameters!$E$16)*Parameters!$I$7*1+(Parameters!$F$8=Parameters!$E$16)*Parameters!$I$8*1+(Parameters!$F$9=Parameters!$E$16)*Parameters!$I$9*1+(Parameters!$F$10=Parameters!$E$16)*Parameters!$I$10*1+(Parameters!$F$11=Parameters!$E$16)*Parameters!$I$11*X85+(Parameters!$F$12=Parameters!$E$16)*Parameters!$I$12*Y85)&gt;=Parameters!$B$36),((Parameters!$F$5=Parameters!$E$16)*Parameters!$I$5*N(P85)+(Parameters!$F$6=Parameters!$E$16)*Parameters!$I$6*N(Q85)+(Parameters!$F$7=Parameters!$E$16)*Parameters!$I$7*N(R85)+(Parameters!$F$8=Parameters!$E$16)*Parameters!$I$8*N(S85)+(Parameters!$F$9=Parameters!$E$16)*Parameters!$I$9*N(T85)+(Parameters!$F$10=Parameters!$E$16)*Parameters!$I$10*N(U85)+(Parameters!$F$11=Parameters!$E$16)*Parameters!$I$11*N(V85)+(Parameters!$F$12=Parameters!$E$16)*Parameters!$I$12*N(W85))/((Parameters!$F$5=Parameters!$E$16)*Parameters!$I$5*ISNUMBER(P85)+(Parameters!$F$6=Parameters!$E$16)*Parameters!$I$6*ISNUMBER(Q85)+(Parameters!$F$7=Parameters!$E$16)*Parameters!$I$7*ISNUMBER(R85)+(Parameters!$F$8=Parameters!$E$16)*Parameters!$I$8*ISNUMBER(S85)+(Parameters!$F$9=Parameters!$E$16)*Parameters!$I$9*ISNUMBER(T85)+(Parameters!$F$10=Parameters!$E$16)*Parameters!$I$10*ISNUMBER(U85)+(Parameters!$F$11=Parameters!$E$16)*Parameters!$I$11*ISNUMBER(V85)+(Parameters!$F$12=Parameters!$E$16)*Parameters!$I$12*ISNUMBER(W85)),""))</f>
        <v>0.666666666666667</v>
      </c>
      <c r="AB85"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85+(Parameters!$F$12=Parameters!$E$17)*Parameters!$I$12*Y85)=0,"",IF(AND(((Parameters!$F$5=Parameters!$E$17)*Parameters!$I$5*ISNUMBER(P85)+(Parameters!$F$6=Parameters!$E$17)*Parameters!$I$6*ISNUMBER(Q85)+(Parameters!$F$7=Parameters!$E$17)*Parameters!$I$7*ISNUMBER(R85)+(Parameters!$F$8=Parameters!$E$17)*Parameters!$I$8*ISNUMBER(S85)+(Parameters!$F$9=Parameters!$E$17)*Parameters!$I$9*ISNUMBER(T85)+(Parameters!$F$10=Parameters!$E$17)*Parameters!$I$10*ISNUMBER(U85)+(Parameters!$F$11=Parameters!$E$17)*Parameters!$I$11*ISNUMBER(V85)+(Parameters!$F$12=Parameters!$E$17)*Parameters!$I$12*ISNUMBER(W85))&gt;0,((Parameters!$F$5=Parameters!$E$17)*Parameters!$I$5*ISNUMBER(P85)+(Parameters!$F$6=Parameters!$E$17)*Parameters!$I$6*ISNUMBER(Q85)+(Parameters!$F$7=Parameters!$E$17)*Parameters!$I$7*ISNUMBER(R85)+(Parameters!$F$8=Parameters!$E$17)*Parameters!$I$8*ISNUMBER(S85)+(Parameters!$F$9=Parameters!$E$17)*Parameters!$I$9*ISNUMBER(T85)+(Parameters!$F$10=Parameters!$E$17)*Parameters!$I$10*ISNUMBER(U85)+(Parameters!$F$11=Parameters!$E$17)*Parameters!$I$11*ISNUMBER(V85)+(Parameters!$F$12=Parameters!$E$17)*Parameters!$I$12*ISNUMBER(W85))/((Parameters!$F$5=Parameters!$E$17)*Parameters!$I$5*1+(Parameters!$F$6=Parameters!$E$17)*Parameters!$I$6*1+(Parameters!$F$7=Parameters!$E$17)*Parameters!$I$7*1+(Parameters!$F$8=Parameters!$E$17)*Parameters!$I$8*1+(Parameters!$F$9=Parameters!$E$17)*Parameters!$I$9*1+(Parameters!$F$10=Parameters!$E$17)*Parameters!$I$10*1+(Parameters!$F$11=Parameters!$E$17)*Parameters!$I$11*X85+(Parameters!$F$12=Parameters!$E$17)*Parameters!$I$12*Y85)&gt;=Parameters!$B$36),((Parameters!$F$5=Parameters!$E$17)*Parameters!$I$5*N(P85)+(Parameters!$F$6=Parameters!$E$17)*Parameters!$I$6*N(Q85)+(Parameters!$F$7=Parameters!$E$17)*Parameters!$I$7*N(R85)+(Parameters!$F$8=Parameters!$E$17)*Parameters!$I$8*N(S85)+(Parameters!$F$9=Parameters!$E$17)*Parameters!$I$9*N(T85)+(Parameters!$F$10=Parameters!$E$17)*Parameters!$I$10*N(U85)+(Parameters!$F$11=Parameters!$E$17)*Parameters!$I$11*N(V85)+(Parameters!$F$12=Parameters!$E$17)*Parameters!$I$12*N(W85))/((Parameters!$F$5=Parameters!$E$17)*Parameters!$I$5*ISNUMBER(P85)+(Parameters!$F$6=Parameters!$E$17)*Parameters!$I$6*ISNUMBER(Q85)+(Parameters!$F$7=Parameters!$E$17)*Parameters!$I$7*ISNUMBER(R85)+(Parameters!$F$8=Parameters!$E$17)*Parameters!$I$8*ISNUMBER(S85)+(Parameters!$F$9=Parameters!$E$17)*Parameters!$I$9*ISNUMBER(T85)+(Parameters!$F$10=Parameters!$E$17)*Parameters!$I$10*ISNUMBER(U85)+(Parameters!$F$11=Parameters!$E$17)*Parameters!$I$11*ISNUMBER(V85)+(Parameters!$F$12=Parameters!$E$17)*Parameters!$I$12*ISNUMBER(W85)),""))</f>
        <v/>
      </c>
      <c r="AC85" s="17" t="n">
        <f aca="false">Parameters!$I$5*ISNUMBER(P85)+Parameters!$I$6*ISNUMBER(Q85)+Parameters!$I$7*ISNUMBER(R85)+Parameters!$I$8*ISNUMBER(S85)+Parameters!$I$9*ISNUMBER(T85)+Parameters!$I$10*ISNUMBER(U85)+Parameters!$I$11*ISNUMBER(V85)+Parameters!$I$12*ISNUMBER(W85)</f>
        <v>65</v>
      </c>
      <c r="AD85" s="17" t="n">
        <f aca="false">Parameters!$I$5*1+Parameters!$I$6*1+Parameters!$I$7*1+Parameters!$I$8*1+Parameters!$I$9*1+Parameters!$I$10*1+Parameters!$I$11*X85+Parameters!$I$12*Y85</f>
        <v>75</v>
      </c>
      <c r="AE85" s="18" t="n">
        <f aca="false">IF(AD85=0,"",AC85/AD85)</f>
        <v>0.866666666666667</v>
      </c>
      <c r="AF85" s="17" t="str">
        <f aca="false">IF(ISNUMBER(Z85),"M","")&amp;IF(ISNUMBER(AA85),"I","")&amp;IF(ISNUMBER(AB85),"O","")</f>
        <v>MI</v>
      </c>
      <c r="AG85" s="19" t="n">
        <f aca="false">IF(AND(ISNUMBER(AE85),ISNUMBER(Z85)+ISNUMBER(AA85)+ISNUMBER(AB85)&gt;=Parameters!$B$37),IF(AE85&gt;=Parameters!$B$35,100*(Parameters!$F$15*N(Z85)+Parameters!$F$16*N(AA85)+Parameters!$F$17*N(AB85))/(Parameters!$F$15*ISNUMBER(Z85)+Parameters!$F$16*ISNUMBER(AA85)+Parameters!$F$17*ISNUMBER(AB85)),""),"")</f>
        <v>87.5</v>
      </c>
      <c r="AH85" s="17" t="n">
        <f aca="false">IF(ISNUMBER(AG85),RANK(AG85,$AG$2:$AG$113),"")</f>
        <v>40</v>
      </c>
    </row>
    <row r="86" customFormat="false" ht="15" hidden="false" customHeight="false" outlineLevel="0" collapsed="false">
      <c r="A86" s="5" t="s">
        <v>409</v>
      </c>
      <c r="B86" s="5" t="s">
        <v>410</v>
      </c>
      <c r="C86" s="5" t="s">
        <v>411</v>
      </c>
      <c r="D86" s="5" t="s">
        <v>31</v>
      </c>
      <c r="E86" s="5" t="s">
        <v>44</v>
      </c>
      <c r="F86" s="5" t="s">
        <v>195</v>
      </c>
      <c r="G86" s="15"/>
      <c r="H86" s="8"/>
      <c r="I86" s="5" t="s">
        <v>57</v>
      </c>
      <c r="J86" s="5" t="s">
        <v>66</v>
      </c>
      <c r="K86" s="15" t="s">
        <v>412</v>
      </c>
      <c r="L86" s="5" t="s">
        <v>76</v>
      </c>
      <c r="M86" s="5" t="s">
        <v>136</v>
      </c>
      <c r="N86" s="5"/>
      <c r="O86" s="5"/>
      <c r="P86" s="16" t="n">
        <f aca="false">IFERROR(IF(ISNUMBER(INDEX(Parameters!$B$5:$B$23,MATCH(D86,Parameters!$A$5:$A$23,0))),INDEX(Parameters!$B$5:$B$23,MATCH(D86,Parameters!$A$5:$A$23,0)),""),"")</f>
        <v>1</v>
      </c>
      <c r="Q86" s="16" t="n">
        <f aca="false">IFERROR(IF(ISNUMBER(INDEX(Parameters!$B$5:$B$23,MATCH(E86,Parameters!$A$5:$A$23,0))),INDEX(Parameters!$B$5:$B$23,MATCH(E86,Parameters!$A$5:$A$23,0)),""),"")</f>
        <v>1</v>
      </c>
      <c r="R86" s="16" t="n">
        <f aca="false">IF(F86="","",IFERROR(MIN(Parameters!$B$33,MAX(0,Parameters!$B$32-VALUE(LEFT(F86,4))))/Parameters!$B$33,""))</f>
        <v>0.933333333333333</v>
      </c>
      <c r="S86" s="16" t="str">
        <f aca="false">IF(ISNUMBER(H86),H86,IF(G86="",IF(ISNUMBER(Parameters!$B$34),Parameters!$B$34,""),""))</f>
        <v/>
      </c>
      <c r="T86" s="16" t="n">
        <f aca="false">IFERROR(IF(ISNUMBER(INDEX(Parameters!$B$5:$B$23,MATCH(I86,Parameters!$A$5:$A$23,0))),INDEX(Parameters!$B$5:$B$23,MATCH(I86,Parameters!$A$5:$A$23,0)),""),"")</f>
        <v>0</v>
      </c>
      <c r="U86" s="16" t="n">
        <f aca="false">IFERROR(IF(ISNUMBER(INDEX(Parameters!$B$5:$B$23,MATCH(L86,Parameters!$A$5:$A$23,0))),INDEX(Parameters!$B$5:$B$23,MATCH(L86,Parameters!$A$5:$A$23,0)),""),"")</f>
        <v>1</v>
      </c>
      <c r="V86" s="16" t="n">
        <f aca="false">IFERROR(IF(ISNUMBER(INDEX(Parameters!$B$5:$B$23,MATCH(J86,Parameters!$A$5:$A$23,0))),INDEX(Parameters!$B$5:$B$23,MATCH(J86,Parameters!$A$5:$A$23,0)),""),"")</f>
        <v>1</v>
      </c>
      <c r="W86" s="16" t="n">
        <f aca="false">IF(K86&lt;&gt;"",1,IF(COUNTIF(Parameters!$A$27:$A$28,J86)&gt;0,0,""))</f>
        <v>1</v>
      </c>
      <c r="X86" s="17" t="n">
        <f aca="false">IF(J86="Not applicable",0,1)</f>
        <v>1</v>
      </c>
      <c r="Y86" s="17" t="n">
        <f aca="false">IF(OR(K86&lt;&gt;"",COUNTIF(Parameters!$A$27:$A$28,J86)&gt;0),1,0)</f>
        <v>1</v>
      </c>
      <c r="Z86"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86+(Parameters!$F$12=Parameters!$E$15)*Parameters!$I$12*Y86)=0,"",IF(AND(((Parameters!$F$5=Parameters!$E$15)*Parameters!$I$5*ISNUMBER(P86)+(Parameters!$F$6=Parameters!$E$15)*Parameters!$I$6*ISNUMBER(Q86)+(Parameters!$F$7=Parameters!$E$15)*Parameters!$I$7*ISNUMBER(R86)+(Parameters!$F$8=Parameters!$E$15)*Parameters!$I$8*ISNUMBER(S86)+(Parameters!$F$9=Parameters!$E$15)*Parameters!$I$9*ISNUMBER(T86)+(Parameters!$F$10=Parameters!$E$15)*Parameters!$I$10*ISNUMBER(U86)+(Parameters!$F$11=Parameters!$E$15)*Parameters!$I$11*ISNUMBER(V86)+(Parameters!$F$12=Parameters!$E$15)*Parameters!$I$12*ISNUMBER(W86))&gt;0,((Parameters!$F$5=Parameters!$E$15)*Parameters!$I$5*ISNUMBER(P86)+(Parameters!$F$6=Parameters!$E$15)*Parameters!$I$6*ISNUMBER(Q86)+(Parameters!$F$7=Parameters!$E$15)*Parameters!$I$7*ISNUMBER(R86)+(Parameters!$F$8=Parameters!$E$15)*Parameters!$I$8*ISNUMBER(S86)+(Parameters!$F$9=Parameters!$E$15)*Parameters!$I$9*ISNUMBER(T86)+(Parameters!$F$10=Parameters!$E$15)*Parameters!$I$10*ISNUMBER(U86)+(Parameters!$F$11=Parameters!$E$15)*Parameters!$I$11*ISNUMBER(V86)+(Parameters!$F$12=Parameters!$E$15)*Parameters!$I$12*ISNUMBER(W86))/((Parameters!$F$5=Parameters!$E$15)*Parameters!$I$5*1+(Parameters!$F$6=Parameters!$E$15)*Parameters!$I$6*1+(Parameters!$F$7=Parameters!$E$15)*Parameters!$I$7*1+(Parameters!$F$8=Parameters!$E$15)*Parameters!$I$8*1+(Parameters!$F$9=Parameters!$E$15)*Parameters!$I$9*1+(Parameters!$F$10=Parameters!$E$15)*Parameters!$I$10*1+(Parameters!$F$11=Parameters!$E$15)*Parameters!$I$11*X86+(Parameters!$F$12=Parameters!$E$15)*Parameters!$I$12*Y86)&gt;=Parameters!$B$36),((Parameters!$F$5=Parameters!$E$15)*Parameters!$I$5*N(P86)+(Parameters!$F$6=Parameters!$E$15)*Parameters!$I$6*N(Q86)+(Parameters!$F$7=Parameters!$E$15)*Parameters!$I$7*N(R86)+(Parameters!$F$8=Parameters!$E$15)*Parameters!$I$8*N(S86)+(Parameters!$F$9=Parameters!$E$15)*Parameters!$I$9*N(T86)+(Parameters!$F$10=Parameters!$E$15)*Parameters!$I$10*N(U86)+(Parameters!$F$11=Parameters!$E$15)*Parameters!$I$11*N(V86)+(Parameters!$F$12=Parameters!$E$15)*Parameters!$I$12*N(W86))/((Parameters!$F$5=Parameters!$E$15)*Parameters!$I$5*ISNUMBER(P86)+(Parameters!$F$6=Parameters!$E$15)*Parameters!$I$6*ISNUMBER(Q86)+(Parameters!$F$7=Parameters!$E$15)*Parameters!$I$7*ISNUMBER(R86)+(Parameters!$F$8=Parameters!$E$15)*Parameters!$I$8*ISNUMBER(S86)+(Parameters!$F$9=Parameters!$E$15)*Parameters!$I$9*ISNUMBER(T86)+(Parameters!$F$10=Parameters!$E$15)*Parameters!$I$10*ISNUMBER(U86)+(Parameters!$F$11=Parameters!$E$15)*Parameters!$I$11*ISNUMBER(V86)+(Parameters!$F$12=Parameters!$E$15)*Parameters!$I$12*ISNUMBER(W86)),""))</f>
        <v>0.993333333333333</v>
      </c>
      <c r="AA86"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86+(Parameters!$F$12=Parameters!$E$16)*Parameters!$I$12*Y86)=0,"",IF(AND(((Parameters!$F$5=Parameters!$E$16)*Parameters!$I$5*ISNUMBER(P86)+(Parameters!$F$6=Parameters!$E$16)*Parameters!$I$6*ISNUMBER(Q86)+(Parameters!$F$7=Parameters!$E$16)*Parameters!$I$7*ISNUMBER(R86)+(Parameters!$F$8=Parameters!$E$16)*Parameters!$I$8*ISNUMBER(S86)+(Parameters!$F$9=Parameters!$E$16)*Parameters!$I$9*ISNUMBER(T86)+(Parameters!$F$10=Parameters!$E$16)*Parameters!$I$10*ISNUMBER(U86)+(Parameters!$F$11=Parameters!$E$16)*Parameters!$I$11*ISNUMBER(V86)+(Parameters!$F$12=Parameters!$E$16)*Parameters!$I$12*ISNUMBER(W86))&gt;0,((Parameters!$F$5=Parameters!$E$16)*Parameters!$I$5*ISNUMBER(P86)+(Parameters!$F$6=Parameters!$E$16)*Parameters!$I$6*ISNUMBER(Q86)+(Parameters!$F$7=Parameters!$E$16)*Parameters!$I$7*ISNUMBER(R86)+(Parameters!$F$8=Parameters!$E$16)*Parameters!$I$8*ISNUMBER(S86)+(Parameters!$F$9=Parameters!$E$16)*Parameters!$I$9*ISNUMBER(T86)+(Parameters!$F$10=Parameters!$E$16)*Parameters!$I$10*ISNUMBER(U86)+(Parameters!$F$11=Parameters!$E$16)*Parameters!$I$11*ISNUMBER(V86)+(Parameters!$F$12=Parameters!$E$16)*Parameters!$I$12*ISNUMBER(W86))/((Parameters!$F$5=Parameters!$E$16)*Parameters!$I$5*1+(Parameters!$F$6=Parameters!$E$16)*Parameters!$I$6*1+(Parameters!$F$7=Parameters!$E$16)*Parameters!$I$7*1+(Parameters!$F$8=Parameters!$E$16)*Parameters!$I$8*1+(Parameters!$F$9=Parameters!$E$16)*Parameters!$I$9*1+(Parameters!$F$10=Parameters!$E$16)*Parameters!$I$10*1+(Parameters!$F$11=Parameters!$E$16)*Parameters!$I$11*X86+(Parameters!$F$12=Parameters!$E$16)*Parameters!$I$12*Y86)&gt;=Parameters!$B$36),((Parameters!$F$5=Parameters!$E$16)*Parameters!$I$5*N(P86)+(Parameters!$F$6=Parameters!$E$16)*Parameters!$I$6*N(Q86)+(Parameters!$F$7=Parameters!$E$16)*Parameters!$I$7*N(R86)+(Parameters!$F$8=Parameters!$E$16)*Parameters!$I$8*N(S86)+(Parameters!$F$9=Parameters!$E$16)*Parameters!$I$9*N(T86)+(Parameters!$F$10=Parameters!$E$16)*Parameters!$I$10*N(U86)+(Parameters!$F$11=Parameters!$E$16)*Parameters!$I$11*N(V86)+(Parameters!$F$12=Parameters!$E$16)*Parameters!$I$12*N(W86))/((Parameters!$F$5=Parameters!$E$16)*Parameters!$I$5*ISNUMBER(P86)+(Parameters!$F$6=Parameters!$E$16)*Parameters!$I$6*ISNUMBER(Q86)+(Parameters!$F$7=Parameters!$E$16)*Parameters!$I$7*ISNUMBER(R86)+(Parameters!$F$8=Parameters!$E$16)*Parameters!$I$8*ISNUMBER(S86)+(Parameters!$F$9=Parameters!$E$16)*Parameters!$I$9*ISNUMBER(T86)+(Parameters!$F$10=Parameters!$E$16)*Parameters!$I$10*ISNUMBER(U86)+(Parameters!$F$11=Parameters!$E$16)*Parameters!$I$11*ISNUMBER(V86)+(Parameters!$F$12=Parameters!$E$16)*Parameters!$I$12*ISNUMBER(W86)),""))</f>
        <v>0.666666666666667</v>
      </c>
      <c r="AB86"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86+(Parameters!$F$12=Parameters!$E$17)*Parameters!$I$12*Y86)=0,"",IF(AND(((Parameters!$F$5=Parameters!$E$17)*Parameters!$I$5*ISNUMBER(P86)+(Parameters!$F$6=Parameters!$E$17)*Parameters!$I$6*ISNUMBER(Q86)+(Parameters!$F$7=Parameters!$E$17)*Parameters!$I$7*ISNUMBER(R86)+(Parameters!$F$8=Parameters!$E$17)*Parameters!$I$8*ISNUMBER(S86)+(Parameters!$F$9=Parameters!$E$17)*Parameters!$I$9*ISNUMBER(T86)+(Parameters!$F$10=Parameters!$E$17)*Parameters!$I$10*ISNUMBER(U86)+(Parameters!$F$11=Parameters!$E$17)*Parameters!$I$11*ISNUMBER(V86)+(Parameters!$F$12=Parameters!$E$17)*Parameters!$I$12*ISNUMBER(W86))&gt;0,((Parameters!$F$5=Parameters!$E$17)*Parameters!$I$5*ISNUMBER(P86)+(Parameters!$F$6=Parameters!$E$17)*Parameters!$I$6*ISNUMBER(Q86)+(Parameters!$F$7=Parameters!$E$17)*Parameters!$I$7*ISNUMBER(R86)+(Parameters!$F$8=Parameters!$E$17)*Parameters!$I$8*ISNUMBER(S86)+(Parameters!$F$9=Parameters!$E$17)*Parameters!$I$9*ISNUMBER(T86)+(Parameters!$F$10=Parameters!$E$17)*Parameters!$I$10*ISNUMBER(U86)+(Parameters!$F$11=Parameters!$E$17)*Parameters!$I$11*ISNUMBER(V86)+(Parameters!$F$12=Parameters!$E$17)*Parameters!$I$12*ISNUMBER(W86))/((Parameters!$F$5=Parameters!$E$17)*Parameters!$I$5*1+(Parameters!$F$6=Parameters!$E$17)*Parameters!$I$6*1+(Parameters!$F$7=Parameters!$E$17)*Parameters!$I$7*1+(Parameters!$F$8=Parameters!$E$17)*Parameters!$I$8*1+(Parameters!$F$9=Parameters!$E$17)*Parameters!$I$9*1+(Parameters!$F$10=Parameters!$E$17)*Parameters!$I$10*1+(Parameters!$F$11=Parameters!$E$17)*Parameters!$I$11*X86+(Parameters!$F$12=Parameters!$E$17)*Parameters!$I$12*Y86)&gt;=Parameters!$B$36),((Parameters!$F$5=Parameters!$E$17)*Parameters!$I$5*N(P86)+(Parameters!$F$6=Parameters!$E$17)*Parameters!$I$6*N(Q86)+(Parameters!$F$7=Parameters!$E$17)*Parameters!$I$7*N(R86)+(Parameters!$F$8=Parameters!$E$17)*Parameters!$I$8*N(S86)+(Parameters!$F$9=Parameters!$E$17)*Parameters!$I$9*N(T86)+(Parameters!$F$10=Parameters!$E$17)*Parameters!$I$10*N(U86)+(Parameters!$F$11=Parameters!$E$17)*Parameters!$I$11*N(V86)+(Parameters!$F$12=Parameters!$E$17)*Parameters!$I$12*N(W86))/((Parameters!$F$5=Parameters!$E$17)*Parameters!$I$5*ISNUMBER(P86)+(Parameters!$F$6=Parameters!$E$17)*Parameters!$I$6*ISNUMBER(Q86)+(Parameters!$F$7=Parameters!$E$17)*Parameters!$I$7*ISNUMBER(R86)+(Parameters!$F$8=Parameters!$E$17)*Parameters!$I$8*ISNUMBER(S86)+(Parameters!$F$9=Parameters!$E$17)*Parameters!$I$9*ISNUMBER(T86)+(Parameters!$F$10=Parameters!$E$17)*Parameters!$I$10*ISNUMBER(U86)+(Parameters!$F$11=Parameters!$E$17)*Parameters!$I$11*ISNUMBER(V86)+(Parameters!$F$12=Parameters!$E$17)*Parameters!$I$12*ISNUMBER(W86)),""))</f>
        <v>1</v>
      </c>
      <c r="AC86" s="17" t="n">
        <f aca="false">Parameters!$I$5*ISNUMBER(P86)+Parameters!$I$6*ISNUMBER(Q86)+Parameters!$I$7*ISNUMBER(R86)+Parameters!$I$8*ISNUMBER(S86)+Parameters!$I$9*ISNUMBER(T86)+Parameters!$I$10*ISNUMBER(U86)+Parameters!$I$11*ISNUMBER(V86)+Parameters!$I$12*ISNUMBER(W86)</f>
        <v>85</v>
      </c>
      <c r="AD86" s="17" t="n">
        <f aca="false">Parameters!$I$5*1+Parameters!$I$6*1+Parameters!$I$7*1+Parameters!$I$8*1+Parameters!$I$9*1+Parameters!$I$10*1+Parameters!$I$11*X86+Parameters!$I$12*Y86</f>
        <v>95</v>
      </c>
      <c r="AE86" s="18" t="n">
        <f aca="false">IF(AD86=0,"",AC86/AD86)</f>
        <v>0.894736842105263</v>
      </c>
      <c r="AF86" s="17" t="str">
        <f aca="false">IF(ISNUMBER(Z86),"M","")&amp;IF(ISNUMBER(AA86),"I","")&amp;IF(ISNUMBER(AB86),"O","")</f>
        <v>MIO</v>
      </c>
      <c r="AG86" s="19" t="n">
        <f aca="false">IF(AND(ISNUMBER(AE86),ISNUMBER(Z86)+ISNUMBER(AA86)+ISNUMBER(AB86)&gt;=Parameters!$B$37),IF(AE86&gt;=Parameters!$B$35,100*(Parameters!$F$15*N(Z86)+Parameters!$F$16*N(AA86)+Parameters!$F$17*N(AB86))/(Parameters!$F$15*ISNUMBER(Z86)+Parameters!$F$16*ISNUMBER(AA86)+Parameters!$F$17*ISNUMBER(AB86)),""),"")</f>
        <v>89.6666666666667</v>
      </c>
      <c r="AH86" s="17" t="n">
        <f aca="false">IF(ISNUMBER(AG86),RANK(AG86,$AG$2:$AG$113),"")</f>
        <v>30</v>
      </c>
    </row>
    <row r="87" customFormat="false" ht="15" hidden="false" customHeight="false" outlineLevel="0" collapsed="false">
      <c r="A87" s="5" t="s">
        <v>413</v>
      </c>
      <c r="B87" s="5" t="s">
        <v>414</v>
      </c>
      <c r="C87" s="5" t="s">
        <v>160</v>
      </c>
      <c r="D87" s="5" t="s">
        <v>31</v>
      </c>
      <c r="E87" s="5" t="s">
        <v>44</v>
      </c>
      <c r="F87" s="5" t="s">
        <v>265</v>
      </c>
      <c r="G87" s="15"/>
      <c r="H87" s="8"/>
      <c r="I87" s="5" t="s">
        <v>57</v>
      </c>
      <c r="J87" s="5" t="s">
        <v>74</v>
      </c>
      <c r="K87" s="15"/>
      <c r="L87" s="5" t="s">
        <v>87</v>
      </c>
      <c r="M87" s="5" t="s">
        <v>157</v>
      </c>
      <c r="N87" s="5"/>
      <c r="O87" s="5"/>
      <c r="P87" s="16" t="n">
        <f aca="false">IFERROR(IF(ISNUMBER(INDEX(Parameters!$B$5:$B$23,MATCH(D87,Parameters!$A$5:$A$23,0))),INDEX(Parameters!$B$5:$B$23,MATCH(D87,Parameters!$A$5:$A$23,0)),""),"")</f>
        <v>1</v>
      </c>
      <c r="Q87" s="16" t="n">
        <f aca="false">IFERROR(IF(ISNUMBER(INDEX(Parameters!$B$5:$B$23,MATCH(E87,Parameters!$A$5:$A$23,0))),INDEX(Parameters!$B$5:$B$23,MATCH(E87,Parameters!$A$5:$A$23,0)),""),"")</f>
        <v>1</v>
      </c>
      <c r="R87" s="16" t="n">
        <f aca="false">IF(F87="","",IFERROR(MIN(Parameters!$B$33,MAX(0,Parameters!$B$32-VALUE(LEFT(F87,4))))/Parameters!$B$33,""))</f>
        <v>0.6</v>
      </c>
      <c r="S87" s="16" t="str">
        <f aca="false">IF(ISNUMBER(H87),H87,IF(G87="",IF(ISNUMBER(Parameters!$B$34),Parameters!$B$34,""),""))</f>
        <v/>
      </c>
      <c r="T87" s="16" t="n">
        <f aca="false">IFERROR(IF(ISNUMBER(INDEX(Parameters!$B$5:$B$23,MATCH(I87,Parameters!$A$5:$A$23,0))),INDEX(Parameters!$B$5:$B$23,MATCH(I87,Parameters!$A$5:$A$23,0)),""),"")</f>
        <v>0</v>
      </c>
      <c r="U87" s="16" t="n">
        <f aca="false">IFERROR(IF(ISNUMBER(INDEX(Parameters!$B$5:$B$23,MATCH(L87,Parameters!$A$5:$A$23,0))),INDEX(Parameters!$B$5:$B$23,MATCH(L87,Parameters!$A$5:$A$23,0)),""),"")</f>
        <v>0</v>
      </c>
      <c r="V87" s="16" t="str">
        <f aca="false">IFERROR(IF(ISNUMBER(INDEX(Parameters!$B$5:$B$23,MATCH(J87,Parameters!$A$5:$A$23,0))),INDEX(Parameters!$B$5:$B$23,MATCH(J87,Parameters!$A$5:$A$23,0)),""),"")</f>
        <v/>
      </c>
      <c r="W87" s="16" t="str">
        <f aca="false">IF(K87&lt;&gt;"",1,IF(COUNTIF(Parameters!$A$27:$A$28,J87)&gt;0,0,""))</f>
        <v/>
      </c>
      <c r="X87" s="17" t="n">
        <f aca="false">IF(J87="Not applicable",0,1)</f>
        <v>0</v>
      </c>
      <c r="Y87" s="17" t="n">
        <f aca="false">IF(OR(K87&lt;&gt;"",COUNTIF(Parameters!$A$27:$A$28,J87)&gt;0),1,0)</f>
        <v>0</v>
      </c>
      <c r="Z87"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87+(Parameters!$F$12=Parameters!$E$15)*Parameters!$I$12*Y87)=0,"",IF(AND(((Parameters!$F$5=Parameters!$E$15)*Parameters!$I$5*ISNUMBER(P87)+(Parameters!$F$6=Parameters!$E$15)*Parameters!$I$6*ISNUMBER(Q87)+(Parameters!$F$7=Parameters!$E$15)*Parameters!$I$7*ISNUMBER(R87)+(Parameters!$F$8=Parameters!$E$15)*Parameters!$I$8*ISNUMBER(S87)+(Parameters!$F$9=Parameters!$E$15)*Parameters!$I$9*ISNUMBER(T87)+(Parameters!$F$10=Parameters!$E$15)*Parameters!$I$10*ISNUMBER(U87)+(Parameters!$F$11=Parameters!$E$15)*Parameters!$I$11*ISNUMBER(V87)+(Parameters!$F$12=Parameters!$E$15)*Parameters!$I$12*ISNUMBER(W87))&gt;0,((Parameters!$F$5=Parameters!$E$15)*Parameters!$I$5*ISNUMBER(P87)+(Parameters!$F$6=Parameters!$E$15)*Parameters!$I$6*ISNUMBER(Q87)+(Parameters!$F$7=Parameters!$E$15)*Parameters!$I$7*ISNUMBER(R87)+(Parameters!$F$8=Parameters!$E$15)*Parameters!$I$8*ISNUMBER(S87)+(Parameters!$F$9=Parameters!$E$15)*Parameters!$I$9*ISNUMBER(T87)+(Parameters!$F$10=Parameters!$E$15)*Parameters!$I$10*ISNUMBER(U87)+(Parameters!$F$11=Parameters!$E$15)*Parameters!$I$11*ISNUMBER(V87)+(Parameters!$F$12=Parameters!$E$15)*Parameters!$I$12*ISNUMBER(W87))/((Parameters!$F$5=Parameters!$E$15)*Parameters!$I$5*1+(Parameters!$F$6=Parameters!$E$15)*Parameters!$I$6*1+(Parameters!$F$7=Parameters!$E$15)*Parameters!$I$7*1+(Parameters!$F$8=Parameters!$E$15)*Parameters!$I$8*1+(Parameters!$F$9=Parameters!$E$15)*Parameters!$I$9*1+(Parameters!$F$10=Parameters!$E$15)*Parameters!$I$10*1+(Parameters!$F$11=Parameters!$E$15)*Parameters!$I$11*X87+(Parameters!$F$12=Parameters!$E$15)*Parameters!$I$12*Y87)&gt;=Parameters!$B$36),((Parameters!$F$5=Parameters!$E$15)*Parameters!$I$5*N(P87)+(Parameters!$F$6=Parameters!$E$15)*Parameters!$I$6*N(Q87)+(Parameters!$F$7=Parameters!$E$15)*Parameters!$I$7*N(R87)+(Parameters!$F$8=Parameters!$E$15)*Parameters!$I$8*N(S87)+(Parameters!$F$9=Parameters!$E$15)*Parameters!$I$9*N(T87)+(Parameters!$F$10=Parameters!$E$15)*Parameters!$I$10*N(U87)+(Parameters!$F$11=Parameters!$E$15)*Parameters!$I$11*N(V87)+(Parameters!$F$12=Parameters!$E$15)*Parameters!$I$12*N(W87))/((Parameters!$F$5=Parameters!$E$15)*Parameters!$I$5*ISNUMBER(P87)+(Parameters!$F$6=Parameters!$E$15)*Parameters!$I$6*ISNUMBER(Q87)+(Parameters!$F$7=Parameters!$E$15)*Parameters!$I$7*ISNUMBER(R87)+(Parameters!$F$8=Parameters!$E$15)*Parameters!$I$8*ISNUMBER(S87)+(Parameters!$F$9=Parameters!$E$15)*Parameters!$I$9*ISNUMBER(T87)+(Parameters!$F$10=Parameters!$E$15)*Parameters!$I$10*ISNUMBER(U87)+(Parameters!$F$11=Parameters!$E$15)*Parameters!$I$11*ISNUMBER(V87)+(Parameters!$F$12=Parameters!$E$15)*Parameters!$I$12*ISNUMBER(W87)),""))</f>
        <v>0.96</v>
      </c>
      <c r="AA87"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87+(Parameters!$F$12=Parameters!$E$16)*Parameters!$I$12*Y87)=0,"",IF(AND(((Parameters!$F$5=Parameters!$E$16)*Parameters!$I$5*ISNUMBER(P87)+(Parameters!$F$6=Parameters!$E$16)*Parameters!$I$6*ISNUMBER(Q87)+(Parameters!$F$7=Parameters!$E$16)*Parameters!$I$7*ISNUMBER(R87)+(Parameters!$F$8=Parameters!$E$16)*Parameters!$I$8*ISNUMBER(S87)+(Parameters!$F$9=Parameters!$E$16)*Parameters!$I$9*ISNUMBER(T87)+(Parameters!$F$10=Parameters!$E$16)*Parameters!$I$10*ISNUMBER(U87)+(Parameters!$F$11=Parameters!$E$16)*Parameters!$I$11*ISNUMBER(V87)+(Parameters!$F$12=Parameters!$E$16)*Parameters!$I$12*ISNUMBER(W87))&gt;0,((Parameters!$F$5=Parameters!$E$16)*Parameters!$I$5*ISNUMBER(P87)+(Parameters!$F$6=Parameters!$E$16)*Parameters!$I$6*ISNUMBER(Q87)+(Parameters!$F$7=Parameters!$E$16)*Parameters!$I$7*ISNUMBER(R87)+(Parameters!$F$8=Parameters!$E$16)*Parameters!$I$8*ISNUMBER(S87)+(Parameters!$F$9=Parameters!$E$16)*Parameters!$I$9*ISNUMBER(T87)+(Parameters!$F$10=Parameters!$E$16)*Parameters!$I$10*ISNUMBER(U87)+(Parameters!$F$11=Parameters!$E$16)*Parameters!$I$11*ISNUMBER(V87)+(Parameters!$F$12=Parameters!$E$16)*Parameters!$I$12*ISNUMBER(W87))/((Parameters!$F$5=Parameters!$E$16)*Parameters!$I$5*1+(Parameters!$F$6=Parameters!$E$16)*Parameters!$I$6*1+(Parameters!$F$7=Parameters!$E$16)*Parameters!$I$7*1+(Parameters!$F$8=Parameters!$E$16)*Parameters!$I$8*1+(Parameters!$F$9=Parameters!$E$16)*Parameters!$I$9*1+(Parameters!$F$10=Parameters!$E$16)*Parameters!$I$10*1+(Parameters!$F$11=Parameters!$E$16)*Parameters!$I$11*X87+(Parameters!$F$12=Parameters!$E$16)*Parameters!$I$12*Y87)&gt;=Parameters!$B$36),((Parameters!$F$5=Parameters!$E$16)*Parameters!$I$5*N(P87)+(Parameters!$F$6=Parameters!$E$16)*Parameters!$I$6*N(Q87)+(Parameters!$F$7=Parameters!$E$16)*Parameters!$I$7*N(R87)+(Parameters!$F$8=Parameters!$E$16)*Parameters!$I$8*N(S87)+(Parameters!$F$9=Parameters!$E$16)*Parameters!$I$9*N(T87)+(Parameters!$F$10=Parameters!$E$16)*Parameters!$I$10*N(U87)+(Parameters!$F$11=Parameters!$E$16)*Parameters!$I$11*N(V87)+(Parameters!$F$12=Parameters!$E$16)*Parameters!$I$12*N(W87))/((Parameters!$F$5=Parameters!$E$16)*Parameters!$I$5*ISNUMBER(P87)+(Parameters!$F$6=Parameters!$E$16)*Parameters!$I$6*ISNUMBER(Q87)+(Parameters!$F$7=Parameters!$E$16)*Parameters!$I$7*ISNUMBER(R87)+(Parameters!$F$8=Parameters!$E$16)*Parameters!$I$8*ISNUMBER(S87)+(Parameters!$F$9=Parameters!$E$16)*Parameters!$I$9*ISNUMBER(T87)+(Parameters!$F$10=Parameters!$E$16)*Parameters!$I$10*ISNUMBER(U87)+(Parameters!$F$11=Parameters!$E$16)*Parameters!$I$11*ISNUMBER(V87)+(Parameters!$F$12=Parameters!$E$16)*Parameters!$I$12*ISNUMBER(W87)),""))</f>
        <v>0</v>
      </c>
      <c r="AB87"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87+(Parameters!$F$12=Parameters!$E$17)*Parameters!$I$12*Y87)=0,"",IF(AND(((Parameters!$F$5=Parameters!$E$17)*Parameters!$I$5*ISNUMBER(P87)+(Parameters!$F$6=Parameters!$E$17)*Parameters!$I$6*ISNUMBER(Q87)+(Parameters!$F$7=Parameters!$E$17)*Parameters!$I$7*ISNUMBER(R87)+(Parameters!$F$8=Parameters!$E$17)*Parameters!$I$8*ISNUMBER(S87)+(Parameters!$F$9=Parameters!$E$17)*Parameters!$I$9*ISNUMBER(T87)+(Parameters!$F$10=Parameters!$E$17)*Parameters!$I$10*ISNUMBER(U87)+(Parameters!$F$11=Parameters!$E$17)*Parameters!$I$11*ISNUMBER(V87)+(Parameters!$F$12=Parameters!$E$17)*Parameters!$I$12*ISNUMBER(W87))&gt;0,((Parameters!$F$5=Parameters!$E$17)*Parameters!$I$5*ISNUMBER(P87)+(Parameters!$F$6=Parameters!$E$17)*Parameters!$I$6*ISNUMBER(Q87)+(Parameters!$F$7=Parameters!$E$17)*Parameters!$I$7*ISNUMBER(R87)+(Parameters!$F$8=Parameters!$E$17)*Parameters!$I$8*ISNUMBER(S87)+(Parameters!$F$9=Parameters!$E$17)*Parameters!$I$9*ISNUMBER(T87)+(Parameters!$F$10=Parameters!$E$17)*Parameters!$I$10*ISNUMBER(U87)+(Parameters!$F$11=Parameters!$E$17)*Parameters!$I$11*ISNUMBER(V87)+(Parameters!$F$12=Parameters!$E$17)*Parameters!$I$12*ISNUMBER(W87))/((Parameters!$F$5=Parameters!$E$17)*Parameters!$I$5*1+(Parameters!$F$6=Parameters!$E$17)*Parameters!$I$6*1+(Parameters!$F$7=Parameters!$E$17)*Parameters!$I$7*1+(Parameters!$F$8=Parameters!$E$17)*Parameters!$I$8*1+(Parameters!$F$9=Parameters!$E$17)*Parameters!$I$9*1+(Parameters!$F$10=Parameters!$E$17)*Parameters!$I$10*1+(Parameters!$F$11=Parameters!$E$17)*Parameters!$I$11*X87+(Parameters!$F$12=Parameters!$E$17)*Parameters!$I$12*Y87)&gt;=Parameters!$B$36),((Parameters!$F$5=Parameters!$E$17)*Parameters!$I$5*N(P87)+(Parameters!$F$6=Parameters!$E$17)*Parameters!$I$6*N(Q87)+(Parameters!$F$7=Parameters!$E$17)*Parameters!$I$7*N(R87)+(Parameters!$F$8=Parameters!$E$17)*Parameters!$I$8*N(S87)+(Parameters!$F$9=Parameters!$E$17)*Parameters!$I$9*N(T87)+(Parameters!$F$10=Parameters!$E$17)*Parameters!$I$10*N(U87)+(Parameters!$F$11=Parameters!$E$17)*Parameters!$I$11*N(V87)+(Parameters!$F$12=Parameters!$E$17)*Parameters!$I$12*N(W87))/((Parameters!$F$5=Parameters!$E$17)*Parameters!$I$5*ISNUMBER(P87)+(Parameters!$F$6=Parameters!$E$17)*Parameters!$I$6*ISNUMBER(Q87)+(Parameters!$F$7=Parameters!$E$17)*Parameters!$I$7*ISNUMBER(R87)+(Parameters!$F$8=Parameters!$E$17)*Parameters!$I$8*ISNUMBER(S87)+(Parameters!$F$9=Parameters!$E$17)*Parameters!$I$9*ISNUMBER(T87)+(Parameters!$F$10=Parameters!$E$17)*Parameters!$I$10*ISNUMBER(U87)+(Parameters!$F$11=Parameters!$E$17)*Parameters!$I$11*ISNUMBER(V87)+(Parameters!$F$12=Parameters!$E$17)*Parameters!$I$12*ISNUMBER(W87)),""))</f>
        <v/>
      </c>
      <c r="AC87" s="17" t="n">
        <f aca="false">Parameters!$I$5*ISNUMBER(P87)+Parameters!$I$6*ISNUMBER(Q87)+Parameters!$I$7*ISNUMBER(R87)+Parameters!$I$8*ISNUMBER(S87)+Parameters!$I$9*ISNUMBER(T87)+Parameters!$I$10*ISNUMBER(U87)+Parameters!$I$11*ISNUMBER(V87)+Parameters!$I$12*ISNUMBER(W87)</f>
        <v>65</v>
      </c>
      <c r="AD87" s="17" t="n">
        <f aca="false">Parameters!$I$5*1+Parameters!$I$6*1+Parameters!$I$7*1+Parameters!$I$8*1+Parameters!$I$9*1+Parameters!$I$10*1+Parameters!$I$11*X87+Parameters!$I$12*Y87</f>
        <v>75</v>
      </c>
      <c r="AE87" s="18" t="n">
        <f aca="false">IF(AD87=0,"",AC87/AD87)</f>
        <v>0.866666666666667</v>
      </c>
      <c r="AF87" s="17" t="str">
        <f aca="false">IF(ISNUMBER(Z87),"M","")&amp;IF(ISNUMBER(AA87),"I","")&amp;IF(ISNUMBER(AB87),"O","")</f>
        <v>MI</v>
      </c>
      <c r="AG87" s="19" t="n">
        <f aca="false">IF(AND(ISNUMBER(AE87),ISNUMBER(Z87)+ISNUMBER(AA87)+ISNUMBER(AB87)&gt;=Parameters!$B$37),IF(AE87&gt;=Parameters!$B$35,100*(Parameters!$F$15*N(Z87)+Parameters!$F$16*N(AA87)+Parameters!$F$17*N(AB87))/(Parameters!$F$15*ISNUMBER(Z87)+Parameters!$F$16*ISNUMBER(AA87)+Parameters!$F$17*ISNUMBER(AB87)),""),"")</f>
        <v>60</v>
      </c>
      <c r="AH87" s="17" t="n">
        <f aca="false">IF(ISNUMBER(AG87),RANK(AG87,$AG$2:$AG$113),"")</f>
        <v>106</v>
      </c>
    </row>
    <row r="88" customFormat="false" ht="15" hidden="false" customHeight="false" outlineLevel="0" collapsed="false">
      <c r="A88" s="5" t="s">
        <v>415</v>
      </c>
      <c r="B88" s="5" t="s">
        <v>416</v>
      </c>
      <c r="C88" s="5" t="s">
        <v>417</v>
      </c>
      <c r="D88" s="5" t="s">
        <v>31</v>
      </c>
      <c r="E88" s="5" t="s">
        <v>44</v>
      </c>
      <c r="F88" s="5" t="s">
        <v>418</v>
      </c>
      <c r="G88" s="15"/>
      <c r="H88" s="8"/>
      <c r="I88" s="5" t="s">
        <v>57</v>
      </c>
      <c r="J88" s="5" t="s">
        <v>74</v>
      </c>
      <c r="K88" s="15"/>
      <c r="L88" s="5" t="s">
        <v>76</v>
      </c>
      <c r="M88" s="5" t="s">
        <v>136</v>
      </c>
      <c r="N88" s="5"/>
      <c r="O88" s="5"/>
      <c r="P88" s="16" t="n">
        <f aca="false">IFERROR(IF(ISNUMBER(INDEX(Parameters!$B$5:$B$23,MATCH(D88,Parameters!$A$5:$A$23,0))),INDEX(Parameters!$B$5:$B$23,MATCH(D88,Parameters!$A$5:$A$23,0)),""),"")</f>
        <v>1</v>
      </c>
      <c r="Q88" s="16" t="n">
        <f aca="false">IFERROR(IF(ISNUMBER(INDEX(Parameters!$B$5:$B$23,MATCH(E88,Parameters!$A$5:$A$23,0))),INDEX(Parameters!$B$5:$B$23,MATCH(E88,Parameters!$A$5:$A$23,0)),""),"")</f>
        <v>1</v>
      </c>
      <c r="R88" s="16" t="n">
        <f aca="false">IF(F88="","",IFERROR(MIN(Parameters!$B$33,MAX(0,Parameters!$B$32-VALUE(LEFT(F88,4))))/Parameters!$B$33,""))</f>
        <v>0.666666666666667</v>
      </c>
      <c r="S88" s="16" t="str">
        <f aca="false">IF(ISNUMBER(H88),H88,IF(G88="",IF(ISNUMBER(Parameters!$B$34),Parameters!$B$34,""),""))</f>
        <v/>
      </c>
      <c r="T88" s="16" t="n">
        <f aca="false">IFERROR(IF(ISNUMBER(INDEX(Parameters!$B$5:$B$23,MATCH(I88,Parameters!$A$5:$A$23,0))),INDEX(Parameters!$B$5:$B$23,MATCH(I88,Parameters!$A$5:$A$23,0)),""),"")</f>
        <v>0</v>
      </c>
      <c r="U88" s="16" t="n">
        <f aca="false">IFERROR(IF(ISNUMBER(INDEX(Parameters!$B$5:$B$23,MATCH(L88,Parameters!$A$5:$A$23,0))),INDEX(Parameters!$B$5:$B$23,MATCH(L88,Parameters!$A$5:$A$23,0)),""),"")</f>
        <v>1</v>
      </c>
      <c r="V88" s="16" t="str">
        <f aca="false">IFERROR(IF(ISNUMBER(INDEX(Parameters!$B$5:$B$23,MATCH(J88,Parameters!$A$5:$A$23,0))),INDEX(Parameters!$B$5:$B$23,MATCH(J88,Parameters!$A$5:$A$23,0)),""),"")</f>
        <v/>
      </c>
      <c r="W88" s="16" t="str">
        <f aca="false">IF(K88&lt;&gt;"",1,IF(COUNTIF(Parameters!$A$27:$A$28,J88)&gt;0,0,""))</f>
        <v/>
      </c>
      <c r="X88" s="17" t="n">
        <f aca="false">IF(J88="Not applicable",0,1)</f>
        <v>0</v>
      </c>
      <c r="Y88" s="17" t="n">
        <f aca="false">IF(OR(K88&lt;&gt;"",COUNTIF(Parameters!$A$27:$A$28,J88)&gt;0),1,0)</f>
        <v>0</v>
      </c>
      <c r="Z88"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88+(Parameters!$F$12=Parameters!$E$15)*Parameters!$I$12*Y88)=0,"",IF(AND(((Parameters!$F$5=Parameters!$E$15)*Parameters!$I$5*ISNUMBER(P88)+(Parameters!$F$6=Parameters!$E$15)*Parameters!$I$6*ISNUMBER(Q88)+(Parameters!$F$7=Parameters!$E$15)*Parameters!$I$7*ISNUMBER(R88)+(Parameters!$F$8=Parameters!$E$15)*Parameters!$I$8*ISNUMBER(S88)+(Parameters!$F$9=Parameters!$E$15)*Parameters!$I$9*ISNUMBER(T88)+(Parameters!$F$10=Parameters!$E$15)*Parameters!$I$10*ISNUMBER(U88)+(Parameters!$F$11=Parameters!$E$15)*Parameters!$I$11*ISNUMBER(V88)+(Parameters!$F$12=Parameters!$E$15)*Parameters!$I$12*ISNUMBER(W88))&gt;0,((Parameters!$F$5=Parameters!$E$15)*Parameters!$I$5*ISNUMBER(P88)+(Parameters!$F$6=Parameters!$E$15)*Parameters!$I$6*ISNUMBER(Q88)+(Parameters!$F$7=Parameters!$E$15)*Parameters!$I$7*ISNUMBER(R88)+(Parameters!$F$8=Parameters!$E$15)*Parameters!$I$8*ISNUMBER(S88)+(Parameters!$F$9=Parameters!$E$15)*Parameters!$I$9*ISNUMBER(T88)+(Parameters!$F$10=Parameters!$E$15)*Parameters!$I$10*ISNUMBER(U88)+(Parameters!$F$11=Parameters!$E$15)*Parameters!$I$11*ISNUMBER(V88)+(Parameters!$F$12=Parameters!$E$15)*Parameters!$I$12*ISNUMBER(W88))/((Parameters!$F$5=Parameters!$E$15)*Parameters!$I$5*1+(Parameters!$F$6=Parameters!$E$15)*Parameters!$I$6*1+(Parameters!$F$7=Parameters!$E$15)*Parameters!$I$7*1+(Parameters!$F$8=Parameters!$E$15)*Parameters!$I$8*1+(Parameters!$F$9=Parameters!$E$15)*Parameters!$I$9*1+(Parameters!$F$10=Parameters!$E$15)*Parameters!$I$10*1+(Parameters!$F$11=Parameters!$E$15)*Parameters!$I$11*X88+(Parameters!$F$12=Parameters!$E$15)*Parameters!$I$12*Y88)&gt;=Parameters!$B$36),((Parameters!$F$5=Parameters!$E$15)*Parameters!$I$5*N(P88)+(Parameters!$F$6=Parameters!$E$15)*Parameters!$I$6*N(Q88)+(Parameters!$F$7=Parameters!$E$15)*Parameters!$I$7*N(R88)+(Parameters!$F$8=Parameters!$E$15)*Parameters!$I$8*N(S88)+(Parameters!$F$9=Parameters!$E$15)*Parameters!$I$9*N(T88)+(Parameters!$F$10=Parameters!$E$15)*Parameters!$I$10*N(U88)+(Parameters!$F$11=Parameters!$E$15)*Parameters!$I$11*N(V88)+(Parameters!$F$12=Parameters!$E$15)*Parameters!$I$12*N(W88))/((Parameters!$F$5=Parameters!$E$15)*Parameters!$I$5*ISNUMBER(P88)+(Parameters!$F$6=Parameters!$E$15)*Parameters!$I$6*ISNUMBER(Q88)+(Parameters!$F$7=Parameters!$E$15)*Parameters!$I$7*ISNUMBER(R88)+(Parameters!$F$8=Parameters!$E$15)*Parameters!$I$8*ISNUMBER(S88)+(Parameters!$F$9=Parameters!$E$15)*Parameters!$I$9*ISNUMBER(T88)+(Parameters!$F$10=Parameters!$E$15)*Parameters!$I$10*ISNUMBER(U88)+(Parameters!$F$11=Parameters!$E$15)*Parameters!$I$11*ISNUMBER(V88)+(Parameters!$F$12=Parameters!$E$15)*Parameters!$I$12*ISNUMBER(W88)),""))</f>
        <v>0.966666666666667</v>
      </c>
      <c r="AA88"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88+(Parameters!$F$12=Parameters!$E$16)*Parameters!$I$12*Y88)=0,"",IF(AND(((Parameters!$F$5=Parameters!$E$16)*Parameters!$I$5*ISNUMBER(P88)+(Parameters!$F$6=Parameters!$E$16)*Parameters!$I$6*ISNUMBER(Q88)+(Parameters!$F$7=Parameters!$E$16)*Parameters!$I$7*ISNUMBER(R88)+(Parameters!$F$8=Parameters!$E$16)*Parameters!$I$8*ISNUMBER(S88)+(Parameters!$F$9=Parameters!$E$16)*Parameters!$I$9*ISNUMBER(T88)+(Parameters!$F$10=Parameters!$E$16)*Parameters!$I$10*ISNUMBER(U88)+(Parameters!$F$11=Parameters!$E$16)*Parameters!$I$11*ISNUMBER(V88)+(Parameters!$F$12=Parameters!$E$16)*Parameters!$I$12*ISNUMBER(W88))&gt;0,((Parameters!$F$5=Parameters!$E$16)*Parameters!$I$5*ISNUMBER(P88)+(Parameters!$F$6=Parameters!$E$16)*Parameters!$I$6*ISNUMBER(Q88)+(Parameters!$F$7=Parameters!$E$16)*Parameters!$I$7*ISNUMBER(R88)+(Parameters!$F$8=Parameters!$E$16)*Parameters!$I$8*ISNUMBER(S88)+(Parameters!$F$9=Parameters!$E$16)*Parameters!$I$9*ISNUMBER(T88)+(Parameters!$F$10=Parameters!$E$16)*Parameters!$I$10*ISNUMBER(U88)+(Parameters!$F$11=Parameters!$E$16)*Parameters!$I$11*ISNUMBER(V88)+(Parameters!$F$12=Parameters!$E$16)*Parameters!$I$12*ISNUMBER(W88))/((Parameters!$F$5=Parameters!$E$16)*Parameters!$I$5*1+(Parameters!$F$6=Parameters!$E$16)*Parameters!$I$6*1+(Parameters!$F$7=Parameters!$E$16)*Parameters!$I$7*1+(Parameters!$F$8=Parameters!$E$16)*Parameters!$I$8*1+(Parameters!$F$9=Parameters!$E$16)*Parameters!$I$9*1+(Parameters!$F$10=Parameters!$E$16)*Parameters!$I$10*1+(Parameters!$F$11=Parameters!$E$16)*Parameters!$I$11*X88+(Parameters!$F$12=Parameters!$E$16)*Parameters!$I$12*Y88)&gt;=Parameters!$B$36),((Parameters!$F$5=Parameters!$E$16)*Parameters!$I$5*N(P88)+(Parameters!$F$6=Parameters!$E$16)*Parameters!$I$6*N(Q88)+(Parameters!$F$7=Parameters!$E$16)*Parameters!$I$7*N(R88)+(Parameters!$F$8=Parameters!$E$16)*Parameters!$I$8*N(S88)+(Parameters!$F$9=Parameters!$E$16)*Parameters!$I$9*N(T88)+(Parameters!$F$10=Parameters!$E$16)*Parameters!$I$10*N(U88)+(Parameters!$F$11=Parameters!$E$16)*Parameters!$I$11*N(V88)+(Parameters!$F$12=Parameters!$E$16)*Parameters!$I$12*N(W88))/((Parameters!$F$5=Parameters!$E$16)*Parameters!$I$5*ISNUMBER(P88)+(Parameters!$F$6=Parameters!$E$16)*Parameters!$I$6*ISNUMBER(Q88)+(Parameters!$F$7=Parameters!$E$16)*Parameters!$I$7*ISNUMBER(R88)+(Parameters!$F$8=Parameters!$E$16)*Parameters!$I$8*ISNUMBER(S88)+(Parameters!$F$9=Parameters!$E$16)*Parameters!$I$9*ISNUMBER(T88)+(Parameters!$F$10=Parameters!$E$16)*Parameters!$I$10*ISNUMBER(U88)+(Parameters!$F$11=Parameters!$E$16)*Parameters!$I$11*ISNUMBER(V88)+(Parameters!$F$12=Parameters!$E$16)*Parameters!$I$12*ISNUMBER(W88)),""))</f>
        <v>0.666666666666667</v>
      </c>
      <c r="AB88"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88+(Parameters!$F$12=Parameters!$E$17)*Parameters!$I$12*Y88)=0,"",IF(AND(((Parameters!$F$5=Parameters!$E$17)*Parameters!$I$5*ISNUMBER(P88)+(Parameters!$F$6=Parameters!$E$17)*Parameters!$I$6*ISNUMBER(Q88)+(Parameters!$F$7=Parameters!$E$17)*Parameters!$I$7*ISNUMBER(R88)+(Parameters!$F$8=Parameters!$E$17)*Parameters!$I$8*ISNUMBER(S88)+(Parameters!$F$9=Parameters!$E$17)*Parameters!$I$9*ISNUMBER(T88)+(Parameters!$F$10=Parameters!$E$17)*Parameters!$I$10*ISNUMBER(U88)+(Parameters!$F$11=Parameters!$E$17)*Parameters!$I$11*ISNUMBER(V88)+(Parameters!$F$12=Parameters!$E$17)*Parameters!$I$12*ISNUMBER(W88))&gt;0,((Parameters!$F$5=Parameters!$E$17)*Parameters!$I$5*ISNUMBER(P88)+(Parameters!$F$6=Parameters!$E$17)*Parameters!$I$6*ISNUMBER(Q88)+(Parameters!$F$7=Parameters!$E$17)*Parameters!$I$7*ISNUMBER(R88)+(Parameters!$F$8=Parameters!$E$17)*Parameters!$I$8*ISNUMBER(S88)+(Parameters!$F$9=Parameters!$E$17)*Parameters!$I$9*ISNUMBER(T88)+(Parameters!$F$10=Parameters!$E$17)*Parameters!$I$10*ISNUMBER(U88)+(Parameters!$F$11=Parameters!$E$17)*Parameters!$I$11*ISNUMBER(V88)+(Parameters!$F$12=Parameters!$E$17)*Parameters!$I$12*ISNUMBER(W88))/((Parameters!$F$5=Parameters!$E$17)*Parameters!$I$5*1+(Parameters!$F$6=Parameters!$E$17)*Parameters!$I$6*1+(Parameters!$F$7=Parameters!$E$17)*Parameters!$I$7*1+(Parameters!$F$8=Parameters!$E$17)*Parameters!$I$8*1+(Parameters!$F$9=Parameters!$E$17)*Parameters!$I$9*1+(Parameters!$F$10=Parameters!$E$17)*Parameters!$I$10*1+(Parameters!$F$11=Parameters!$E$17)*Parameters!$I$11*X88+(Parameters!$F$12=Parameters!$E$17)*Parameters!$I$12*Y88)&gt;=Parameters!$B$36),((Parameters!$F$5=Parameters!$E$17)*Parameters!$I$5*N(P88)+(Parameters!$F$6=Parameters!$E$17)*Parameters!$I$6*N(Q88)+(Parameters!$F$7=Parameters!$E$17)*Parameters!$I$7*N(R88)+(Parameters!$F$8=Parameters!$E$17)*Parameters!$I$8*N(S88)+(Parameters!$F$9=Parameters!$E$17)*Parameters!$I$9*N(T88)+(Parameters!$F$10=Parameters!$E$17)*Parameters!$I$10*N(U88)+(Parameters!$F$11=Parameters!$E$17)*Parameters!$I$11*N(V88)+(Parameters!$F$12=Parameters!$E$17)*Parameters!$I$12*N(W88))/((Parameters!$F$5=Parameters!$E$17)*Parameters!$I$5*ISNUMBER(P88)+(Parameters!$F$6=Parameters!$E$17)*Parameters!$I$6*ISNUMBER(Q88)+(Parameters!$F$7=Parameters!$E$17)*Parameters!$I$7*ISNUMBER(R88)+(Parameters!$F$8=Parameters!$E$17)*Parameters!$I$8*ISNUMBER(S88)+(Parameters!$F$9=Parameters!$E$17)*Parameters!$I$9*ISNUMBER(T88)+(Parameters!$F$10=Parameters!$E$17)*Parameters!$I$10*ISNUMBER(U88)+(Parameters!$F$11=Parameters!$E$17)*Parameters!$I$11*ISNUMBER(V88)+(Parameters!$F$12=Parameters!$E$17)*Parameters!$I$12*ISNUMBER(W88)),""))</f>
        <v/>
      </c>
      <c r="AC88" s="17" t="n">
        <f aca="false">Parameters!$I$5*ISNUMBER(P88)+Parameters!$I$6*ISNUMBER(Q88)+Parameters!$I$7*ISNUMBER(R88)+Parameters!$I$8*ISNUMBER(S88)+Parameters!$I$9*ISNUMBER(T88)+Parameters!$I$10*ISNUMBER(U88)+Parameters!$I$11*ISNUMBER(V88)+Parameters!$I$12*ISNUMBER(W88)</f>
        <v>65</v>
      </c>
      <c r="AD88" s="17" t="n">
        <f aca="false">Parameters!$I$5*1+Parameters!$I$6*1+Parameters!$I$7*1+Parameters!$I$8*1+Parameters!$I$9*1+Parameters!$I$10*1+Parameters!$I$11*X88+Parameters!$I$12*Y88</f>
        <v>75</v>
      </c>
      <c r="AE88" s="18" t="n">
        <f aca="false">IF(AD88=0,"",AC88/AD88)</f>
        <v>0.866666666666667</v>
      </c>
      <c r="AF88" s="17" t="str">
        <f aca="false">IF(ISNUMBER(Z88),"M","")&amp;IF(ISNUMBER(AA88),"I","")&amp;IF(ISNUMBER(AB88),"O","")</f>
        <v>MI</v>
      </c>
      <c r="AG88" s="19" t="n">
        <f aca="false">IF(AND(ISNUMBER(AE88),ISNUMBER(Z88)+ISNUMBER(AA88)+ISNUMBER(AB88)&gt;=Parameters!$B$37),IF(AE88&gt;=Parameters!$B$35,100*(Parameters!$F$15*N(Z88)+Parameters!$F$16*N(AA88)+Parameters!$F$17*N(AB88))/(Parameters!$F$15*ISNUMBER(Z88)+Parameters!$F$16*ISNUMBER(AA88)+Parameters!$F$17*ISNUMBER(AB88)),""),"")</f>
        <v>85.4166666666667</v>
      </c>
      <c r="AH88" s="17" t="n">
        <f aca="false">IF(ISNUMBER(AG88),RANK(AG88,$AG$2:$AG$113),"")</f>
        <v>59</v>
      </c>
    </row>
    <row r="89" customFormat="false" ht="15" hidden="false" customHeight="false" outlineLevel="0" collapsed="false">
      <c r="A89" s="5" t="s">
        <v>419</v>
      </c>
      <c r="B89" s="5" t="s">
        <v>401</v>
      </c>
      <c r="C89" s="5" t="s">
        <v>138</v>
      </c>
      <c r="D89" s="5" t="s">
        <v>31</v>
      </c>
      <c r="E89" s="5" t="s">
        <v>44</v>
      </c>
      <c r="F89" s="5" t="s">
        <v>139</v>
      </c>
      <c r="G89" s="15" t="s">
        <v>420</v>
      </c>
      <c r="H89" s="8" t="n">
        <v>1</v>
      </c>
      <c r="I89" s="5" t="s">
        <v>53</v>
      </c>
      <c r="J89" s="5" t="s">
        <v>74</v>
      </c>
      <c r="K89" s="15"/>
      <c r="L89" s="5" t="s">
        <v>79</v>
      </c>
      <c r="M89" s="5" t="s">
        <v>141</v>
      </c>
      <c r="N89" s="5" t="s">
        <v>168</v>
      </c>
      <c r="O89" s="5"/>
      <c r="P89" s="16" t="n">
        <f aca="false">IFERROR(IF(ISNUMBER(INDEX(Parameters!$B$5:$B$23,MATCH(D89,Parameters!$A$5:$A$23,0))),INDEX(Parameters!$B$5:$B$23,MATCH(D89,Parameters!$A$5:$A$23,0)),""),"")</f>
        <v>1</v>
      </c>
      <c r="Q89" s="16" t="n">
        <f aca="false">IFERROR(IF(ISNUMBER(INDEX(Parameters!$B$5:$B$23,MATCH(E89,Parameters!$A$5:$A$23,0))),INDEX(Parameters!$B$5:$B$23,MATCH(E89,Parameters!$A$5:$A$23,0)),""),"")</f>
        <v>1</v>
      </c>
      <c r="R89" s="16" t="n">
        <f aca="false">IF(F89="","",IFERROR(MIN(Parameters!$B$33,MAX(0,Parameters!$B$32-VALUE(LEFT(F89,4))))/Parameters!$B$33,""))</f>
        <v>0.8</v>
      </c>
      <c r="S89" s="16" t="n">
        <f aca="false">IF(ISNUMBER(H89),H89,IF(G89="",IF(ISNUMBER(Parameters!$B$34),Parameters!$B$34,""),""))</f>
        <v>1</v>
      </c>
      <c r="T89" s="16" t="n">
        <f aca="false">IFERROR(IF(ISNUMBER(INDEX(Parameters!$B$5:$B$23,MATCH(I89,Parameters!$A$5:$A$23,0))),INDEX(Parameters!$B$5:$B$23,MATCH(I89,Parameters!$A$5:$A$23,0)),""),"")</f>
        <v>1</v>
      </c>
      <c r="U89" s="16" t="n">
        <f aca="false">IFERROR(IF(ISNUMBER(INDEX(Parameters!$B$5:$B$23,MATCH(L89,Parameters!$A$5:$A$23,0))),INDEX(Parameters!$B$5:$B$23,MATCH(L89,Parameters!$A$5:$A$23,0)),""),"")</f>
        <v>1</v>
      </c>
      <c r="V89" s="16" t="str">
        <f aca="false">IFERROR(IF(ISNUMBER(INDEX(Parameters!$B$5:$B$23,MATCH(J89,Parameters!$A$5:$A$23,0))),INDEX(Parameters!$B$5:$B$23,MATCH(J89,Parameters!$A$5:$A$23,0)),""),"")</f>
        <v/>
      </c>
      <c r="W89" s="16" t="str">
        <f aca="false">IF(K89&lt;&gt;"",1,IF(COUNTIF(Parameters!$A$27:$A$28,J89)&gt;0,0,""))</f>
        <v/>
      </c>
      <c r="X89" s="17" t="n">
        <f aca="false">IF(J89="Not applicable",0,1)</f>
        <v>0</v>
      </c>
      <c r="Y89" s="17" t="n">
        <f aca="false">IF(OR(K89&lt;&gt;"",COUNTIF(Parameters!$A$27:$A$28,J89)&gt;0),1,0)</f>
        <v>0</v>
      </c>
      <c r="Z89"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89+(Parameters!$F$12=Parameters!$E$15)*Parameters!$I$12*Y89)=0,"",IF(AND(((Parameters!$F$5=Parameters!$E$15)*Parameters!$I$5*ISNUMBER(P89)+(Parameters!$F$6=Parameters!$E$15)*Parameters!$I$6*ISNUMBER(Q89)+(Parameters!$F$7=Parameters!$E$15)*Parameters!$I$7*ISNUMBER(R89)+(Parameters!$F$8=Parameters!$E$15)*Parameters!$I$8*ISNUMBER(S89)+(Parameters!$F$9=Parameters!$E$15)*Parameters!$I$9*ISNUMBER(T89)+(Parameters!$F$10=Parameters!$E$15)*Parameters!$I$10*ISNUMBER(U89)+(Parameters!$F$11=Parameters!$E$15)*Parameters!$I$11*ISNUMBER(V89)+(Parameters!$F$12=Parameters!$E$15)*Parameters!$I$12*ISNUMBER(W89))&gt;0,((Parameters!$F$5=Parameters!$E$15)*Parameters!$I$5*ISNUMBER(P89)+(Parameters!$F$6=Parameters!$E$15)*Parameters!$I$6*ISNUMBER(Q89)+(Parameters!$F$7=Parameters!$E$15)*Parameters!$I$7*ISNUMBER(R89)+(Parameters!$F$8=Parameters!$E$15)*Parameters!$I$8*ISNUMBER(S89)+(Parameters!$F$9=Parameters!$E$15)*Parameters!$I$9*ISNUMBER(T89)+(Parameters!$F$10=Parameters!$E$15)*Parameters!$I$10*ISNUMBER(U89)+(Parameters!$F$11=Parameters!$E$15)*Parameters!$I$11*ISNUMBER(V89)+(Parameters!$F$12=Parameters!$E$15)*Parameters!$I$12*ISNUMBER(W89))/((Parameters!$F$5=Parameters!$E$15)*Parameters!$I$5*1+(Parameters!$F$6=Parameters!$E$15)*Parameters!$I$6*1+(Parameters!$F$7=Parameters!$E$15)*Parameters!$I$7*1+(Parameters!$F$8=Parameters!$E$15)*Parameters!$I$8*1+(Parameters!$F$9=Parameters!$E$15)*Parameters!$I$9*1+(Parameters!$F$10=Parameters!$E$15)*Parameters!$I$10*1+(Parameters!$F$11=Parameters!$E$15)*Parameters!$I$11*X89+(Parameters!$F$12=Parameters!$E$15)*Parameters!$I$12*Y89)&gt;=Parameters!$B$36),((Parameters!$F$5=Parameters!$E$15)*Parameters!$I$5*N(P89)+(Parameters!$F$6=Parameters!$E$15)*Parameters!$I$6*N(Q89)+(Parameters!$F$7=Parameters!$E$15)*Parameters!$I$7*N(R89)+(Parameters!$F$8=Parameters!$E$15)*Parameters!$I$8*N(S89)+(Parameters!$F$9=Parameters!$E$15)*Parameters!$I$9*N(T89)+(Parameters!$F$10=Parameters!$E$15)*Parameters!$I$10*N(U89)+(Parameters!$F$11=Parameters!$E$15)*Parameters!$I$11*N(V89)+(Parameters!$F$12=Parameters!$E$15)*Parameters!$I$12*N(W89))/((Parameters!$F$5=Parameters!$E$15)*Parameters!$I$5*ISNUMBER(P89)+(Parameters!$F$6=Parameters!$E$15)*Parameters!$I$6*ISNUMBER(Q89)+(Parameters!$F$7=Parameters!$E$15)*Parameters!$I$7*ISNUMBER(R89)+(Parameters!$F$8=Parameters!$E$15)*Parameters!$I$8*ISNUMBER(S89)+(Parameters!$F$9=Parameters!$E$15)*Parameters!$I$9*ISNUMBER(T89)+(Parameters!$F$10=Parameters!$E$15)*Parameters!$I$10*ISNUMBER(U89)+(Parameters!$F$11=Parameters!$E$15)*Parameters!$I$11*ISNUMBER(V89)+(Parameters!$F$12=Parameters!$E$15)*Parameters!$I$12*ISNUMBER(W89)),""))</f>
        <v>0.98</v>
      </c>
      <c r="AA89"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89+(Parameters!$F$12=Parameters!$E$16)*Parameters!$I$12*Y89)=0,"",IF(AND(((Parameters!$F$5=Parameters!$E$16)*Parameters!$I$5*ISNUMBER(P89)+(Parameters!$F$6=Parameters!$E$16)*Parameters!$I$6*ISNUMBER(Q89)+(Parameters!$F$7=Parameters!$E$16)*Parameters!$I$7*ISNUMBER(R89)+(Parameters!$F$8=Parameters!$E$16)*Parameters!$I$8*ISNUMBER(S89)+(Parameters!$F$9=Parameters!$E$16)*Parameters!$I$9*ISNUMBER(T89)+(Parameters!$F$10=Parameters!$E$16)*Parameters!$I$10*ISNUMBER(U89)+(Parameters!$F$11=Parameters!$E$16)*Parameters!$I$11*ISNUMBER(V89)+(Parameters!$F$12=Parameters!$E$16)*Parameters!$I$12*ISNUMBER(W89))&gt;0,((Parameters!$F$5=Parameters!$E$16)*Parameters!$I$5*ISNUMBER(P89)+(Parameters!$F$6=Parameters!$E$16)*Parameters!$I$6*ISNUMBER(Q89)+(Parameters!$F$7=Parameters!$E$16)*Parameters!$I$7*ISNUMBER(R89)+(Parameters!$F$8=Parameters!$E$16)*Parameters!$I$8*ISNUMBER(S89)+(Parameters!$F$9=Parameters!$E$16)*Parameters!$I$9*ISNUMBER(T89)+(Parameters!$F$10=Parameters!$E$16)*Parameters!$I$10*ISNUMBER(U89)+(Parameters!$F$11=Parameters!$E$16)*Parameters!$I$11*ISNUMBER(V89)+(Parameters!$F$12=Parameters!$E$16)*Parameters!$I$12*ISNUMBER(W89))/((Parameters!$F$5=Parameters!$E$16)*Parameters!$I$5*1+(Parameters!$F$6=Parameters!$E$16)*Parameters!$I$6*1+(Parameters!$F$7=Parameters!$E$16)*Parameters!$I$7*1+(Parameters!$F$8=Parameters!$E$16)*Parameters!$I$8*1+(Parameters!$F$9=Parameters!$E$16)*Parameters!$I$9*1+(Parameters!$F$10=Parameters!$E$16)*Parameters!$I$10*1+(Parameters!$F$11=Parameters!$E$16)*Parameters!$I$11*X89+(Parameters!$F$12=Parameters!$E$16)*Parameters!$I$12*Y89)&gt;=Parameters!$B$36),((Parameters!$F$5=Parameters!$E$16)*Parameters!$I$5*N(P89)+(Parameters!$F$6=Parameters!$E$16)*Parameters!$I$6*N(Q89)+(Parameters!$F$7=Parameters!$E$16)*Parameters!$I$7*N(R89)+(Parameters!$F$8=Parameters!$E$16)*Parameters!$I$8*N(S89)+(Parameters!$F$9=Parameters!$E$16)*Parameters!$I$9*N(T89)+(Parameters!$F$10=Parameters!$E$16)*Parameters!$I$10*N(U89)+(Parameters!$F$11=Parameters!$E$16)*Parameters!$I$11*N(V89)+(Parameters!$F$12=Parameters!$E$16)*Parameters!$I$12*N(W89))/((Parameters!$F$5=Parameters!$E$16)*Parameters!$I$5*ISNUMBER(P89)+(Parameters!$F$6=Parameters!$E$16)*Parameters!$I$6*ISNUMBER(Q89)+(Parameters!$F$7=Parameters!$E$16)*Parameters!$I$7*ISNUMBER(R89)+(Parameters!$F$8=Parameters!$E$16)*Parameters!$I$8*ISNUMBER(S89)+(Parameters!$F$9=Parameters!$E$16)*Parameters!$I$9*ISNUMBER(T89)+(Parameters!$F$10=Parameters!$E$16)*Parameters!$I$10*ISNUMBER(U89)+(Parameters!$F$11=Parameters!$E$16)*Parameters!$I$11*ISNUMBER(V89)+(Parameters!$F$12=Parameters!$E$16)*Parameters!$I$12*ISNUMBER(W89)),""))</f>
        <v>1</v>
      </c>
      <c r="AB89"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89+(Parameters!$F$12=Parameters!$E$17)*Parameters!$I$12*Y89)=0,"",IF(AND(((Parameters!$F$5=Parameters!$E$17)*Parameters!$I$5*ISNUMBER(P89)+(Parameters!$F$6=Parameters!$E$17)*Parameters!$I$6*ISNUMBER(Q89)+(Parameters!$F$7=Parameters!$E$17)*Parameters!$I$7*ISNUMBER(R89)+(Parameters!$F$8=Parameters!$E$17)*Parameters!$I$8*ISNUMBER(S89)+(Parameters!$F$9=Parameters!$E$17)*Parameters!$I$9*ISNUMBER(T89)+(Parameters!$F$10=Parameters!$E$17)*Parameters!$I$10*ISNUMBER(U89)+(Parameters!$F$11=Parameters!$E$17)*Parameters!$I$11*ISNUMBER(V89)+(Parameters!$F$12=Parameters!$E$17)*Parameters!$I$12*ISNUMBER(W89))&gt;0,((Parameters!$F$5=Parameters!$E$17)*Parameters!$I$5*ISNUMBER(P89)+(Parameters!$F$6=Parameters!$E$17)*Parameters!$I$6*ISNUMBER(Q89)+(Parameters!$F$7=Parameters!$E$17)*Parameters!$I$7*ISNUMBER(R89)+(Parameters!$F$8=Parameters!$E$17)*Parameters!$I$8*ISNUMBER(S89)+(Parameters!$F$9=Parameters!$E$17)*Parameters!$I$9*ISNUMBER(T89)+(Parameters!$F$10=Parameters!$E$17)*Parameters!$I$10*ISNUMBER(U89)+(Parameters!$F$11=Parameters!$E$17)*Parameters!$I$11*ISNUMBER(V89)+(Parameters!$F$12=Parameters!$E$17)*Parameters!$I$12*ISNUMBER(W89))/((Parameters!$F$5=Parameters!$E$17)*Parameters!$I$5*1+(Parameters!$F$6=Parameters!$E$17)*Parameters!$I$6*1+(Parameters!$F$7=Parameters!$E$17)*Parameters!$I$7*1+(Parameters!$F$8=Parameters!$E$17)*Parameters!$I$8*1+(Parameters!$F$9=Parameters!$E$17)*Parameters!$I$9*1+(Parameters!$F$10=Parameters!$E$17)*Parameters!$I$10*1+(Parameters!$F$11=Parameters!$E$17)*Parameters!$I$11*X89+(Parameters!$F$12=Parameters!$E$17)*Parameters!$I$12*Y89)&gt;=Parameters!$B$36),((Parameters!$F$5=Parameters!$E$17)*Parameters!$I$5*N(P89)+(Parameters!$F$6=Parameters!$E$17)*Parameters!$I$6*N(Q89)+(Parameters!$F$7=Parameters!$E$17)*Parameters!$I$7*N(R89)+(Parameters!$F$8=Parameters!$E$17)*Parameters!$I$8*N(S89)+(Parameters!$F$9=Parameters!$E$17)*Parameters!$I$9*N(T89)+(Parameters!$F$10=Parameters!$E$17)*Parameters!$I$10*N(U89)+(Parameters!$F$11=Parameters!$E$17)*Parameters!$I$11*N(V89)+(Parameters!$F$12=Parameters!$E$17)*Parameters!$I$12*N(W89))/((Parameters!$F$5=Parameters!$E$17)*Parameters!$I$5*ISNUMBER(P89)+(Parameters!$F$6=Parameters!$E$17)*Parameters!$I$6*ISNUMBER(Q89)+(Parameters!$F$7=Parameters!$E$17)*Parameters!$I$7*ISNUMBER(R89)+(Parameters!$F$8=Parameters!$E$17)*Parameters!$I$8*ISNUMBER(S89)+(Parameters!$F$9=Parameters!$E$17)*Parameters!$I$9*ISNUMBER(T89)+(Parameters!$F$10=Parameters!$E$17)*Parameters!$I$10*ISNUMBER(U89)+(Parameters!$F$11=Parameters!$E$17)*Parameters!$I$11*ISNUMBER(V89)+(Parameters!$F$12=Parameters!$E$17)*Parameters!$I$12*ISNUMBER(W89)),""))</f>
        <v/>
      </c>
      <c r="AC89" s="17" t="n">
        <f aca="false">Parameters!$I$5*ISNUMBER(P89)+Parameters!$I$6*ISNUMBER(Q89)+Parameters!$I$7*ISNUMBER(R89)+Parameters!$I$8*ISNUMBER(S89)+Parameters!$I$9*ISNUMBER(T89)+Parameters!$I$10*ISNUMBER(U89)+Parameters!$I$11*ISNUMBER(V89)+Parameters!$I$12*ISNUMBER(W89)</f>
        <v>75</v>
      </c>
      <c r="AD89" s="17" t="n">
        <f aca="false">Parameters!$I$5*1+Parameters!$I$6*1+Parameters!$I$7*1+Parameters!$I$8*1+Parameters!$I$9*1+Parameters!$I$10*1+Parameters!$I$11*X89+Parameters!$I$12*Y89</f>
        <v>75</v>
      </c>
      <c r="AE89" s="18" t="n">
        <f aca="false">IF(AD89=0,"",AC89/AD89)</f>
        <v>1</v>
      </c>
      <c r="AF89" s="17" t="str">
        <f aca="false">IF(ISNUMBER(Z89),"M","")&amp;IF(ISNUMBER(AA89),"I","")&amp;IF(ISNUMBER(AB89),"O","")</f>
        <v>MI</v>
      </c>
      <c r="AG89" s="19" t="n">
        <f aca="false">IF(AND(ISNUMBER(AE89),ISNUMBER(Z89)+ISNUMBER(AA89)+ISNUMBER(AB89)&gt;=Parameters!$B$37),IF(AE89&gt;=Parameters!$B$35,100*(Parameters!$F$15*N(Z89)+Parameters!$F$16*N(AA89)+Parameters!$F$17*N(AB89))/(Parameters!$F$15*ISNUMBER(Z89)+Parameters!$F$16*ISNUMBER(AA89)+Parameters!$F$17*ISNUMBER(AB89)),""),"")</f>
        <v>98.75</v>
      </c>
      <c r="AH89" s="17" t="n">
        <f aca="false">IF(ISNUMBER(AG89),RANK(AG89,$AG$2:$AG$113),"")</f>
        <v>4</v>
      </c>
    </row>
    <row r="90" customFormat="false" ht="15" hidden="false" customHeight="false" outlineLevel="0" collapsed="false">
      <c r="A90" s="5" t="s">
        <v>421</v>
      </c>
      <c r="B90" s="5" t="s">
        <v>133</v>
      </c>
      <c r="C90" s="5" t="s">
        <v>422</v>
      </c>
      <c r="D90" s="5" t="s">
        <v>31</v>
      </c>
      <c r="E90" s="5" t="s">
        <v>44</v>
      </c>
      <c r="F90" s="5" t="s">
        <v>265</v>
      </c>
      <c r="G90" s="15"/>
      <c r="H90" s="8"/>
      <c r="I90" s="5" t="s">
        <v>57</v>
      </c>
      <c r="J90" s="5" t="s">
        <v>74</v>
      </c>
      <c r="K90" s="15"/>
      <c r="L90" s="5" t="s">
        <v>81</v>
      </c>
      <c r="M90" s="5" t="s">
        <v>423</v>
      </c>
      <c r="N90" s="5" t="s">
        <v>142</v>
      </c>
      <c r="O90" s="5"/>
      <c r="P90" s="16" t="n">
        <f aca="false">IFERROR(IF(ISNUMBER(INDEX(Parameters!$B$5:$B$23,MATCH(D90,Parameters!$A$5:$A$23,0))),INDEX(Parameters!$B$5:$B$23,MATCH(D90,Parameters!$A$5:$A$23,0)),""),"")</f>
        <v>1</v>
      </c>
      <c r="Q90" s="16" t="n">
        <f aca="false">IFERROR(IF(ISNUMBER(INDEX(Parameters!$B$5:$B$23,MATCH(E90,Parameters!$A$5:$A$23,0))),INDEX(Parameters!$B$5:$B$23,MATCH(E90,Parameters!$A$5:$A$23,0)),""),"")</f>
        <v>1</v>
      </c>
      <c r="R90" s="16" t="n">
        <f aca="false">IF(F90="","",IFERROR(MIN(Parameters!$B$33,MAX(0,Parameters!$B$32-VALUE(LEFT(F90,4))))/Parameters!$B$33,""))</f>
        <v>0.6</v>
      </c>
      <c r="S90" s="16" t="str">
        <f aca="false">IF(ISNUMBER(H90),H90,IF(G90="",IF(ISNUMBER(Parameters!$B$34),Parameters!$B$34,""),""))</f>
        <v/>
      </c>
      <c r="T90" s="16" t="n">
        <f aca="false">IFERROR(IF(ISNUMBER(INDEX(Parameters!$B$5:$B$23,MATCH(I90,Parameters!$A$5:$A$23,0))),INDEX(Parameters!$B$5:$B$23,MATCH(I90,Parameters!$A$5:$A$23,0)),""),"")</f>
        <v>0</v>
      </c>
      <c r="U90" s="16" t="n">
        <f aca="false">IFERROR(IF(ISNUMBER(INDEX(Parameters!$B$5:$B$23,MATCH(L90,Parameters!$A$5:$A$23,0))),INDEX(Parameters!$B$5:$B$23,MATCH(L90,Parameters!$A$5:$A$23,0)),""),"")</f>
        <v>1</v>
      </c>
      <c r="V90" s="16" t="str">
        <f aca="false">IFERROR(IF(ISNUMBER(INDEX(Parameters!$B$5:$B$23,MATCH(J90,Parameters!$A$5:$A$23,0))),INDEX(Parameters!$B$5:$B$23,MATCH(J90,Parameters!$A$5:$A$23,0)),""),"")</f>
        <v/>
      </c>
      <c r="W90" s="16" t="str">
        <f aca="false">IF(K90&lt;&gt;"",1,IF(COUNTIF(Parameters!$A$27:$A$28,J90)&gt;0,0,""))</f>
        <v/>
      </c>
      <c r="X90" s="17" t="n">
        <f aca="false">IF(J90="Not applicable",0,1)</f>
        <v>0</v>
      </c>
      <c r="Y90" s="17" t="n">
        <f aca="false">IF(OR(K90&lt;&gt;"",COUNTIF(Parameters!$A$27:$A$28,J90)&gt;0),1,0)</f>
        <v>0</v>
      </c>
      <c r="Z90"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90+(Parameters!$F$12=Parameters!$E$15)*Parameters!$I$12*Y90)=0,"",IF(AND(((Parameters!$F$5=Parameters!$E$15)*Parameters!$I$5*ISNUMBER(P90)+(Parameters!$F$6=Parameters!$E$15)*Parameters!$I$6*ISNUMBER(Q90)+(Parameters!$F$7=Parameters!$E$15)*Parameters!$I$7*ISNUMBER(R90)+(Parameters!$F$8=Parameters!$E$15)*Parameters!$I$8*ISNUMBER(S90)+(Parameters!$F$9=Parameters!$E$15)*Parameters!$I$9*ISNUMBER(T90)+(Parameters!$F$10=Parameters!$E$15)*Parameters!$I$10*ISNUMBER(U90)+(Parameters!$F$11=Parameters!$E$15)*Parameters!$I$11*ISNUMBER(V90)+(Parameters!$F$12=Parameters!$E$15)*Parameters!$I$12*ISNUMBER(W90))&gt;0,((Parameters!$F$5=Parameters!$E$15)*Parameters!$I$5*ISNUMBER(P90)+(Parameters!$F$6=Parameters!$E$15)*Parameters!$I$6*ISNUMBER(Q90)+(Parameters!$F$7=Parameters!$E$15)*Parameters!$I$7*ISNUMBER(R90)+(Parameters!$F$8=Parameters!$E$15)*Parameters!$I$8*ISNUMBER(S90)+(Parameters!$F$9=Parameters!$E$15)*Parameters!$I$9*ISNUMBER(T90)+(Parameters!$F$10=Parameters!$E$15)*Parameters!$I$10*ISNUMBER(U90)+(Parameters!$F$11=Parameters!$E$15)*Parameters!$I$11*ISNUMBER(V90)+(Parameters!$F$12=Parameters!$E$15)*Parameters!$I$12*ISNUMBER(W90))/((Parameters!$F$5=Parameters!$E$15)*Parameters!$I$5*1+(Parameters!$F$6=Parameters!$E$15)*Parameters!$I$6*1+(Parameters!$F$7=Parameters!$E$15)*Parameters!$I$7*1+(Parameters!$F$8=Parameters!$E$15)*Parameters!$I$8*1+(Parameters!$F$9=Parameters!$E$15)*Parameters!$I$9*1+(Parameters!$F$10=Parameters!$E$15)*Parameters!$I$10*1+(Parameters!$F$11=Parameters!$E$15)*Parameters!$I$11*X90+(Parameters!$F$12=Parameters!$E$15)*Parameters!$I$12*Y90)&gt;=Parameters!$B$36),((Parameters!$F$5=Parameters!$E$15)*Parameters!$I$5*N(P90)+(Parameters!$F$6=Parameters!$E$15)*Parameters!$I$6*N(Q90)+(Parameters!$F$7=Parameters!$E$15)*Parameters!$I$7*N(R90)+(Parameters!$F$8=Parameters!$E$15)*Parameters!$I$8*N(S90)+(Parameters!$F$9=Parameters!$E$15)*Parameters!$I$9*N(T90)+(Parameters!$F$10=Parameters!$E$15)*Parameters!$I$10*N(U90)+(Parameters!$F$11=Parameters!$E$15)*Parameters!$I$11*N(V90)+(Parameters!$F$12=Parameters!$E$15)*Parameters!$I$12*N(W90))/((Parameters!$F$5=Parameters!$E$15)*Parameters!$I$5*ISNUMBER(P90)+(Parameters!$F$6=Parameters!$E$15)*Parameters!$I$6*ISNUMBER(Q90)+(Parameters!$F$7=Parameters!$E$15)*Parameters!$I$7*ISNUMBER(R90)+(Parameters!$F$8=Parameters!$E$15)*Parameters!$I$8*ISNUMBER(S90)+(Parameters!$F$9=Parameters!$E$15)*Parameters!$I$9*ISNUMBER(T90)+(Parameters!$F$10=Parameters!$E$15)*Parameters!$I$10*ISNUMBER(U90)+(Parameters!$F$11=Parameters!$E$15)*Parameters!$I$11*ISNUMBER(V90)+(Parameters!$F$12=Parameters!$E$15)*Parameters!$I$12*ISNUMBER(W90)),""))</f>
        <v>0.96</v>
      </c>
      <c r="AA90"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90+(Parameters!$F$12=Parameters!$E$16)*Parameters!$I$12*Y90)=0,"",IF(AND(((Parameters!$F$5=Parameters!$E$16)*Parameters!$I$5*ISNUMBER(P90)+(Parameters!$F$6=Parameters!$E$16)*Parameters!$I$6*ISNUMBER(Q90)+(Parameters!$F$7=Parameters!$E$16)*Parameters!$I$7*ISNUMBER(R90)+(Parameters!$F$8=Parameters!$E$16)*Parameters!$I$8*ISNUMBER(S90)+(Parameters!$F$9=Parameters!$E$16)*Parameters!$I$9*ISNUMBER(T90)+(Parameters!$F$10=Parameters!$E$16)*Parameters!$I$10*ISNUMBER(U90)+(Parameters!$F$11=Parameters!$E$16)*Parameters!$I$11*ISNUMBER(V90)+(Parameters!$F$12=Parameters!$E$16)*Parameters!$I$12*ISNUMBER(W90))&gt;0,((Parameters!$F$5=Parameters!$E$16)*Parameters!$I$5*ISNUMBER(P90)+(Parameters!$F$6=Parameters!$E$16)*Parameters!$I$6*ISNUMBER(Q90)+(Parameters!$F$7=Parameters!$E$16)*Parameters!$I$7*ISNUMBER(R90)+(Parameters!$F$8=Parameters!$E$16)*Parameters!$I$8*ISNUMBER(S90)+(Parameters!$F$9=Parameters!$E$16)*Parameters!$I$9*ISNUMBER(T90)+(Parameters!$F$10=Parameters!$E$16)*Parameters!$I$10*ISNUMBER(U90)+(Parameters!$F$11=Parameters!$E$16)*Parameters!$I$11*ISNUMBER(V90)+(Parameters!$F$12=Parameters!$E$16)*Parameters!$I$12*ISNUMBER(W90))/((Parameters!$F$5=Parameters!$E$16)*Parameters!$I$5*1+(Parameters!$F$6=Parameters!$E$16)*Parameters!$I$6*1+(Parameters!$F$7=Parameters!$E$16)*Parameters!$I$7*1+(Parameters!$F$8=Parameters!$E$16)*Parameters!$I$8*1+(Parameters!$F$9=Parameters!$E$16)*Parameters!$I$9*1+(Parameters!$F$10=Parameters!$E$16)*Parameters!$I$10*1+(Parameters!$F$11=Parameters!$E$16)*Parameters!$I$11*X90+(Parameters!$F$12=Parameters!$E$16)*Parameters!$I$12*Y90)&gt;=Parameters!$B$36),((Parameters!$F$5=Parameters!$E$16)*Parameters!$I$5*N(P90)+(Parameters!$F$6=Parameters!$E$16)*Parameters!$I$6*N(Q90)+(Parameters!$F$7=Parameters!$E$16)*Parameters!$I$7*N(R90)+(Parameters!$F$8=Parameters!$E$16)*Parameters!$I$8*N(S90)+(Parameters!$F$9=Parameters!$E$16)*Parameters!$I$9*N(T90)+(Parameters!$F$10=Parameters!$E$16)*Parameters!$I$10*N(U90)+(Parameters!$F$11=Parameters!$E$16)*Parameters!$I$11*N(V90)+(Parameters!$F$12=Parameters!$E$16)*Parameters!$I$12*N(W90))/((Parameters!$F$5=Parameters!$E$16)*Parameters!$I$5*ISNUMBER(P90)+(Parameters!$F$6=Parameters!$E$16)*Parameters!$I$6*ISNUMBER(Q90)+(Parameters!$F$7=Parameters!$E$16)*Parameters!$I$7*ISNUMBER(R90)+(Parameters!$F$8=Parameters!$E$16)*Parameters!$I$8*ISNUMBER(S90)+(Parameters!$F$9=Parameters!$E$16)*Parameters!$I$9*ISNUMBER(T90)+(Parameters!$F$10=Parameters!$E$16)*Parameters!$I$10*ISNUMBER(U90)+(Parameters!$F$11=Parameters!$E$16)*Parameters!$I$11*ISNUMBER(V90)+(Parameters!$F$12=Parameters!$E$16)*Parameters!$I$12*ISNUMBER(W90)),""))</f>
        <v>0.666666666666667</v>
      </c>
      <c r="AB90"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90+(Parameters!$F$12=Parameters!$E$17)*Parameters!$I$12*Y90)=0,"",IF(AND(((Parameters!$F$5=Parameters!$E$17)*Parameters!$I$5*ISNUMBER(P90)+(Parameters!$F$6=Parameters!$E$17)*Parameters!$I$6*ISNUMBER(Q90)+(Parameters!$F$7=Parameters!$E$17)*Parameters!$I$7*ISNUMBER(R90)+(Parameters!$F$8=Parameters!$E$17)*Parameters!$I$8*ISNUMBER(S90)+(Parameters!$F$9=Parameters!$E$17)*Parameters!$I$9*ISNUMBER(T90)+(Parameters!$F$10=Parameters!$E$17)*Parameters!$I$10*ISNUMBER(U90)+(Parameters!$F$11=Parameters!$E$17)*Parameters!$I$11*ISNUMBER(V90)+(Parameters!$F$12=Parameters!$E$17)*Parameters!$I$12*ISNUMBER(W90))&gt;0,((Parameters!$F$5=Parameters!$E$17)*Parameters!$I$5*ISNUMBER(P90)+(Parameters!$F$6=Parameters!$E$17)*Parameters!$I$6*ISNUMBER(Q90)+(Parameters!$F$7=Parameters!$E$17)*Parameters!$I$7*ISNUMBER(R90)+(Parameters!$F$8=Parameters!$E$17)*Parameters!$I$8*ISNUMBER(S90)+(Parameters!$F$9=Parameters!$E$17)*Parameters!$I$9*ISNUMBER(T90)+(Parameters!$F$10=Parameters!$E$17)*Parameters!$I$10*ISNUMBER(U90)+(Parameters!$F$11=Parameters!$E$17)*Parameters!$I$11*ISNUMBER(V90)+(Parameters!$F$12=Parameters!$E$17)*Parameters!$I$12*ISNUMBER(W90))/((Parameters!$F$5=Parameters!$E$17)*Parameters!$I$5*1+(Parameters!$F$6=Parameters!$E$17)*Parameters!$I$6*1+(Parameters!$F$7=Parameters!$E$17)*Parameters!$I$7*1+(Parameters!$F$8=Parameters!$E$17)*Parameters!$I$8*1+(Parameters!$F$9=Parameters!$E$17)*Parameters!$I$9*1+(Parameters!$F$10=Parameters!$E$17)*Parameters!$I$10*1+(Parameters!$F$11=Parameters!$E$17)*Parameters!$I$11*X90+(Parameters!$F$12=Parameters!$E$17)*Parameters!$I$12*Y90)&gt;=Parameters!$B$36),((Parameters!$F$5=Parameters!$E$17)*Parameters!$I$5*N(P90)+(Parameters!$F$6=Parameters!$E$17)*Parameters!$I$6*N(Q90)+(Parameters!$F$7=Parameters!$E$17)*Parameters!$I$7*N(R90)+(Parameters!$F$8=Parameters!$E$17)*Parameters!$I$8*N(S90)+(Parameters!$F$9=Parameters!$E$17)*Parameters!$I$9*N(T90)+(Parameters!$F$10=Parameters!$E$17)*Parameters!$I$10*N(U90)+(Parameters!$F$11=Parameters!$E$17)*Parameters!$I$11*N(V90)+(Parameters!$F$12=Parameters!$E$17)*Parameters!$I$12*N(W90))/((Parameters!$F$5=Parameters!$E$17)*Parameters!$I$5*ISNUMBER(P90)+(Parameters!$F$6=Parameters!$E$17)*Parameters!$I$6*ISNUMBER(Q90)+(Parameters!$F$7=Parameters!$E$17)*Parameters!$I$7*ISNUMBER(R90)+(Parameters!$F$8=Parameters!$E$17)*Parameters!$I$8*ISNUMBER(S90)+(Parameters!$F$9=Parameters!$E$17)*Parameters!$I$9*ISNUMBER(T90)+(Parameters!$F$10=Parameters!$E$17)*Parameters!$I$10*ISNUMBER(U90)+(Parameters!$F$11=Parameters!$E$17)*Parameters!$I$11*ISNUMBER(V90)+(Parameters!$F$12=Parameters!$E$17)*Parameters!$I$12*ISNUMBER(W90)),""))</f>
        <v/>
      </c>
      <c r="AC90" s="17" t="n">
        <f aca="false">Parameters!$I$5*ISNUMBER(P90)+Parameters!$I$6*ISNUMBER(Q90)+Parameters!$I$7*ISNUMBER(R90)+Parameters!$I$8*ISNUMBER(S90)+Parameters!$I$9*ISNUMBER(T90)+Parameters!$I$10*ISNUMBER(U90)+Parameters!$I$11*ISNUMBER(V90)+Parameters!$I$12*ISNUMBER(W90)</f>
        <v>65</v>
      </c>
      <c r="AD90" s="17" t="n">
        <f aca="false">Parameters!$I$5*1+Parameters!$I$6*1+Parameters!$I$7*1+Parameters!$I$8*1+Parameters!$I$9*1+Parameters!$I$10*1+Parameters!$I$11*X90+Parameters!$I$12*Y90</f>
        <v>75</v>
      </c>
      <c r="AE90" s="18" t="n">
        <f aca="false">IF(AD90=0,"",AC90/AD90)</f>
        <v>0.866666666666667</v>
      </c>
      <c r="AF90" s="17" t="str">
        <f aca="false">IF(ISNUMBER(Z90),"M","")&amp;IF(ISNUMBER(AA90),"I","")&amp;IF(ISNUMBER(AB90),"O","")</f>
        <v>MI</v>
      </c>
      <c r="AG90" s="19" t="n">
        <f aca="false">IF(AND(ISNUMBER(AE90),ISNUMBER(Z90)+ISNUMBER(AA90)+ISNUMBER(AB90)&gt;=Parameters!$B$37),IF(AE90&gt;=Parameters!$B$35,100*(Parameters!$F$15*N(Z90)+Parameters!$F$16*N(AA90)+Parameters!$F$17*N(AB90))/(Parameters!$F$15*ISNUMBER(Z90)+Parameters!$F$16*ISNUMBER(AA90)+Parameters!$F$17*ISNUMBER(AB90)),""),"")</f>
        <v>85</v>
      </c>
      <c r="AH90" s="17" t="n">
        <f aca="false">IF(ISNUMBER(AG90),RANK(AG90,$AG$2:$AG$113),"")</f>
        <v>60</v>
      </c>
    </row>
    <row r="91" customFormat="false" ht="15" hidden="false" customHeight="false" outlineLevel="0" collapsed="false">
      <c r="A91" s="5" t="s">
        <v>424</v>
      </c>
      <c r="B91" s="5" t="s">
        <v>425</v>
      </c>
      <c r="C91" s="5" t="s">
        <v>306</v>
      </c>
      <c r="D91" s="5" t="s">
        <v>31</v>
      </c>
      <c r="E91" s="5" t="s">
        <v>44</v>
      </c>
      <c r="F91" s="5" t="s">
        <v>273</v>
      </c>
      <c r="G91" s="15"/>
      <c r="H91" s="8"/>
      <c r="I91" s="5" t="s">
        <v>57</v>
      </c>
      <c r="J91" s="5" t="s">
        <v>66</v>
      </c>
      <c r="K91" s="15"/>
      <c r="L91" s="5" t="s">
        <v>85</v>
      </c>
      <c r="M91" s="5" t="s">
        <v>141</v>
      </c>
      <c r="N91" s="5"/>
      <c r="O91" s="5"/>
      <c r="P91" s="16" t="n">
        <f aca="false">IFERROR(IF(ISNUMBER(INDEX(Parameters!$B$5:$B$23,MATCH(D91,Parameters!$A$5:$A$23,0))),INDEX(Parameters!$B$5:$B$23,MATCH(D91,Parameters!$A$5:$A$23,0)),""),"")</f>
        <v>1</v>
      </c>
      <c r="Q91" s="16" t="n">
        <f aca="false">IFERROR(IF(ISNUMBER(INDEX(Parameters!$B$5:$B$23,MATCH(E91,Parameters!$A$5:$A$23,0))),INDEX(Parameters!$B$5:$B$23,MATCH(E91,Parameters!$A$5:$A$23,0)),""),"")</f>
        <v>1</v>
      </c>
      <c r="R91" s="16" t="n">
        <f aca="false">IF(F91="","",IFERROR(MIN(Parameters!$B$33,MAX(0,Parameters!$B$32-VALUE(LEFT(F91,4))))/Parameters!$B$33,""))</f>
        <v>1</v>
      </c>
      <c r="S91" s="16" t="str">
        <f aca="false">IF(ISNUMBER(H91),H91,IF(G91="",IF(ISNUMBER(Parameters!$B$34),Parameters!$B$34,""),""))</f>
        <v/>
      </c>
      <c r="T91" s="16" t="n">
        <f aca="false">IFERROR(IF(ISNUMBER(INDEX(Parameters!$B$5:$B$23,MATCH(I91,Parameters!$A$5:$A$23,0))),INDEX(Parameters!$B$5:$B$23,MATCH(I91,Parameters!$A$5:$A$23,0)),""),"")</f>
        <v>0</v>
      </c>
      <c r="U91" s="16" t="n">
        <f aca="false">IFERROR(IF(ISNUMBER(INDEX(Parameters!$B$5:$B$23,MATCH(L91,Parameters!$A$5:$A$23,0))),INDEX(Parameters!$B$5:$B$23,MATCH(L91,Parameters!$A$5:$A$23,0)),""),"")</f>
        <v>0.5</v>
      </c>
      <c r="V91" s="16" t="n">
        <f aca="false">IFERROR(IF(ISNUMBER(INDEX(Parameters!$B$5:$B$23,MATCH(J91,Parameters!$A$5:$A$23,0))),INDEX(Parameters!$B$5:$B$23,MATCH(J91,Parameters!$A$5:$A$23,0)),""),"")</f>
        <v>1</v>
      </c>
      <c r="W91" s="16" t="str">
        <f aca="false">IF(K91&lt;&gt;"",1,IF(COUNTIF(Parameters!$A$27:$A$28,J91)&gt;0,0,""))</f>
        <v/>
      </c>
      <c r="X91" s="17" t="n">
        <f aca="false">IF(J91="Not applicable",0,1)</f>
        <v>1</v>
      </c>
      <c r="Y91" s="17" t="n">
        <f aca="false">IF(OR(K91&lt;&gt;"",COUNTIF(Parameters!$A$27:$A$28,J91)&gt;0),1,0)</f>
        <v>0</v>
      </c>
      <c r="Z91"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91+(Parameters!$F$12=Parameters!$E$15)*Parameters!$I$12*Y91)=0,"",IF(AND(((Parameters!$F$5=Parameters!$E$15)*Parameters!$I$5*ISNUMBER(P91)+(Parameters!$F$6=Parameters!$E$15)*Parameters!$I$6*ISNUMBER(Q91)+(Parameters!$F$7=Parameters!$E$15)*Parameters!$I$7*ISNUMBER(R91)+(Parameters!$F$8=Parameters!$E$15)*Parameters!$I$8*ISNUMBER(S91)+(Parameters!$F$9=Parameters!$E$15)*Parameters!$I$9*ISNUMBER(T91)+(Parameters!$F$10=Parameters!$E$15)*Parameters!$I$10*ISNUMBER(U91)+(Parameters!$F$11=Parameters!$E$15)*Parameters!$I$11*ISNUMBER(V91)+(Parameters!$F$12=Parameters!$E$15)*Parameters!$I$12*ISNUMBER(W91))&gt;0,((Parameters!$F$5=Parameters!$E$15)*Parameters!$I$5*ISNUMBER(P91)+(Parameters!$F$6=Parameters!$E$15)*Parameters!$I$6*ISNUMBER(Q91)+(Parameters!$F$7=Parameters!$E$15)*Parameters!$I$7*ISNUMBER(R91)+(Parameters!$F$8=Parameters!$E$15)*Parameters!$I$8*ISNUMBER(S91)+(Parameters!$F$9=Parameters!$E$15)*Parameters!$I$9*ISNUMBER(T91)+(Parameters!$F$10=Parameters!$E$15)*Parameters!$I$10*ISNUMBER(U91)+(Parameters!$F$11=Parameters!$E$15)*Parameters!$I$11*ISNUMBER(V91)+(Parameters!$F$12=Parameters!$E$15)*Parameters!$I$12*ISNUMBER(W91))/((Parameters!$F$5=Parameters!$E$15)*Parameters!$I$5*1+(Parameters!$F$6=Parameters!$E$15)*Parameters!$I$6*1+(Parameters!$F$7=Parameters!$E$15)*Parameters!$I$7*1+(Parameters!$F$8=Parameters!$E$15)*Parameters!$I$8*1+(Parameters!$F$9=Parameters!$E$15)*Parameters!$I$9*1+(Parameters!$F$10=Parameters!$E$15)*Parameters!$I$10*1+(Parameters!$F$11=Parameters!$E$15)*Parameters!$I$11*X91+(Parameters!$F$12=Parameters!$E$15)*Parameters!$I$12*Y91)&gt;=Parameters!$B$36),((Parameters!$F$5=Parameters!$E$15)*Parameters!$I$5*N(P91)+(Parameters!$F$6=Parameters!$E$15)*Parameters!$I$6*N(Q91)+(Parameters!$F$7=Parameters!$E$15)*Parameters!$I$7*N(R91)+(Parameters!$F$8=Parameters!$E$15)*Parameters!$I$8*N(S91)+(Parameters!$F$9=Parameters!$E$15)*Parameters!$I$9*N(T91)+(Parameters!$F$10=Parameters!$E$15)*Parameters!$I$10*N(U91)+(Parameters!$F$11=Parameters!$E$15)*Parameters!$I$11*N(V91)+(Parameters!$F$12=Parameters!$E$15)*Parameters!$I$12*N(W91))/((Parameters!$F$5=Parameters!$E$15)*Parameters!$I$5*ISNUMBER(P91)+(Parameters!$F$6=Parameters!$E$15)*Parameters!$I$6*ISNUMBER(Q91)+(Parameters!$F$7=Parameters!$E$15)*Parameters!$I$7*ISNUMBER(R91)+(Parameters!$F$8=Parameters!$E$15)*Parameters!$I$8*ISNUMBER(S91)+(Parameters!$F$9=Parameters!$E$15)*Parameters!$I$9*ISNUMBER(T91)+(Parameters!$F$10=Parameters!$E$15)*Parameters!$I$10*ISNUMBER(U91)+(Parameters!$F$11=Parameters!$E$15)*Parameters!$I$11*ISNUMBER(V91)+(Parameters!$F$12=Parameters!$E$15)*Parameters!$I$12*ISNUMBER(W91)),""))</f>
        <v>1</v>
      </c>
      <c r="AA91"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91+(Parameters!$F$12=Parameters!$E$16)*Parameters!$I$12*Y91)=0,"",IF(AND(((Parameters!$F$5=Parameters!$E$16)*Parameters!$I$5*ISNUMBER(P91)+(Parameters!$F$6=Parameters!$E$16)*Parameters!$I$6*ISNUMBER(Q91)+(Parameters!$F$7=Parameters!$E$16)*Parameters!$I$7*ISNUMBER(R91)+(Parameters!$F$8=Parameters!$E$16)*Parameters!$I$8*ISNUMBER(S91)+(Parameters!$F$9=Parameters!$E$16)*Parameters!$I$9*ISNUMBER(T91)+(Parameters!$F$10=Parameters!$E$16)*Parameters!$I$10*ISNUMBER(U91)+(Parameters!$F$11=Parameters!$E$16)*Parameters!$I$11*ISNUMBER(V91)+(Parameters!$F$12=Parameters!$E$16)*Parameters!$I$12*ISNUMBER(W91))&gt;0,((Parameters!$F$5=Parameters!$E$16)*Parameters!$I$5*ISNUMBER(P91)+(Parameters!$F$6=Parameters!$E$16)*Parameters!$I$6*ISNUMBER(Q91)+(Parameters!$F$7=Parameters!$E$16)*Parameters!$I$7*ISNUMBER(R91)+(Parameters!$F$8=Parameters!$E$16)*Parameters!$I$8*ISNUMBER(S91)+(Parameters!$F$9=Parameters!$E$16)*Parameters!$I$9*ISNUMBER(T91)+(Parameters!$F$10=Parameters!$E$16)*Parameters!$I$10*ISNUMBER(U91)+(Parameters!$F$11=Parameters!$E$16)*Parameters!$I$11*ISNUMBER(V91)+(Parameters!$F$12=Parameters!$E$16)*Parameters!$I$12*ISNUMBER(W91))/((Parameters!$F$5=Parameters!$E$16)*Parameters!$I$5*1+(Parameters!$F$6=Parameters!$E$16)*Parameters!$I$6*1+(Parameters!$F$7=Parameters!$E$16)*Parameters!$I$7*1+(Parameters!$F$8=Parameters!$E$16)*Parameters!$I$8*1+(Parameters!$F$9=Parameters!$E$16)*Parameters!$I$9*1+(Parameters!$F$10=Parameters!$E$16)*Parameters!$I$10*1+(Parameters!$F$11=Parameters!$E$16)*Parameters!$I$11*X91+(Parameters!$F$12=Parameters!$E$16)*Parameters!$I$12*Y91)&gt;=Parameters!$B$36),((Parameters!$F$5=Parameters!$E$16)*Parameters!$I$5*N(P91)+(Parameters!$F$6=Parameters!$E$16)*Parameters!$I$6*N(Q91)+(Parameters!$F$7=Parameters!$E$16)*Parameters!$I$7*N(R91)+(Parameters!$F$8=Parameters!$E$16)*Parameters!$I$8*N(S91)+(Parameters!$F$9=Parameters!$E$16)*Parameters!$I$9*N(T91)+(Parameters!$F$10=Parameters!$E$16)*Parameters!$I$10*N(U91)+(Parameters!$F$11=Parameters!$E$16)*Parameters!$I$11*N(V91)+(Parameters!$F$12=Parameters!$E$16)*Parameters!$I$12*N(W91))/((Parameters!$F$5=Parameters!$E$16)*Parameters!$I$5*ISNUMBER(P91)+(Parameters!$F$6=Parameters!$E$16)*Parameters!$I$6*ISNUMBER(Q91)+(Parameters!$F$7=Parameters!$E$16)*Parameters!$I$7*ISNUMBER(R91)+(Parameters!$F$8=Parameters!$E$16)*Parameters!$I$8*ISNUMBER(S91)+(Parameters!$F$9=Parameters!$E$16)*Parameters!$I$9*ISNUMBER(T91)+(Parameters!$F$10=Parameters!$E$16)*Parameters!$I$10*ISNUMBER(U91)+(Parameters!$F$11=Parameters!$E$16)*Parameters!$I$11*ISNUMBER(V91)+(Parameters!$F$12=Parameters!$E$16)*Parameters!$I$12*ISNUMBER(W91)),""))</f>
        <v>0.333333333333333</v>
      </c>
      <c r="AB91"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91+(Parameters!$F$12=Parameters!$E$17)*Parameters!$I$12*Y91)=0,"",IF(AND(((Parameters!$F$5=Parameters!$E$17)*Parameters!$I$5*ISNUMBER(P91)+(Parameters!$F$6=Parameters!$E$17)*Parameters!$I$6*ISNUMBER(Q91)+(Parameters!$F$7=Parameters!$E$17)*Parameters!$I$7*ISNUMBER(R91)+(Parameters!$F$8=Parameters!$E$17)*Parameters!$I$8*ISNUMBER(S91)+(Parameters!$F$9=Parameters!$E$17)*Parameters!$I$9*ISNUMBER(T91)+(Parameters!$F$10=Parameters!$E$17)*Parameters!$I$10*ISNUMBER(U91)+(Parameters!$F$11=Parameters!$E$17)*Parameters!$I$11*ISNUMBER(V91)+(Parameters!$F$12=Parameters!$E$17)*Parameters!$I$12*ISNUMBER(W91))&gt;0,((Parameters!$F$5=Parameters!$E$17)*Parameters!$I$5*ISNUMBER(P91)+(Parameters!$F$6=Parameters!$E$17)*Parameters!$I$6*ISNUMBER(Q91)+(Parameters!$F$7=Parameters!$E$17)*Parameters!$I$7*ISNUMBER(R91)+(Parameters!$F$8=Parameters!$E$17)*Parameters!$I$8*ISNUMBER(S91)+(Parameters!$F$9=Parameters!$E$17)*Parameters!$I$9*ISNUMBER(T91)+(Parameters!$F$10=Parameters!$E$17)*Parameters!$I$10*ISNUMBER(U91)+(Parameters!$F$11=Parameters!$E$17)*Parameters!$I$11*ISNUMBER(V91)+(Parameters!$F$12=Parameters!$E$17)*Parameters!$I$12*ISNUMBER(W91))/((Parameters!$F$5=Parameters!$E$17)*Parameters!$I$5*1+(Parameters!$F$6=Parameters!$E$17)*Parameters!$I$6*1+(Parameters!$F$7=Parameters!$E$17)*Parameters!$I$7*1+(Parameters!$F$8=Parameters!$E$17)*Parameters!$I$8*1+(Parameters!$F$9=Parameters!$E$17)*Parameters!$I$9*1+(Parameters!$F$10=Parameters!$E$17)*Parameters!$I$10*1+(Parameters!$F$11=Parameters!$E$17)*Parameters!$I$11*X91+(Parameters!$F$12=Parameters!$E$17)*Parameters!$I$12*Y91)&gt;=Parameters!$B$36),((Parameters!$F$5=Parameters!$E$17)*Parameters!$I$5*N(P91)+(Parameters!$F$6=Parameters!$E$17)*Parameters!$I$6*N(Q91)+(Parameters!$F$7=Parameters!$E$17)*Parameters!$I$7*N(R91)+(Parameters!$F$8=Parameters!$E$17)*Parameters!$I$8*N(S91)+(Parameters!$F$9=Parameters!$E$17)*Parameters!$I$9*N(T91)+(Parameters!$F$10=Parameters!$E$17)*Parameters!$I$10*N(U91)+(Parameters!$F$11=Parameters!$E$17)*Parameters!$I$11*N(V91)+(Parameters!$F$12=Parameters!$E$17)*Parameters!$I$12*N(W91))/((Parameters!$F$5=Parameters!$E$17)*Parameters!$I$5*ISNUMBER(P91)+(Parameters!$F$6=Parameters!$E$17)*Parameters!$I$6*ISNUMBER(Q91)+(Parameters!$F$7=Parameters!$E$17)*Parameters!$I$7*ISNUMBER(R91)+(Parameters!$F$8=Parameters!$E$17)*Parameters!$I$8*ISNUMBER(S91)+(Parameters!$F$9=Parameters!$E$17)*Parameters!$I$9*ISNUMBER(T91)+(Parameters!$F$10=Parameters!$E$17)*Parameters!$I$10*ISNUMBER(U91)+(Parameters!$F$11=Parameters!$E$17)*Parameters!$I$11*ISNUMBER(V91)+(Parameters!$F$12=Parameters!$E$17)*Parameters!$I$12*ISNUMBER(W91)),""))</f>
        <v>1</v>
      </c>
      <c r="AC91" s="17" t="n">
        <f aca="false">Parameters!$I$5*ISNUMBER(P91)+Parameters!$I$6*ISNUMBER(Q91)+Parameters!$I$7*ISNUMBER(R91)+Parameters!$I$8*ISNUMBER(S91)+Parameters!$I$9*ISNUMBER(T91)+Parameters!$I$10*ISNUMBER(U91)+Parameters!$I$11*ISNUMBER(V91)+Parameters!$I$12*ISNUMBER(W91)</f>
        <v>75</v>
      </c>
      <c r="AD91" s="17" t="n">
        <f aca="false">Parameters!$I$5*1+Parameters!$I$6*1+Parameters!$I$7*1+Parameters!$I$8*1+Parameters!$I$9*1+Parameters!$I$10*1+Parameters!$I$11*X91+Parameters!$I$12*Y91</f>
        <v>85</v>
      </c>
      <c r="AE91" s="18" t="n">
        <f aca="false">IF(AD91=0,"",AC91/AD91)</f>
        <v>0.882352941176471</v>
      </c>
      <c r="AF91" s="17" t="str">
        <f aca="false">IF(ISNUMBER(Z91),"M","")&amp;IF(ISNUMBER(AA91),"I","")&amp;IF(ISNUMBER(AB91),"O","")</f>
        <v>MIO</v>
      </c>
      <c r="AG91" s="19" t="n">
        <f aca="false">IF(AND(ISNUMBER(AE91),ISNUMBER(Z91)+ISNUMBER(AA91)+ISNUMBER(AB91)&gt;=Parameters!$B$37),IF(AE91&gt;=Parameters!$B$35,100*(Parameters!$F$15*N(Z91)+Parameters!$F$16*N(AA91)+Parameters!$F$17*N(AB91))/(Parameters!$F$15*ISNUMBER(Z91)+Parameters!$F$16*ISNUMBER(AA91)+Parameters!$F$17*ISNUMBER(AB91)),""),"")</f>
        <v>80</v>
      </c>
      <c r="AH91" s="17" t="n">
        <f aca="false">IF(ISNUMBER(AG91),RANK(AG91,$AG$2:$AG$113),"")</f>
        <v>73</v>
      </c>
    </row>
    <row r="92" customFormat="false" ht="15" hidden="false" customHeight="false" outlineLevel="0" collapsed="false">
      <c r="A92" s="5" t="s">
        <v>426</v>
      </c>
      <c r="B92" s="5" t="s">
        <v>427</v>
      </c>
      <c r="C92" s="5" t="s">
        <v>428</v>
      </c>
      <c r="D92" s="5" t="s">
        <v>31</v>
      </c>
      <c r="E92" s="5" t="s">
        <v>44</v>
      </c>
      <c r="F92" s="5" t="s">
        <v>146</v>
      </c>
      <c r="G92" s="15"/>
      <c r="H92" s="8"/>
      <c r="I92" s="5" t="s">
        <v>57</v>
      </c>
      <c r="J92" s="5" t="s">
        <v>62</v>
      </c>
      <c r="K92" s="15"/>
      <c r="L92" s="5" t="s">
        <v>76</v>
      </c>
      <c r="M92" s="5" t="s">
        <v>136</v>
      </c>
      <c r="N92" s="5"/>
      <c r="O92" s="5"/>
      <c r="P92" s="16" t="n">
        <f aca="false">IFERROR(IF(ISNUMBER(INDEX(Parameters!$B$5:$B$23,MATCH(D92,Parameters!$A$5:$A$23,0))),INDEX(Parameters!$B$5:$B$23,MATCH(D92,Parameters!$A$5:$A$23,0)),""),"")</f>
        <v>1</v>
      </c>
      <c r="Q92" s="16" t="n">
        <f aca="false">IFERROR(IF(ISNUMBER(INDEX(Parameters!$B$5:$B$23,MATCH(E92,Parameters!$A$5:$A$23,0))),INDEX(Parameters!$B$5:$B$23,MATCH(E92,Parameters!$A$5:$A$23,0)),""),"")</f>
        <v>1</v>
      </c>
      <c r="R92" s="16" t="n">
        <f aca="false">IF(F92="","",IFERROR(MIN(Parameters!$B$33,MAX(0,Parameters!$B$32-VALUE(LEFT(F92,4))))/Parameters!$B$33,""))</f>
        <v>0.533333333333333</v>
      </c>
      <c r="S92" s="16" t="str">
        <f aca="false">IF(ISNUMBER(H92),H92,IF(G92="",IF(ISNUMBER(Parameters!$B$34),Parameters!$B$34,""),""))</f>
        <v/>
      </c>
      <c r="T92" s="16" t="n">
        <f aca="false">IFERROR(IF(ISNUMBER(INDEX(Parameters!$B$5:$B$23,MATCH(I92,Parameters!$A$5:$A$23,0))),INDEX(Parameters!$B$5:$B$23,MATCH(I92,Parameters!$A$5:$A$23,0)),""),"")</f>
        <v>0</v>
      </c>
      <c r="U92" s="16" t="n">
        <f aca="false">IFERROR(IF(ISNUMBER(INDEX(Parameters!$B$5:$B$23,MATCH(L92,Parameters!$A$5:$A$23,0))),INDEX(Parameters!$B$5:$B$23,MATCH(L92,Parameters!$A$5:$A$23,0)),""),"")</f>
        <v>1</v>
      </c>
      <c r="V92" s="16" t="n">
        <f aca="false">IFERROR(IF(ISNUMBER(INDEX(Parameters!$B$5:$B$23,MATCH(J92,Parameters!$A$5:$A$23,0))),INDEX(Parameters!$B$5:$B$23,MATCH(J92,Parameters!$A$5:$A$23,0)),""),"")</f>
        <v>0</v>
      </c>
      <c r="W92" s="16" t="str">
        <f aca="false">IF(K92&lt;&gt;"",1,IF(COUNTIF(Parameters!$A$27:$A$28,J92)&gt;0,0,""))</f>
        <v/>
      </c>
      <c r="X92" s="17" t="n">
        <f aca="false">IF(J92="Not applicable",0,1)</f>
        <v>1</v>
      </c>
      <c r="Y92" s="17" t="n">
        <f aca="false">IF(OR(K92&lt;&gt;"",COUNTIF(Parameters!$A$27:$A$28,J92)&gt;0),1,0)</f>
        <v>0</v>
      </c>
      <c r="Z92"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92+(Parameters!$F$12=Parameters!$E$15)*Parameters!$I$12*Y92)=0,"",IF(AND(((Parameters!$F$5=Parameters!$E$15)*Parameters!$I$5*ISNUMBER(P92)+(Parameters!$F$6=Parameters!$E$15)*Parameters!$I$6*ISNUMBER(Q92)+(Parameters!$F$7=Parameters!$E$15)*Parameters!$I$7*ISNUMBER(R92)+(Parameters!$F$8=Parameters!$E$15)*Parameters!$I$8*ISNUMBER(S92)+(Parameters!$F$9=Parameters!$E$15)*Parameters!$I$9*ISNUMBER(T92)+(Parameters!$F$10=Parameters!$E$15)*Parameters!$I$10*ISNUMBER(U92)+(Parameters!$F$11=Parameters!$E$15)*Parameters!$I$11*ISNUMBER(V92)+(Parameters!$F$12=Parameters!$E$15)*Parameters!$I$12*ISNUMBER(W92))&gt;0,((Parameters!$F$5=Parameters!$E$15)*Parameters!$I$5*ISNUMBER(P92)+(Parameters!$F$6=Parameters!$E$15)*Parameters!$I$6*ISNUMBER(Q92)+(Parameters!$F$7=Parameters!$E$15)*Parameters!$I$7*ISNUMBER(R92)+(Parameters!$F$8=Parameters!$E$15)*Parameters!$I$8*ISNUMBER(S92)+(Parameters!$F$9=Parameters!$E$15)*Parameters!$I$9*ISNUMBER(T92)+(Parameters!$F$10=Parameters!$E$15)*Parameters!$I$10*ISNUMBER(U92)+(Parameters!$F$11=Parameters!$E$15)*Parameters!$I$11*ISNUMBER(V92)+(Parameters!$F$12=Parameters!$E$15)*Parameters!$I$12*ISNUMBER(W92))/((Parameters!$F$5=Parameters!$E$15)*Parameters!$I$5*1+(Parameters!$F$6=Parameters!$E$15)*Parameters!$I$6*1+(Parameters!$F$7=Parameters!$E$15)*Parameters!$I$7*1+(Parameters!$F$8=Parameters!$E$15)*Parameters!$I$8*1+(Parameters!$F$9=Parameters!$E$15)*Parameters!$I$9*1+(Parameters!$F$10=Parameters!$E$15)*Parameters!$I$10*1+(Parameters!$F$11=Parameters!$E$15)*Parameters!$I$11*X92+(Parameters!$F$12=Parameters!$E$15)*Parameters!$I$12*Y92)&gt;=Parameters!$B$36),((Parameters!$F$5=Parameters!$E$15)*Parameters!$I$5*N(P92)+(Parameters!$F$6=Parameters!$E$15)*Parameters!$I$6*N(Q92)+(Parameters!$F$7=Parameters!$E$15)*Parameters!$I$7*N(R92)+(Parameters!$F$8=Parameters!$E$15)*Parameters!$I$8*N(S92)+(Parameters!$F$9=Parameters!$E$15)*Parameters!$I$9*N(T92)+(Parameters!$F$10=Parameters!$E$15)*Parameters!$I$10*N(U92)+(Parameters!$F$11=Parameters!$E$15)*Parameters!$I$11*N(V92)+(Parameters!$F$12=Parameters!$E$15)*Parameters!$I$12*N(W92))/((Parameters!$F$5=Parameters!$E$15)*Parameters!$I$5*ISNUMBER(P92)+(Parameters!$F$6=Parameters!$E$15)*Parameters!$I$6*ISNUMBER(Q92)+(Parameters!$F$7=Parameters!$E$15)*Parameters!$I$7*ISNUMBER(R92)+(Parameters!$F$8=Parameters!$E$15)*Parameters!$I$8*ISNUMBER(S92)+(Parameters!$F$9=Parameters!$E$15)*Parameters!$I$9*ISNUMBER(T92)+(Parameters!$F$10=Parameters!$E$15)*Parameters!$I$10*ISNUMBER(U92)+(Parameters!$F$11=Parameters!$E$15)*Parameters!$I$11*ISNUMBER(V92)+(Parameters!$F$12=Parameters!$E$15)*Parameters!$I$12*ISNUMBER(W92)),""))</f>
        <v>0.953333333333333</v>
      </c>
      <c r="AA92"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92+(Parameters!$F$12=Parameters!$E$16)*Parameters!$I$12*Y92)=0,"",IF(AND(((Parameters!$F$5=Parameters!$E$16)*Parameters!$I$5*ISNUMBER(P92)+(Parameters!$F$6=Parameters!$E$16)*Parameters!$I$6*ISNUMBER(Q92)+(Parameters!$F$7=Parameters!$E$16)*Parameters!$I$7*ISNUMBER(R92)+(Parameters!$F$8=Parameters!$E$16)*Parameters!$I$8*ISNUMBER(S92)+(Parameters!$F$9=Parameters!$E$16)*Parameters!$I$9*ISNUMBER(T92)+(Parameters!$F$10=Parameters!$E$16)*Parameters!$I$10*ISNUMBER(U92)+(Parameters!$F$11=Parameters!$E$16)*Parameters!$I$11*ISNUMBER(V92)+(Parameters!$F$12=Parameters!$E$16)*Parameters!$I$12*ISNUMBER(W92))&gt;0,((Parameters!$F$5=Parameters!$E$16)*Parameters!$I$5*ISNUMBER(P92)+(Parameters!$F$6=Parameters!$E$16)*Parameters!$I$6*ISNUMBER(Q92)+(Parameters!$F$7=Parameters!$E$16)*Parameters!$I$7*ISNUMBER(R92)+(Parameters!$F$8=Parameters!$E$16)*Parameters!$I$8*ISNUMBER(S92)+(Parameters!$F$9=Parameters!$E$16)*Parameters!$I$9*ISNUMBER(T92)+(Parameters!$F$10=Parameters!$E$16)*Parameters!$I$10*ISNUMBER(U92)+(Parameters!$F$11=Parameters!$E$16)*Parameters!$I$11*ISNUMBER(V92)+(Parameters!$F$12=Parameters!$E$16)*Parameters!$I$12*ISNUMBER(W92))/((Parameters!$F$5=Parameters!$E$16)*Parameters!$I$5*1+(Parameters!$F$6=Parameters!$E$16)*Parameters!$I$6*1+(Parameters!$F$7=Parameters!$E$16)*Parameters!$I$7*1+(Parameters!$F$8=Parameters!$E$16)*Parameters!$I$8*1+(Parameters!$F$9=Parameters!$E$16)*Parameters!$I$9*1+(Parameters!$F$10=Parameters!$E$16)*Parameters!$I$10*1+(Parameters!$F$11=Parameters!$E$16)*Parameters!$I$11*X92+(Parameters!$F$12=Parameters!$E$16)*Parameters!$I$12*Y92)&gt;=Parameters!$B$36),((Parameters!$F$5=Parameters!$E$16)*Parameters!$I$5*N(P92)+(Parameters!$F$6=Parameters!$E$16)*Parameters!$I$6*N(Q92)+(Parameters!$F$7=Parameters!$E$16)*Parameters!$I$7*N(R92)+(Parameters!$F$8=Parameters!$E$16)*Parameters!$I$8*N(S92)+(Parameters!$F$9=Parameters!$E$16)*Parameters!$I$9*N(T92)+(Parameters!$F$10=Parameters!$E$16)*Parameters!$I$10*N(U92)+(Parameters!$F$11=Parameters!$E$16)*Parameters!$I$11*N(V92)+(Parameters!$F$12=Parameters!$E$16)*Parameters!$I$12*N(W92))/((Parameters!$F$5=Parameters!$E$16)*Parameters!$I$5*ISNUMBER(P92)+(Parameters!$F$6=Parameters!$E$16)*Parameters!$I$6*ISNUMBER(Q92)+(Parameters!$F$7=Parameters!$E$16)*Parameters!$I$7*ISNUMBER(R92)+(Parameters!$F$8=Parameters!$E$16)*Parameters!$I$8*ISNUMBER(S92)+(Parameters!$F$9=Parameters!$E$16)*Parameters!$I$9*ISNUMBER(T92)+(Parameters!$F$10=Parameters!$E$16)*Parameters!$I$10*ISNUMBER(U92)+(Parameters!$F$11=Parameters!$E$16)*Parameters!$I$11*ISNUMBER(V92)+(Parameters!$F$12=Parameters!$E$16)*Parameters!$I$12*ISNUMBER(W92)),""))</f>
        <v>0.666666666666667</v>
      </c>
      <c r="AB92"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92+(Parameters!$F$12=Parameters!$E$17)*Parameters!$I$12*Y92)=0,"",IF(AND(((Parameters!$F$5=Parameters!$E$17)*Parameters!$I$5*ISNUMBER(P92)+(Parameters!$F$6=Parameters!$E$17)*Parameters!$I$6*ISNUMBER(Q92)+(Parameters!$F$7=Parameters!$E$17)*Parameters!$I$7*ISNUMBER(R92)+(Parameters!$F$8=Parameters!$E$17)*Parameters!$I$8*ISNUMBER(S92)+(Parameters!$F$9=Parameters!$E$17)*Parameters!$I$9*ISNUMBER(T92)+(Parameters!$F$10=Parameters!$E$17)*Parameters!$I$10*ISNUMBER(U92)+(Parameters!$F$11=Parameters!$E$17)*Parameters!$I$11*ISNUMBER(V92)+(Parameters!$F$12=Parameters!$E$17)*Parameters!$I$12*ISNUMBER(W92))&gt;0,((Parameters!$F$5=Parameters!$E$17)*Parameters!$I$5*ISNUMBER(P92)+(Parameters!$F$6=Parameters!$E$17)*Parameters!$I$6*ISNUMBER(Q92)+(Parameters!$F$7=Parameters!$E$17)*Parameters!$I$7*ISNUMBER(R92)+(Parameters!$F$8=Parameters!$E$17)*Parameters!$I$8*ISNUMBER(S92)+(Parameters!$F$9=Parameters!$E$17)*Parameters!$I$9*ISNUMBER(T92)+(Parameters!$F$10=Parameters!$E$17)*Parameters!$I$10*ISNUMBER(U92)+(Parameters!$F$11=Parameters!$E$17)*Parameters!$I$11*ISNUMBER(V92)+(Parameters!$F$12=Parameters!$E$17)*Parameters!$I$12*ISNUMBER(W92))/((Parameters!$F$5=Parameters!$E$17)*Parameters!$I$5*1+(Parameters!$F$6=Parameters!$E$17)*Parameters!$I$6*1+(Parameters!$F$7=Parameters!$E$17)*Parameters!$I$7*1+(Parameters!$F$8=Parameters!$E$17)*Parameters!$I$8*1+(Parameters!$F$9=Parameters!$E$17)*Parameters!$I$9*1+(Parameters!$F$10=Parameters!$E$17)*Parameters!$I$10*1+(Parameters!$F$11=Parameters!$E$17)*Parameters!$I$11*X92+(Parameters!$F$12=Parameters!$E$17)*Parameters!$I$12*Y92)&gt;=Parameters!$B$36),((Parameters!$F$5=Parameters!$E$17)*Parameters!$I$5*N(P92)+(Parameters!$F$6=Parameters!$E$17)*Parameters!$I$6*N(Q92)+(Parameters!$F$7=Parameters!$E$17)*Parameters!$I$7*N(R92)+(Parameters!$F$8=Parameters!$E$17)*Parameters!$I$8*N(S92)+(Parameters!$F$9=Parameters!$E$17)*Parameters!$I$9*N(T92)+(Parameters!$F$10=Parameters!$E$17)*Parameters!$I$10*N(U92)+(Parameters!$F$11=Parameters!$E$17)*Parameters!$I$11*N(V92)+(Parameters!$F$12=Parameters!$E$17)*Parameters!$I$12*N(W92))/((Parameters!$F$5=Parameters!$E$17)*Parameters!$I$5*ISNUMBER(P92)+(Parameters!$F$6=Parameters!$E$17)*Parameters!$I$6*ISNUMBER(Q92)+(Parameters!$F$7=Parameters!$E$17)*Parameters!$I$7*ISNUMBER(R92)+(Parameters!$F$8=Parameters!$E$17)*Parameters!$I$8*ISNUMBER(S92)+(Parameters!$F$9=Parameters!$E$17)*Parameters!$I$9*ISNUMBER(T92)+(Parameters!$F$10=Parameters!$E$17)*Parameters!$I$10*ISNUMBER(U92)+(Parameters!$F$11=Parameters!$E$17)*Parameters!$I$11*ISNUMBER(V92)+(Parameters!$F$12=Parameters!$E$17)*Parameters!$I$12*ISNUMBER(W92)),""))</f>
        <v>0</v>
      </c>
      <c r="AC92" s="17" t="n">
        <f aca="false">Parameters!$I$5*ISNUMBER(P92)+Parameters!$I$6*ISNUMBER(Q92)+Parameters!$I$7*ISNUMBER(R92)+Parameters!$I$8*ISNUMBER(S92)+Parameters!$I$9*ISNUMBER(T92)+Parameters!$I$10*ISNUMBER(U92)+Parameters!$I$11*ISNUMBER(V92)+Parameters!$I$12*ISNUMBER(W92)</f>
        <v>75</v>
      </c>
      <c r="AD92" s="17" t="n">
        <f aca="false">Parameters!$I$5*1+Parameters!$I$6*1+Parameters!$I$7*1+Parameters!$I$8*1+Parameters!$I$9*1+Parameters!$I$10*1+Parameters!$I$11*X92+Parameters!$I$12*Y92</f>
        <v>85</v>
      </c>
      <c r="AE92" s="18" t="n">
        <f aca="false">IF(AD92=0,"",AC92/AD92)</f>
        <v>0.882352941176471</v>
      </c>
      <c r="AF92" s="17" t="str">
        <f aca="false">IF(ISNUMBER(Z92),"M","")&amp;IF(ISNUMBER(AA92),"I","")&amp;IF(ISNUMBER(AB92),"O","")</f>
        <v>MIO</v>
      </c>
      <c r="AG92" s="19" t="n">
        <f aca="false">IF(AND(ISNUMBER(AE92),ISNUMBER(Z92)+ISNUMBER(AA92)+ISNUMBER(AB92)&gt;=Parameters!$B$37),IF(AE92&gt;=Parameters!$B$35,100*(Parameters!$F$15*N(Z92)+Parameters!$F$16*N(AA92)+Parameters!$F$17*N(AB92))/(Parameters!$F$15*ISNUMBER(Z92)+Parameters!$F$16*ISNUMBER(AA92)+Parameters!$F$17*ISNUMBER(AB92)),""),"")</f>
        <v>67.6666666666667</v>
      </c>
      <c r="AH92" s="17" t="n">
        <f aca="false">IF(ISNUMBER(AG92),RANK(AG92,$AG$2:$AG$113),"")</f>
        <v>101</v>
      </c>
    </row>
    <row r="93" customFormat="false" ht="15" hidden="false" customHeight="false" outlineLevel="0" collapsed="false">
      <c r="A93" s="5" t="s">
        <v>429</v>
      </c>
      <c r="B93" s="5" t="s">
        <v>430</v>
      </c>
      <c r="C93" s="5" t="s">
        <v>431</v>
      </c>
      <c r="D93" s="5" t="s">
        <v>31</v>
      </c>
      <c r="E93" s="5" t="s">
        <v>44</v>
      </c>
      <c r="F93" s="5" t="s">
        <v>265</v>
      </c>
      <c r="G93" s="20" t="s">
        <v>432</v>
      </c>
      <c r="H93" s="8" t="n">
        <v>1</v>
      </c>
      <c r="I93" s="5" t="s">
        <v>57</v>
      </c>
      <c r="J93" s="5" t="s">
        <v>62</v>
      </c>
      <c r="K93" s="15"/>
      <c r="L93" s="5" t="s">
        <v>157</v>
      </c>
      <c r="M93" s="5" t="s">
        <v>157</v>
      </c>
      <c r="N93" s="5" t="s">
        <v>173</v>
      </c>
      <c r="O93" s="5" t="s">
        <v>197</v>
      </c>
      <c r="P93" s="16" t="n">
        <f aca="false">IFERROR(IF(ISNUMBER(INDEX(Parameters!$B$5:$B$23,MATCH(D93,Parameters!$A$5:$A$23,0))),INDEX(Parameters!$B$5:$B$23,MATCH(D93,Parameters!$A$5:$A$23,0)),""),"")</f>
        <v>1</v>
      </c>
      <c r="Q93" s="16" t="n">
        <f aca="false">IFERROR(IF(ISNUMBER(INDEX(Parameters!$B$5:$B$23,MATCH(E93,Parameters!$A$5:$A$23,0))),INDEX(Parameters!$B$5:$B$23,MATCH(E93,Parameters!$A$5:$A$23,0)),""),"")</f>
        <v>1</v>
      </c>
      <c r="R93" s="16" t="n">
        <f aca="false">IF(F93="","",IFERROR(MIN(Parameters!$B$33,MAX(0,Parameters!$B$32-VALUE(LEFT(F93,4))))/Parameters!$B$33,""))</f>
        <v>0.6</v>
      </c>
      <c r="S93" s="16" t="n">
        <f aca="false">IF(ISNUMBER(H93),H93,IF(G93="",IF(ISNUMBER(Parameters!$B$34),Parameters!$B$34,""),""))</f>
        <v>1</v>
      </c>
      <c r="T93" s="16" t="n">
        <f aca="false">IFERROR(IF(ISNUMBER(INDEX(Parameters!$B$5:$B$23,MATCH(I93,Parameters!$A$5:$A$23,0))),INDEX(Parameters!$B$5:$B$23,MATCH(I93,Parameters!$A$5:$A$23,0)),""),"")</f>
        <v>0</v>
      </c>
      <c r="U93" s="16" t="str">
        <f aca="false">IFERROR(IF(ISNUMBER(INDEX(Parameters!$B$5:$B$23,MATCH(L93,Parameters!$A$5:$A$23,0))),INDEX(Parameters!$B$5:$B$23,MATCH(L93,Parameters!$A$5:$A$23,0)),""),"")</f>
        <v/>
      </c>
      <c r="V93" s="16" t="n">
        <f aca="false">IFERROR(IF(ISNUMBER(INDEX(Parameters!$B$5:$B$23,MATCH(J93,Parameters!$A$5:$A$23,0))),INDEX(Parameters!$B$5:$B$23,MATCH(J93,Parameters!$A$5:$A$23,0)),""),"")</f>
        <v>0</v>
      </c>
      <c r="W93" s="16" t="str">
        <f aca="false">IF(K93&lt;&gt;"",1,IF(COUNTIF(Parameters!$A$27:$A$28,J93)&gt;0,0,""))</f>
        <v/>
      </c>
      <c r="X93" s="17" t="n">
        <f aca="false">IF(J93="Not applicable",0,1)</f>
        <v>1</v>
      </c>
      <c r="Y93" s="17" t="n">
        <f aca="false">IF(OR(K93&lt;&gt;"",COUNTIF(Parameters!$A$27:$A$28,J93)&gt;0),1,0)</f>
        <v>0</v>
      </c>
      <c r="Z93"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93+(Parameters!$F$12=Parameters!$E$15)*Parameters!$I$12*Y93)=0,"",IF(AND(((Parameters!$F$5=Parameters!$E$15)*Parameters!$I$5*ISNUMBER(P93)+(Parameters!$F$6=Parameters!$E$15)*Parameters!$I$6*ISNUMBER(Q93)+(Parameters!$F$7=Parameters!$E$15)*Parameters!$I$7*ISNUMBER(R93)+(Parameters!$F$8=Parameters!$E$15)*Parameters!$I$8*ISNUMBER(S93)+(Parameters!$F$9=Parameters!$E$15)*Parameters!$I$9*ISNUMBER(T93)+(Parameters!$F$10=Parameters!$E$15)*Parameters!$I$10*ISNUMBER(U93)+(Parameters!$F$11=Parameters!$E$15)*Parameters!$I$11*ISNUMBER(V93)+(Parameters!$F$12=Parameters!$E$15)*Parameters!$I$12*ISNUMBER(W93))&gt;0,((Parameters!$F$5=Parameters!$E$15)*Parameters!$I$5*ISNUMBER(P93)+(Parameters!$F$6=Parameters!$E$15)*Parameters!$I$6*ISNUMBER(Q93)+(Parameters!$F$7=Parameters!$E$15)*Parameters!$I$7*ISNUMBER(R93)+(Parameters!$F$8=Parameters!$E$15)*Parameters!$I$8*ISNUMBER(S93)+(Parameters!$F$9=Parameters!$E$15)*Parameters!$I$9*ISNUMBER(T93)+(Parameters!$F$10=Parameters!$E$15)*Parameters!$I$10*ISNUMBER(U93)+(Parameters!$F$11=Parameters!$E$15)*Parameters!$I$11*ISNUMBER(V93)+(Parameters!$F$12=Parameters!$E$15)*Parameters!$I$12*ISNUMBER(W93))/((Parameters!$F$5=Parameters!$E$15)*Parameters!$I$5*1+(Parameters!$F$6=Parameters!$E$15)*Parameters!$I$6*1+(Parameters!$F$7=Parameters!$E$15)*Parameters!$I$7*1+(Parameters!$F$8=Parameters!$E$15)*Parameters!$I$8*1+(Parameters!$F$9=Parameters!$E$15)*Parameters!$I$9*1+(Parameters!$F$10=Parameters!$E$15)*Parameters!$I$10*1+(Parameters!$F$11=Parameters!$E$15)*Parameters!$I$11*X93+(Parameters!$F$12=Parameters!$E$15)*Parameters!$I$12*Y93)&gt;=Parameters!$B$36),((Parameters!$F$5=Parameters!$E$15)*Parameters!$I$5*N(P93)+(Parameters!$F$6=Parameters!$E$15)*Parameters!$I$6*N(Q93)+(Parameters!$F$7=Parameters!$E$15)*Parameters!$I$7*N(R93)+(Parameters!$F$8=Parameters!$E$15)*Parameters!$I$8*N(S93)+(Parameters!$F$9=Parameters!$E$15)*Parameters!$I$9*N(T93)+(Parameters!$F$10=Parameters!$E$15)*Parameters!$I$10*N(U93)+(Parameters!$F$11=Parameters!$E$15)*Parameters!$I$11*N(V93)+(Parameters!$F$12=Parameters!$E$15)*Parameters!$I$12*N(W93))/((Parameters!$F$5=Parameters!$E$15)*Parameters!$I$5*ISNUMBER(P93)+(Parameters!$F$6=Parameters!$E$15)*Parameters!$I$6*ISNUMBER(Q93)+(Parameters!$F$7=Parameters!$E$15)*Parameters!$I$7*ISNUMBER(R93)+(Parameters!$F$8=Parameters!$E$15)*Parameters!$I$8*ISNUMBER(S93)+(Parameters!$F$9=Parameters!$E$15)*Parameters!$I$9*ISNUMBER(T93)+(Parameters!$F$10=Parameters!$E$15)*Parameters!$I$10*ISNUMBER(U93)+(Parameters!$F$11=Parameters!$E$15)*Parameters!$I$11*ISNUMBER(V93)+(Parameters!$F$12=Parameters!$E$15)*Parameters!$I$12*ISNUMBER(W93)),""))</f>
        <v>0.96</v>
      </c>
      <c r="AA93"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93+(Parameters!$F$12=Parameters!$E$16)*Parameters!$I$12*Y93)=0,"",IF(AND(((Parameters!$F$5=Parameters!$E$16)*Parameters!$I$5*ISNUMBER(P93)+(Parameters!$F$6=Parameters!$E$16)*Parameters!$I$6*ISNUMBER(Q93)+(Parameters!$F$7=Parameters!$E$16)*Parameters!$I$7*ISNUMBER(R93)+(Parameters!$F$8=Parameters!$E$16)*Parameters!$I$8*ISNUMBER(S93)+(Parameters!$F$9=Parameters!$E$16)*Parameters!$I$9*ISNUMBER(T93)+(Parameters!$F$10=Parameters!$E$16)*Parameters!$I$10*ISNUMBER(U93)+(Parameters!$F$11=Parameters!$E$16)*Parameters!$I$11*ISNUMBER(V93)+(Parameters!$F$12=Parameters!$E$16)*Parameters!$I$12*ISNUMBER(W93))&gt;0,((Parameters!$F$5=Parameters!$E$16)*Parameters!$I$5*ISNUMBER(P93)+(Parameters!$F$6=Parameters!$E$16)*Parameters!$I$6*ISNUMBER(Q93)+(Parameters!$F$7=Parameters!$E$16)*Parameters!$I$7*ISNUMBER(R93)+(Parameters!$F$8=Parameters!$E$16)*Parameters!$I$8*ISNUMBER(S93)+(Parameters!$F$9=Parameters!$E$16)*Parameters!$I$9*ISNUMBER(T93)+(Parameters!$F$10=Parameters!$E$16)*Parameters!$I$10*ISNUMBER(U93)+(Parameters!$F$11=Parameters!$E$16)*Parameters!$I$11*ISNUMBER(V93)+(Parameters!$F$12=Parameters!$E$16)*Parameters!$I$12*ISNUMBER(W93))/((Parameters!$F$5=Parameters!$E$16)*Parameters!$I$5*1+(Parameters!$F$6=Parameters!$E$16)*Parameters!$I$6*1+(Parameters!$F$7=Parameters!$E$16)*Parameters!$I$7*1+(Parameters!$F$8=Parameters!$E$16)*Parameters!$I$8*1+(Parameters!$F$9=Parameters!$E$16)*Parameters!$I$9*1+(Parameters!$F$10=Parameters!$E$16)*Parameters!$I$10*1+(Parameters!$F$11=Parameters!$E$16)*Parameters!$I$11*X93+(Parameters!$F$12=Parameters!$E$16)*Parameters!$I$12*Y93)&gt;=Parameters!$B$36),((Parameters!$F$5=Parameters!$E$16)*Parameters!$I$5*N(P93)+(Parameters!$F$6=Parameters!$E$16)*Parameters!$I$6*N(Q93)+(Parameters!$F$7=Parameters!$E$16)*Parameters!$I$7*N(R93)+(Parameters!$F$8=Parameters!$E$16)*Parameters!$I$8*N(S93)+(Parameters!$F$9=Parameters!$E$16)*Parameters!$I$9*N(T93)+(Parameters!$F$10=Parameters!$E$16)*Parameters!$I$10*N(U93)+(Parameters!$F$11=Parameters!$E$16)*Parameters!$I$11*N(V93)+(Parameters!$F$12=Parameters!$E$16)*Parameters!$I$12*N(W93))/((Parameters!$F$5=Parameters!$E$16)*Parameters!$I$5*ISNUMBER(P93)+(Parameters!$F$6=Parameters!$E$16)*Parameters!$I$6*ISNUMBER(Q93)+(Parameters!$F$7=Parameters!$E$16)*Parameters!$I$7*ISNUMBER(R93)+(Parameters!$F$8=Parameters!$E$16)*Parameters!$I$8*ISNUMBER(S93)+(Parameters!$F$9=Parameters!$E$16)*Parameters!$I$9*ISNUMBER(T93)+(Parameters!$F$10=Parameters!$E$16)*Parameters!$I$10*ISNUMBER(U93)+(Parameters!$F$11=Parameters!$E$16)*Parameters!$I$11*ISNUMBER(V93)+(Parameters!$F$12=Parameters!$E$16)*Parameters!$I$12*ISNUMBER(W93)),""))</f>
        <v>0.666666666666667</v>
      </c>
      <c r="AB93"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93+(Parameters!$F$12=Parameters!$E$17)*Parameters!$I$12*Y93)=0,"",IF(AND(((Parameters!$F$5=Parameters!$E$17)*Parameters!$I$5*ISNUMBER(P93)+(Parameters!$F$6=Parameters!$E$17)*Parameters!$I$6*ISNUMBER(Q93)+(Parameters!$F$7=Parameters!$E$17)*Parameters!$I$7*ISNUMBER(R93)+(Parameters!$F$8=Parameters!$E$17)*Parameters!$I$8*ISNUMBER(S93)+(Parameters!$F$9=Parameters!$E$17)*Parameters!$I$9*ISNUMBER(T93)+(Parameters!$F$10=Parameters!$E$17)*Parameters!$I$10*ISNUMBER(U93)+(Parameters!$F$11=Parameters!$E$17)*Parameters!$I$11*ISNUMBER(V93)+(Parameters!$F$12=Parameters!$E$17)*Parameters!$I$12*ISNUMBER(W93))&gt;0,((Parameters!$F$5=Parameters!$E$17)*Parameters!$I$5*ISNUMBER(P93)+(Parameters!$F$6=Parameters!$E$17)*Parameters!$I$6*ISNUMBER(Q93)+(Parameters!$F$7=Parameters!$E$17)*Parameters!$I$7*ISNUMBER(R93)+(Parameters!$F$8=Parameters!$E$17)*Parameters!$I$8*ISNUMBER(S93)+(Parameters!$F$9=Parameters!$E$17)*Parameters!$I$9*ISNUMBER(T93)+(Parameters!$F$10=Parameters!$E$17)*Parameters!$I$10*ISNUMBER(U93)+(Parameters!$F$11=Parameters!$E$17)*Parameters!$I$11*ISNUMBER(V93)+(Parameters!$F$12=Parameters!$E$17)*Parameters!$I$12*ISNUMBER(W93))/((Parameters!$F$5=Parameters!$E$17)*Parameters!$I$5*1+(Parameters!$F$6=Parameters!$E$17)*Parameters!$I$6*1+(Parameters!$F$7=Parameters!$E$17)*Parameters!$I$7*1+(Parameters!$F$8=Parameters!$E$17)*Parameters!$I$8*1+(Parameters!$F$9=Parameters!$E$17)*Parameters!$I$9*1+(Parameters!$F$10=Parameters!$E$17)*Parameters!$I$10*1+(Parameters!$F$11=Parameters!$E$17)*Parameters!$I$11*X93+(Parameters!$F$12=Parameters!$E$17)*Parameters!$I$12*Y93)&gt;=Parameters!$B$36),((Parameters!$F$5=Parameters!$E$17)*Parameters!$I$5*N(P93)+(Parameters!$F$6=Parameters!$E$17)*Parameters!$I$6*N(Q93)+(Parameters!$F$7=Parameters!$E$17)*Parameters!$I$7*N(R93)+(Parameters!$F$8=Parameters!$E$17)*Parameters!$I$8*N(S93)+(Parameters!$F$9=Parameters!$E$17)*Parameters!$I$9*N(T93)+(Parameters!$F$10=Parameters!$E$17)*Parameters!$I$10*N(U93)+(Parameters!$F$11=Parameters!$E$17)*Parameters!$I$11*N(V93)+(Parameters!$F$12=Parameters!$E$17)*Parameters!$I$12*N(W93))/((Parameters!$F$5=Parameters!$E$17)*Parameters!$I$5*ISNUMBER(P93)+(Parameters!$F$6=Parameters!$E$17)*Parameters!$I$6*ISNUMBER(Q93)+(Parameters!$F$7=Parameters!$E$17)*Parameters!$I$7*ISNUMBER(R93)+(Parameters!$F$8=Parameters!$E$17)*Parameters!$I$8*ISNUMBER(S93)+(Parameters!$F$9=Parameters!$E$17)*Parameters!$I$9*ISNUMBER(T93)+(Parameters!$F$10=Parameters!$E$17)*Parameters!$I$10*ISNUMBER(U93)+(Parameters!$F$11=Parameters!$E$17)*Parameters!$I$11*ISNUMBER(V93)+(Parameters!$F$12=Parameters!$E$17)*Parameters!$I$12*ISNUMBER(W93)),""))</f>
        <v>0</v>
      </c>
      <c r="AC93" s="17" t="n">
        <f aca="false">Parameters!$I$5*ISNUMBER(P93)+Parameters!$I$6*ISNUMBER(Q93)+Parameters!$I$7*ISNUMBER(R93)+Parameters!$I$8*ISNUMBER(S93)+Parameters!$I$9*ISNUMBER(T93)+Parameters!$I$10*ISNUMBER(U93)+Parameters!$I$11*ISNUMBER(V93)+Parameters!$I$12*ISNUMBER(W93)</f>
        <v>75</v>
      </c>
      <c r="AD93" s="17" t="n">
        <f aca="false">Parameters!$I$5*1+Parameters!$I$6*1+Parameters!$I$7*1+Parameters!$I$8*1+Parameters!$I$9*1+Parameters!$I$10*1+Parameters!$I$11*X93+Parameters!$I$12*Y93</f>
        <v>85</v>
      </c>
      <c r="AE93" s="18" t="n">
        <f aca="false">IF(AD93=0,"",AC93/AD93)</f>
        <v>0.882352941176471</v>
      </c>
      <c r="AF93" s="17" t="str">
        <f aca="false">IF(ISNUMBER(Z93),"M","")&amp;IF(ISNUMBER(AA93),"I","")&amp;IF(ISNUMBER(AB93),"O","")</f>
        <v>MIO</v>
      </c>
      <c r="AG93" s="19" t="n">
        <f aca="false">IF(AND(ISNUMBER(AE93),ISNUMBER(Z93)+ISNUMBER(AA93)+ISNUMBER(AB93)&gt;=Parameters!$B$37),IF(AE93&gt;=Parameters!$B$35,100*(Parameters!$F$15*N(Z93)+Parameters!$F$16*N(AA93)+Parameters!$F$17*N(AB93))/(Parameters!$F$15*ISNUMBER(Z93)+Parameters!$F$16*ISNUMBER(AA93)+Parameters!$F$17*ISNUMBER(AB93)),""),"")</f>
        <v>68</v>
      </c>
      <c r="AH93" s="17" t="n">
        <f aca="false">IF(ISNUMBER(AG93),RANK(AG93,$AG$2:$AG$113),"")</f>
        <v>100</v>
      </c>
    </row>
    <row r="94" customFormat="false" ht="15" hidden="false" customHeight="false" outlineLevel="0" collapsed="false">
      <c r="A94" s="5" t="s">
        <v>433</v>
      </c>
      <c r="B94" s="5" t="s">
        <v>434</v>
      </c>
      <c r="C94" s="5" t="s">
        <v>306</v>
      </c>
      <c r="D94" s="5" t="s">
        <v>36</v>
      </c>
      <c r="E94" s="5" t="s">
        <v>44</v>
      </c>
      <c r="F94" s="5" t="s">
        <v>146</v>
      </c>
      <c r="G94" s="15"/>
      <c r="H94" s="8"/>
      <c r="I94" s="5" t="s">
        <v>57</v>
      </c>
      <c r="J94" s="5" t="s">
        <v>66</v>
      </c>
      <c r="K94" s="15"/>
      <c r="L94" s="5" t="s">
        <v>76</v>
      </c>
      <c r="M94" s="5" t="s">
        <v>136</v>
      </c>
      <c r="N94" s="5"/>
      <c r="O94" s="5"/>
      <c r="P94" s="16" t="n">
        <f aca="false">IFERROR(IF(ISNUMBER(INDEX(Parameters!$B$5:$B$23,MATCH(D94,Parameters!$A$5:$A$23,0))),INDEX(Parameters!$B$5:$B$23,MATCH(D94,Parameters!$A$5:$A$23,0)),""),"")</f>
        <v>0.888888888888889</v>
      </c>
      <c r="Q94" s="16" t="n">
        <f aca="false">IFERROR(IF(ISNUMBER(INDEX(Parameters!$B$5:$B$23,MATCH(E94,Parameters!$A$5:$A$23,0))),INDEX(Parameters!$B$5:$B$23,MATCH(E94,Parameters!$A$5:$A$23,0)),""),"")</f>
        <v>1</v>
      </c>
      <c r="R94" s="16" t="n">
        <f aca="false">IF(F94="","",IFERROR(MIN(Parameters!$B$33,MAX(0,Parameters!$B$32-VALUE(LEFT(F94,4))))/Parameters!$B$33,""))</f>
        <v>0.533333333333333</v>
      </c>
      <c r="S94" s="16" t="str">
        <f aca="false">IF(ISNUMBER(H94),H94,IF(G94="",IF(ISNUMBER(Parameters!$B$34),Parameters!$B$34,""),""))</f>
        <v/>
      </c>
      <c r="T94" s="16" t="n">
        <f aca="false">IFERROR(IF(ISNUMBER(INDEX(Parameters!$B$5:$B$23,MATCH(I94,Parameters!$A$5:$A$23,0))),INDEX(Parameters!$B$5:$B$23,MATCH(I94,Parameters!$A$5:$A$23,0)),""),"")</f>
        <v>0</v>
      </c>
      <c r="U94" s="16" t="n">
        <f aca="false">IFERROR(IF(ISNUMBER(INDEX(Parameters!$B$5:$B$23,MATCH(L94,Parameters!$A$5:$A$23,0))),INDEX(Parameters!$B$5:$B$23,MATCH(L94,Parameters!$A$5:$A$23,0)),""),"")</f>
        <v>1</v>
      </c>
      <c r="V94" s="16" t="n">
        <f aca="false">IFERROR(IF(ISNUMBER(INDEX(Parameters!$B$5:$B$23,MATCH(J94,Parameters!$A$5:$A$23,0))),INDEX(Parameters!$B$5:$B$23,MATCH(J94,Parameters!$A$5:$A$23,0)),""),"")</f>
        <v>1</v>
      </c>
      <c r="W94" s="16" t="str">
        <f aca="false">IF(K94&lt;&gt;"",1,IF(COUNTIF(Parameters!$A$27:$A$28,J94)&gt;0,0,""))</f>
        <v/>
      </c>
      <c r="X94" s="17" t="n">
        <f aca="false">IF(J94="Not applicable",0,1)</f>
        <v>1</v>
      </c>
      <c r="Y94" s="17" t="n">
        <f aca="false">IF(OR(K94&lt;&gt;"",COUNTIF(Parameters!$A$27:$A$28,J94)&gt;0),1,0)</f>
        <v>0</v>
      </c>
      <c r="Z94"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94+(Parameters!$F$12=Parameters!$E$15)*Parameters!$I$12*Y94)=0,"",IF(AND(((Parameters!$F$5=Parameters!$E$15)*Parameters!$I$5*ISNUMBER(P94)+(Parameters!$F$6=Parameters!$E$15)*Parameters!$I$6*ISNUMBER(Q94)+(Parameters!$F$7=Parameters!$E$15)*Parameters!$I$7*ISNUMBER(R94)+(Parameters!$F$8=Parameters!$E$15)*Parameters!$I$8*ISNUMBER(S94)+(Parameters!$F$9=Parameters!$E$15)*Parameters!$I$9*ISNUMBER(T94)+(Parameters!$F$10=Parameters!$E$15)*Parameters!$I$10*ISNUMBER(U94)+(Parameters!$F$11=Parameters!$E$15)*Parameters!$I$11*ISNUMBER(V94)+(Parameters!$F$12=Parameters!$E$15)*Parameters!$I$12*ISNUMBER(W94))&gt;0,((Parameters!$F$5=Parameters!$E$15)*Parameters!$I$5*ISNUMBER(P94)+(Parameters!$F$6=Parameters!$E$15)*Parameters!$I$6*ISNUMBER(Q94)+(Parameters!$F$7=Parameters!$E$15)*Parameters!$I$7*ISNUMBER(R94)+(Parameters!$F$8=Parameters!$E$15)*Parameters!$I$8*ISNUMBER(S94)+(Parameters!$F$9=Parameters!$E$15)*Parameters!$I$9*ISNUMBER(T94)+(Parameters!$F$10=Parameters!$E$15)*Parameters!$I$10*ISNUMBER(U94)+(Parameters!$F$11=Parameters!$E$15)*Parameters!$I$11*ISNUMBER(V94)+(Parameters!$F$12=Parameters!$E$15)*Parameters!$I$12*ISNUMBER(W94))/((Parameters!$F$5=Parameters!$E$15)*Parameters!$I$5*1+(Parameters!$F$6=Parameters!$E$15)*Parameters!$I$6*1+(Parameters!$F$7=Parameters!$E$15)*Parameters!$I$7*1+(Parameters!$F$8=Parameters!$E$15)*Parameters!$I$8*1+(Parameters!$F$9=Parameters!$E$15)*Parameters!$I$9*1+(Parameters!$F$10=Parameters!$E$15)*Parameters!$I$10*1+(Parameters!$F$11=Parameters!$E$15)*Parameters!$I$11*X94+(Parameters!$F$12=Parameters!$E$15)*Parameters!$I$12*Y94)&gt;=Parameters!$B$36),((Parameters!$F$5=Parameters!$E$15)*Parameters!$I$5*N(P94)+(Parameters!$F$6=Parameters!$E$15)*Parameters!$I$6*N(Q94)+(Parameters!$F$7=Parameters!$E$15)*Parameters!$I$7*N(R94)+(Parameters!$F$8=Parameters!$E$15)*Parameters!$I$8*N(S94)+(Parameters!$F$9=Parameters!$E$15)*Parameters!$I$9*N(T94)+(Parameters!$F$10=Parameters!$E$15)*Parameters!$I$10*N(U94)+(Parameters!$F$11=Parameters!$E$15)*Parameters!$I$11*N(V94)+(Parameters!$F$12=Parameters!$E$15)*Parameters!$I$12*N(W94))/((Parameters!$F$5=Parameters!$E$15)*Parameters!$I$5*ISNUMBER(P94)+(Parameters!$F$6=Parameters!$E$15)*Parameters!$I$6*ISNUMBER(Q94)+(Parameters!$F$7=Parameters!$E$15)*Parameters!$I$7*ISNUMBER(R94)+(Parameters!$F$8=Parameters!$E$15)*Parameters!$I$8*ISNUMBER(S94)+(Parameters!$F$9=Parameters!$E$15)*Parameters!$I$9*ISNUMBER(T94)+(Parameters!$F$10=Parameters!$E$15)*Parameters!$I$10*ISNUMBER(U94)+(Parameters!$F$11=Parameters!$E$15)*Parameters!$I$11*ISNUMBER(V94)+(Parameters!$F$12=Parameters!$E$15)*Parameters!$I$12*ISNUMBER(W94)),""))</f>
        <v>0.908888888888889</v>
      </c>
      <c r="AA94"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94+(Parameters!$F$12=Parameters!$E$16)*Parameters!$I$12*Y94)=0,"",IF(AND(((Parameters!$F$5=Parameters!$E$16)*Parameters!$I$5*ISNUMBER(P94)+(Parameters!$F$6=Parameters!$E$16)*Parameters!$I$6*ISNUMBER(Q94)+(Parameters!$F$7=Parameters!$E$16)*Parameters!$I$7*ISNUMBER(R94)+(Parameters!$F$8=Parameters!$E$16)*Parameters!$I$8*ISNUMBER(S94)+(Parameters!$F$9=Parameters!$E$16)*Parameters!$I$9*ISNUMBER(T94)+(Parameters!$F$10=Parameters!$E$16)*Parameters!$I$10*ISNUMBER(U94)+(Parameters!$F$11=Parameters!$E$16)*Parameters!$I$11*ISNUMBER(V94)+(Parameters!$F$12=Parameters!$E$16)*Parameters!$I$12*ISNUMBER(W94))&gt;0,((Parameters!$F$5=Parameters!$E$16)*Parameters!$I$5*ISNUMBER(P94)+(Parameters!$F$6=Parameters!$E$16)*Parameters!$I$6*ISNUMBER(Q94)+(Parameters!$F$7=Parameters!$E$16)*Parameters!$I$7*ISNUMBER(R94)+(Parameters!$F$8=Parameters!$E$16)*Parameters!$I$8*ISNUMBER(S94)+(Parameters!$F$9=Parameters!$E$16)*Parameters!$I$9*ISNUMBER(T94)+(Parameters!$F$10=Parameters!$E$16)*Parameters!$I$10*ISNUMBER(U94)+(Parameters!$F$11=Parameters!$E$16)*Parameters!$I$11*ISNUMBER(V94)+(Parameters!$F$12=Parameters!$E$16)*Parameters!$I$12*ISNUMBER(W94))/((Parameters!$F$5=Parameters!$E$16)*Parameters!$I$5*1+(Parameters!$F$6=Parameters!$E$16)*Parameters!$I$6*1+(Parameters!$F$7=Parameters!$E$16)*Parameters!$I$7*1+(Parameters!$F$8=Parameters!$E$16)*Parameters!$I$8*1+(Parameters!$F$9=Parameters!$E$16)*Parameters!$I$9*1+(Parameters!$F$10=Parameters!$E$16)*Parameters!$I$10*1+(Parameters!$F$11=Parameters!$E$16)*Parameters!$I$11*X94+(Parameters!$F$12=Parameters!$E$16)*Parameters!$I$12*Y94)&gt;=Parameters!$B$36),((Parameters!$F$5=Parameters!$E$16)*Parameters!$I$5*N(P94)+(Parameters!$F$6=Parameters!$E$16)*Parameters!$I$6*N(Q94)+(Parameters!$F$7=Parameters!$E$16)*Parameters!$I$7*N(R94)+(Parameters!$F$8=Parameters!$E$16)*Parameters!$I$8*N(S94)+(Parameters!$F$9=Parameters!$E$16)*Parameters!$I$9*N(T94)+(Parameters!$F$10=Parameters!$E$16)*Parameters!$I$10*N(U94)+(Parameters!$F$11=Parameters!$E$16)*Parameters!$I$11*N(V94)+(Parameters!$F$12=Parameters!$E$16)*Parameters!$I$12*N(W94))/((Parameters!$F$5=Parameters!$E$16)*Parameters!$I$5*ISNUMBER(P94)+(Parameters!$F$6=Parameters!$E$16)*Parameters!$I$6*ISNUMBER(Q94)+(Parameters!$F$7=Parameters!$E$16)*Parameters!$I$7*ISNUMBER(R94)+(Parameters!$F$8=Parameters!$E$16)*Parameters!$I$8*ISNUMBER(S94)+(Parameters!$F$9=Parameters!$E$16)*Parameters!$I$9*ISNUMBER(T94)+(Parameters!$F$10=Parameters!$E$16)*Parameters!$I$10*ISNUMBER(U94)+(Parameters!$F$11=Parameters!$E$16)*Parameters!$I$11*ISNUMBER(V94)+(Parameters!$F$12=Parameters!$E$16)*Parameters!$I$12*ISNUMBER(W94)),""))</f>
        <v>0.666666666666667</v>
      </c>
      <c r="AB94"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94+(Parameters!$F$12=Parameters!$E$17)*Parameters!$I$12*Y94)=0,"",IF(AND(((Parameters!$F$5=Parameters!$E$17)*Parameters!$I$5*ISNUMBER(P94)+(Parameters!$F$6=Parameters!$E$17)*Parameters!$I$6*ISNUMBER(Q94)+(Parameters!$F$7=Parameters!$E$17)*Parameters!$I$7*ISNUMBER(R94)+(Parameters!$F$8=Parameters!$E$17)*Parameters!$I$8*ISNUMBER(S94)+(Parameters!$F$9=Parameters!$E$17)*Parameters!$I$9*ISNUMBER(T94)+(Parameters!$F$10=Parameters!$E$17)*Parameters!$I$10*ISNUMBER(U94)+(Parameters!$F$11=Parameters!$E$17)*Parameters!$I$11*ISNUMBER(V94)+(Parameters!$F$12=Parameters!$E$17)*Parameters!$I$12*ISNUMBER(W94))&gt;0,((Parameters!$F$5=Parameters!$E$17)*Parameters!$I$5*ISNUMBER(P94)+(Parameters!$F$6=Parameters!$E$17)*Parameters!$I$6*ISNUMBER(Q94)+(Parameters!$F$7=Parameters!$E$17)*Parameters!$I$7*ISNUMBER(R94)+(Parameters!$F$8=Parameters!$E$17)*Parameters!$I$8*ISNUMBER(S94)+(Parameters!$F$9=Parameters!$E$17)*Parameters!$I$9*ISNUMBER(T94)+(Parameters!$F$10=Parameters!$E$17)*Parameters!$I$10*ISNUMBER(U94)+(Parameters!$F$11=Parameters!$E$17)*Parameters!$I$11*ISNUMBER(V94)+(Parameters!$F$12=Parameters!$E$17)*Parameters!$I$12*ISNUMBER(W94))/((Parameters!$F$5=Parameters!$E$17)*Parameters!$I$5*1+(Parameters!$F$6=Parameters!$E$17)*Parameters!$I$6*1+(Parameters!$F$7=Parameters!$E$17)*Parameters!$I$7*1+(Parameters!$F$8=Parameters!$E$17)*Parameters!$I$8*1+(Parameters!$F$9=Parameters!$E$17)*Parameters!$I$9*1+(Parameters!$F$10=Parameters!$E$17)*Parameters!$I$10*1+(Parameters!$F$11=Parameters!$E$17)*Parameters!$I$11*X94+(Parameters!$F$12=Parameters!$E$17)*Parameters!$I$12*Y94)&gt;=Parameters!$B$36),((Parameters!$F$5=Parameters!$E$17)*Parameters!$I$5*N(P94)+(Parameters!$F$6=Parameters!$E$17)*Parameters!$I$6*N(Q94)+(Parameters!$F$7=Parameters!$E$17)*Parameters!$I$7*N(R94)+(Parameters!$F$8=Parameters!$E$17)*Parameters!$I$8*N(S94)+(Parameters!$F$9=Parameters!$E$17)*Parameters!$I$9*N(T94)+(Parameters!$F$10=Parameters!$E$17)*Parameters!$I$10*N(U94)+(Parameters!$F$11=Parameters!$E$17)*Parameters!$I$11*N(V94)+(Parameters!$F$12=Parameters!$E$17)*Parameters!$I$12*N(W94))/((Parameters!$F$5=Parameters!$E$17)*Parameters!$I$5*ISNUMBER(P94)+(Parameters!$F$6=Parameters!$E$17)*Parameters!$I$6*ISNUMBER(Q94)+(Parameters!$F$7=Parameters!$E$17)*Parameters!$I$7*ISNUMBER(R94)+(Parameters!$F$8=Parameters!$E$17)*Parameters!$I$8*ISNUMBER(S94)+(Parameters!$F$9=Parameters!$E$17)*Parameters!$I$9*ISNUMBER(T94)+(Parameters!$F$10=Parameters!$E$17)*Parameters!$I$10*ISNUMBER(U94)+(Parameters!$F$11=Parameters!$E$17)*Parameters!$I$11*ISNUMBER(V94)+(Parameters!$F$12=Parameters!$E$17)*Parameters!$I$12*ISNUMBER(W94)),""))</f>
        <v>1</v>
      </c>
      <c r="AC94" s="17" t="n">
        <f aca="false">Parameters!$I$5*ISNUMBER(P94)+Parameters!$I$6*ISNUMBER(Q94)+Parameters!$I$7*ISNUMBER(R94)+Parameters!$I$8*ISNUMBER(S94)+Parameters!$I$9*ISNUMBER(T94)+Parameters!$I$10*ISNUMBER(U94)+Parameters!$I$11*ISNUMBER(V94)+Parameters!$I$12*ISNUMBER(W94)</f>
        <v>75</v>
      </c>
      <c r="AD94" s="17" t="n">
        <f aca="false">Parameters!$I$5*1+Parameters!$I$6*1+Parameters!$I$7*1+Parameters!$I$8*1+Parameters!$I$9*1+Parameters!$I$10*1+Parameters!$I$11*X94+Parameters!$I$12*Y94</f>
        <v>85</v>
      </c>
      <c r="AE94" s="18" t="n">
        <f aca="false">IF(AD94=0,"",AC94/AD94)</f>
        <v>0.882352941176471</v>
      </c>
      <c r="AF94" s="17" t="str">
        <f aca="false">IF(ISNUMBER(Z94),"M","")&amp;IF(ISNUMBER(AA94),"I","")&amp;IF(ISNUMBER(AB94),"O","")</f>
        <v>MIO</v>
      </c>
      <c r="AG94" s="19" t="n">
        <f aca="false">IF(AND(ISNUMBER(AE94),ISNUMBER(Z94)+ISNUMBER(AA94)+ISNUMBER(AB94)&gt;=Parameters!$B$37),IF(AE94&gt;=Parameters!$B$35,100*(Parameters!$F$15*N(Z94)+Parameters!$F$16*N(AA94)+Parameters!$F$17*N(AB94))/(Parameters!$F$15*ISNUMBER(Z94)+Parameters!$F$16*ISNUMBER(AA94)+Parameters!$F$17*ISNUMBER(AB94)),""),"")</f>
        <v>85.4444444444444</v>
      </c>
      <c r="AH94" s="17" t="n">
        <f aca="false">IF(ISNUMBER(AG94),RANK(AG94,$AG$2:$AG$113),"")</f>
        <v>58</v>
      </c>
    </row>
    <row r="95" customFormat="false" ht="15" hidden="false" customHeight="false" outlineLevel="0" collapsed="false">
      <c r="A95" s="5" t="s">
        <v>435</v>
      </c>
      <c r="B95" s="5" t="s">
        <v>436</v>
      </c>
      <c r="C95" s="5" t="s">
        <v>437</v>
      </c>
      <c r="D95" s="5" t="s">
        <v>31</v>
      </c>
      <c r="E95" s="5" t="s">
        <v>44</v>
      </c>
      <c r="F95" s="5" t="s">
        <v>195</v>
      </c>
      <c r="G95" s="15" t="s">
        <v>183</v>
      </c>
      <c r="H95" s="8" t="n">
        <v>0</v>
      </c>
      <c r="I95" s="5" t="s">
        <v>57</v>
      </c>
      <c r="J95" s="5" t="s">
        <v>66</v>
      </c>
      <c r="K95" s="15"/>
      <c r="L95" s="5" t="s">
        <v>85</v>
      </c>
      <c r="M95" s="5" t="s">
        <v>136</v>
      </c>
      <c r="N95" s="5" t="s">
        <v>168</v>
      </c>
      <c r="O95" s="5" t="s">
        <v>197</v>
      </c>
      <c r="P95" s="16" t="n">
        <f aca="false">IFERROR(IF(ISNUMBER(INDEX(Parameters!$B$5:$B$23,MATCH(D95,Parameters!$A$5:$A$23,0))),INDEX(Parameters!$B$5:$B$23,MATCH(D95,Parameters!$A$5:$A$23,0)),""),"")</f>
        <v>1</v>
      </c>
      <c r="Q95" s="16" t="n">
        <f aca="false">IFERROR(IF(ISNUMBER(INDEX(Parameters!$B$5:$B$23,MATCH(E95,Parameters!$A$5:$A$23,0))),INDEX(Parameters!$B$5:$B$23,MATCH(E95,Parameters!$A$5:$A$23,0)),""),"")</f>
        <v>1</v>
      </c>
      <c r="R95" s="16" t="n">
        <f aca="false">IF(F95="","",IFERROR(MIN(Parameters!$B$33,MAX(0,Parameters!$B$32-VALUE(LEFT(F95,4))))/Parameters!$B$33,""))</f>
        <v>0.933333333333333</v>
      </c>
      <c r="S95" s="16" t="n">
        <f aca="false">IF(ISNUMBER(H95),H95,IF(G95="",IF(ISNUMBER(Parameters!$B$34),Parameters!$B$34,""),""))</f>
        <v>0</v>
      </c>
      <c r="T95" s="16" t="n">
        <f aca="false">IFERROR(IF(ISNUMBER(INDEX(Parameters!$B$5:$B$23,MATCH(I95,Parameters!$A$5:$A$23,0))),INDEX(Parameters!$B$5:$B$23,MATCH(I95,Parameters!$A$5:$A$23,0)),""),"")</f>
        <v>0</v>
      </c>
      <c r="U95" s="16" t="n">
        <f aca="false">IFERROR(IF(ISNUMBER(INDEX(Parameters!$B$5:$B$23,MATCH(L95,Parameters!$A$5:$A$23,0))),INDEX(Parameters!$B$5:$B$23,MATCH(L95,Parameters!$A$5:$A$23,0)),""),"")</f>
        <v>0.5</v>
      </c>
      <c r="V95" s="16" t="n">
        <f aca="false">IFERROR(IF(ISNUMBER(INDEX(Parameters!$B$5:$B$23,MATCH(J95,Parameters!$A$5:$A$23,0))),INDEX(Parameters!$B$5:$B$23,MATCH(J95,Parameters!$A$5:$A$23,0)),""),"")</f>
        <v>1</v>
      </c>
      <c r="W95" s="16" t="str">
        <f aca="false">IF(K95&lt;&gt;"",1,IF(COUNTIF(Parameters!$A$27:$A$28,J95)&gt;0,0,""))</f>
        <v/>
      </c>
      <c r="X95" s="17" t="n">
        <f aca="false">IF(J95="Not applicable",0,1)</f>
        <v>1</v>
      </c>
      <c r="Y95" s="17" t="n">
        <f aca="false">IF(OR(K95&lt;&gt;"",COUNTIF(Parameters!$A$27:$A$28,J95)&gt;0),1,0)</f>
        <v>0</v>
      </c>
      <c r="Z95"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95+(Parameters!$F$12=Parameters!$E$15)*Parameters!$I$12*Y95)=0,"",IF(AND(((Parameters!$F$5=Parameters!$E$15)*Parameters!$I$5*ISNUMBER(P95)+(Parameters!$F$6=Parameters!$E$15)*Parameters!$I$6*ISNUMBER(Q95)+(Parameters!$F$7=Parameters!$E$15)*Parameters!$I$7*ISNUMBER(R95)+(Parameters!$F$8=Parameters!$E$15)*Parameters!$I$8*ISNUMBER(S95)+(Parameters!$F$9=Parameters!$E$15)*Parameters!$I$9*ISNUMBER(T95)+(Parameters!$F$10=Parameters!$E$15)*Parameters!$I$10*ISNUMBER(U95)+(Parameters!$F$11=Parameters!$E$15)*Parameters!$I$11*ISNUMBER(V95)+(Parameters!$F$12=Parameters!$E$15)*Parameters!$I$12*ISNUMBER(W95))&gt;0,((Parameters!$F$5=Parameters!$E$15)*Parameters!$I$5*ISNUMBER(P95)+(Parameters!$F$6=Parameters!$E$15)*Parameters!$I$6*ISNUMBER(Q95)+(Parameters!$F$7=Parameters!$E$15)*Parameters!$I$7*ISNUMBER(R95)+(Parameters!$F$8=Parameters!$E$15)*Parameters!$I$8*ISNUMBER(S95)+(Parameters!$F$9=Parameters!$E$15)*Parameters!$I$9*ISNUMBER(T95)+(Parameters!$F$10=Parameters!$E$15)*Parameters!$I$10*ISNUMBER(U95)+(Parameters!$F$11=Parameters!$E$15)*Parameters!$I$11*ISNUMBER(V95)+(Parameters!$F$12=Parameters!$E$15)*Parameters!$I$12*ISNUMBER(W95))/((Parameters!$F$5=Parameters!$E$15)*Parameters!$I$5*1+(Parameters!$F$6=Parameters!$E$15)*Parameters!$I$6*1+(Parameters!$F$7=Parameters!$E$15)*Parameters!$I$7*1+(Parameters!$F$8=Parameters!$E$15)*Parameters!$I$8*1+(Parameters!$F$9=Parameters!$E$15)*Parameters!$I$9*1+(Parameters!$F$10=Parameters!$E$15)*Parameters!$I$10*1+(Parameters!$F$11=Parameters!$E$15)*Parameters!$I$11*X95+(Parameters!$F$12=Parameters!$E$15)*Parameters!$I$12*Y95)&gt;=Parameters!$B$36),((Parameters!$F$5=Parameters!$E$15)*Parameters!$I$5*N(P95)+(Parameters!$F$6=Parameters!$E$15)*Parameters!$I$6*N(Q95)+(Parameters!$F$7=Parameters!$E$15)*Parameters!$I$7*N(R95)+(Parameters!$F$8=Parameters!$E$15)*Parameters!$I$8*N(S95)+(Parameters!$F$9=Parameters!$E$15)*Parameters!$I$9*N(T95)+(Parameters!$F$10=Parameters!$E$15)*Parameters!$I$10*N(U95)+(Parameters!$F$11=Parameters!$E$15)*Parameters!$I$11*N(V95)+(Parameters!$F$12=Parameters!$E$15)*Parameters!$I$12*N(W95))/((Parameters!$F$5=Parameters!$E$15)*Parameters!$I$5*ISNUMBER(P95)+(Parameters!$F$6=Parameters!$E$15)*Parameters!$I$6*ISNUMBER(Q95)+(Parameters!$F$7=Parameters!$E$15)*Parameters!$I$7*ISNUMBER(R95)+(Parameters!$F$8=Parameters!$E$15)*Parameters!$I$8*ISNUMBER(S95)+(Parameters!$F$9=Parameters!$E$15)*Parameters!$I$9*ISNUMBER(T95)+(Parameters!$F$10=Parameters!$E$15)*Parameters!$I$10*ISNUMBER(U95)+(Parameters!$F$11=Parameters!$E$15)*Parameters!$I$11*ISNUMBER(V95)+(Parameters!$F$12=Parameters!$E$15)*Parameters!$I$12*ISNUMBER(W95)),""))</f>
        <v>0.993333333333333</v>
      </c>
      <c r="AA95"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95+(Parameters!$F$12=Parameters!$E$16)*Parameters!$I$12*Y95)=0,"",IF(AND(((Parameters!$F$5=Parameters!$E$16)*Parameters!$I$5*ISNUMBER(P95)+(Parameters!$F$6=Parameters!$E$16)*Parameters!$I$6*ISNUMBER(Q95)+(Parameters!$F$7=Parameters!$E$16)*Parameters!$I$7*ISNUMBER(R95)+(Parameters!$F$8=Parameters!$E$16)*Parameters!$I$8*ISNUMBER(S95)+(Parameters!$F$9=Parameters!$E$16)*Parameters!$I$9*ISNUMBER(T95)+(Parameters!$F$10=Parameters!$E$16)*Parameters!$I$10*ISNUMBER(U95)+(Parameters!$F$11=Parameters!$E$16)*Parameters!$I$11*ISNUMBER(V95)+(Parameters!$F$12=Parameters!$E$16)*Parameters!$I$12*ISNUMBER(W95))&gt;0,((Parameters!$F$5=Parameters!$E$16)*Parameters!$I$5*ISNUMBER(P95)+(Parameters!$F$6=Parameters!$E$16)*Parameters!$I$6*ISNUMBER(Q95)+(Parameters!$F$7=Parameters!$E$16)*Parameters!$I$7*ISNUMBER(R95)+(Parameters!$F$8=Parameters!$E$16)*Parameters!$I$8*ISNUMBER(S95)+(Parameters!$F$9=Parameters!$E$16)*Parameters!$I$9*ISNUMBER(T95)+(Parameters!$F$10=Parameters!$E$16)*Parameters!$I$10*ISNUMBER(U95)+(Parameters!$F$11=Parameters!$E$16)*Parameters!$I$11*ISNUMBER(V95)+(Parameters!$F$12=Parameters!$E$16)*Parameters!$I$12*ISNUMBER(W95))/((Parameters!$F$5=Parameters!$E$16)*Parameters!$I$5*1+(Parameters!$F$6=Parameters!$E$16)*Parameters!$I$6*1+(Parameters!$F$7=Parameters!$E$16)*Parameters!$I$7*1+(Parameters!$F$8=Parameters!$E$16)*Parameters!$I$8*1+(Parameters!$F$9=Parameters!$E$16)*Parameters!$I$9*1+(Parameters!$F$10=Parameters!$E$16)*Parameters!$I$10*1+(Parameters!$F$11=Parameters!$E$16)*Parameters!$I$11*X95+(Parameters!$F$12=Parameters!$E$16)*Parameters!$I$12*Y95)&gt;=Parameters!$B$36),((Parameters!$F$5=Parameters!$E$16)*Parameters!$I$5*N(P95)+(Parameters!$F$6=Parameters!$E$16)*Parameters!$I$6*N(Q95)+(Parameters!$F$7=Parameters!$E$16)*Parameters!$I$7*N(R95)+(Parameters!$F$8=Parameters!$E$16)*Parameters!$I$8*N(S95)+(Parameters!$F$9=Parameters!$E$16)*Parameters!$I$9*N(T95)+(Parameters!$F$10=Parameters!$E$16)*Parameters!$I$10*N(U95)+(Parameters!$F$11=Parameters!$E$16)*Parameters!$I$11*N(V95)+(Parameters!$F$12=Parameters!$E$16)*Parameters!$I$12*N(W95))/((Parameters!$F$5=Parameters!$E$16)*Parameters!$I$5*ISNUMBER(P95)+(Parameters!$F$6=Parameters!$E$16)*Parameters!$I$6*ISNUMBER(Q95)+(Parameters!$F$7=Parameters!$E$16)*Parameters!$I$7*ISNUMBER(R95)+(Parameters!$F$8=Parameters!$E$16)*Parameters!$I$8*ISNUMBER(S95)+(Parameters!$F$9=Parameters!$E$16)*Parameters!$I$9*ISNUMBER(T95)+(Parameters!$F$10=Parameters!$E$16)*Parameters!$I$10*ISNUMBER(U95)+(Parameters!$F$11=Parameters!$E$16)*Parameters!$I$11*ISNUMBER(V95)+(Parameters!$F$12=Parameters!$E$16)*Parameters!$I$12*ISNUMBER(W95)),""))</f>
        <v>0.2</v>
      </c>
      <c r="AB95"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95+(Parameters!$F$12=Parameters!$E$17)*Parameters!$I$12*Y95)=0,"",IF(AND(((Parameters!$F$5=Parameters!$E$17)*Parameters!$I$5*ISNUMBER(P95)+(Parameters!$F$6=Parameters!$E$17)*Parameters!$I$6*ISNUMBER(Q95)+(Parameters!$F$7=Parameters!$E$17)*Parameters!$I$7*ISNUMBER(R95)+(Parameters!$F$8=Parameters!$E$17)*Parameters!$I$8*ISNUMBER(S95)+(Parameters!$F$9=Parameters!$E$17)*Parameters!$I$9*ISNUMBER(T95)+(Parameters!$F$10=Parameters!$E$17)*Parameters!$I$10*ISNUMBER(U95)+(Parameters!$F$11=Parameters!$E$17)*Parameters!$I$11*ISNUMBER(V95)+(Parameters!$F$12=Parameters!$E$17)*Parameters!$I$12*ISNUMBER(W95))&gt;0,((Parameters!$F$5=Parameters!$E$17)*Parameters!$I$5*ISNUMBER(P95)+(Parameters!$F$6=Parameters!$E$17)*Parameters!$I$6*ISNUMBER(Q95)+(Parameters!$F$7=Parameters!$E$17)*Parameters!$I$7*ISNUMBER(R95)+(Parameters!$F$8=Parameters!$E$17)*Parameters!$I$8*ISNUMBER(S95)+(Parameters!$F$9=Parameters!$E$17)*Parameters!$I$9*ISNUMBER(T95)+(Parameters!$F$10=Parameters!$E$17)*Parameters!$I$10*ISNUMBER(U95)+(Parameters!$F$11=Parameters!$E$17)*Parameters!$I$11*ISNUMBER(V95)+(Parameters!$F$12=Parameters!$E$17)*Parameters!$I$12*ISNUMBER(W95))/((Parameters!$F$5=Parameters!$E$17)*Parameters!$I$5*1+(Parameters!$F$6=Parameters!$E$17)*Parameters!$I$6*1+(Parameters!$F$7=Parameters!$E$17)*Parameters!$I$7*1+(Parameters!$F$8=Parameters!$E$17)*Parameters!$I$8*1+(Parameters!$F$9=Parameters!$E$17)*Parameters!$I$9*1+(Parameters!$F$10=Parameters!$E$17)*Parameters!$I$10*1+(Parameters!$F$11=Parameters!$E$17)*Parameters!$I$11*X95+(Parameters!$F$12=Parameters!$E$17)*Parameters!$I$12*Y95)&gt;=Parameters!$B$36),((Parameters!$F$5=Parameters!$E$17)*Parameters!$I$5*N(P95)+(Parameters!$F$6=Parameters!$E$17)*Parameters!$I$6*N(Q95)+(Parameters!$F$7=Parameters!$E$17)*Parameters!$I$7*N(R95)+(Parameters!$F$8=Parameters!$E$17)*Parameters!$I$8*N(S95)+(Parameters!$F$9=Parameters!$E$17)*Parameters!$I$9*N(T95)+(Parameters!$F$10=Parameters!$E$17)*Parameters!$I$10*N(U95)+(Parameters!$F$11=Parameters!$E$17)*Parameters!$I$11*N(V95)+(Parameters!$F$12=Parameters!$E$17)*Parameters!$I$12*N(W95))/((Parameters!$F$5=Parameters!$E$17)*Parameters!$I$5*ISNUMBER(P95)+(Parameters!$F$6=Parameters!$E$17)*Parameters!$I$6*ISNUMBER(Q95)+(Parameters!$F$7=Parameters!$E$17)*Parameters!$I$7*ISNUMBER(R95)+(Parameters!$F$8=Parameters!$E$17)*Parameters!$I$8*ISNUMBER(S95)+(Parameters!$F$9=Parameters!$E$17)*Parameters!$I$9*ISNUMBER(T95)+(Parameters!$F$10=Parameters!$E$17)*Parameters!$I$10*ISNUMBER(U95)+(Parameters!$F$11=Parameters!$E$17)*Parameters!$I$11*ISNUMBER(V95)+(Parameters!$F$12=Parameters!$E$17)*Parameters!$I$12*ISNUMBER(W95)),""))</f>
        <v>1</v>
      </c>
      <c r="AC95" s="17" t="n">
        <f aca="false">Parameters!$I$5*ISNUMBER(P95)+Parameters!$I$6*ISNUMBER(Q95)+Parameters!$I$7*ISNUMBER(R95)+Parameters!$I$8*ISNUMBER(S95)+Parameters!$I$9*ISNUMBER(T95)+Parameters!$I$10*ISNUMBER(U95)+Parameters!$I$11*ISNUMBER(V95)+Parameters!$I$12*ISNUMBER(W95)</f>
        <v>85</v>
      </c>
      <c r="AD95" s="17" t="n">
        <f aca="false">Parameters!$I$5*1+Parameters!$I$6*1+Parameters!$I$7*1+Parameters!$I$8*1+Parameters!$I$9*1+Parameters!$I$10*1+Parameters!$I$11*X95+Parameters!$I$12*Y95</f>
        <v>85</v>
      </c>
      <c r="AE95" s="18" t="n">
        <f aca="false">IF(AD95=0,"",AC95/AD95)</f>
        <v>1</v>
      </c>
      <c r="AF95" s="17" t="str">
        <f aca="false">IF(ISNUMBER(Z95),"M","")&amp;IF(ISNUMBER(AA95),"I","")&amp;IF(ISNUMBER(AB95),"O","")</f>
        <v>MIO</v>
      </c>
      <c r="AG95" s="19" t="n">
        <f aca="false">IF(AND(ISNUMBER(AE95),ISNUMBER(Z95)+ISNUMBER(AA95)+ISNUMBER(AB95)&gt;=Parameters!$B$37),IF(AE95&gt;=Parameters!$B$35,100*(Parameters!$F$15*N(Z95)+Parameters!$F$16*N(AA95)+Parameters!$F$17*N(AB95))/(Parameters!$F$15*ISNUMBER(Z95)+Parameters!$F$16*ISNUMBER(AA95)+Parameters!$F$17*ISNUMBER(AB95)),""),"")</f>
        <v>75.6666666666667</v>
      </c>
      <c r="AH95" s="17" t="n">
        <f aca="false">IF(ISNUMBER(AG95),RANK(AG95,$AG$2:$AG$113),"")</f>
        <v>90</v>
      </c>
    </row>
    <row r="96" customFormat="false" ht="15" hidden="false" customHeight="false" outlineLevel="0" collapsed="false">
      <c r="A96" s="5" t="s">
        <v>438</v>
      </c>
      <c r="B96" s="5" t="s">
        <v>439</v>
      </c>
      <c r="C96" s="5" t="s">
        <v>440</v>
      </c>
      <c r="D96" s="5" t="s">
        <v>31</v>
      </c>
      <c r="E96" s="5" t="s">
        <v>44</v>
      </c>
      <c r="F96" s="5" t="s">
        <v>146</v>
      </c>
      <c r="G96" s="15" t="s">
        <v>441</v>
      </c>
      <c r="H96" s="8" t="n">
        <v>1</v>
      </c>
      <c r="I96" s="5" t="s">
        <v>57</v>
      </c>
      <c r="J96" s="5" t="s">
        <v>74</v>
      </c>
      <c r="K96" s="15"/>
      <c r="L96" s="5" t="s">
        <v>81</v>
      </c>
      <c r="M96" s="5" t="s">
        <v>136</v>
      </c>
      <c r="N96" s="5" t="s">
        <v>142</v>
      </c>
      <c r="O96" s="5" t="s">
        <v>168</v>
      </c>
      <c r="P96" s="16" t="n">
        <f aca="false">IFERROR(IF(ISNUMBER(INDEX(Parameters!$B$5:$B$23,MATCH(D96,Parameters!$A$5:$A$23,0))),INDEX(Parameters!$B$5:$B$23,MATCH(D96,Parameters!$A$5:$A$23,0)),""),"")</f>
        <v>1</v>
      </c>
      <c r="Q96" s="16" t="n">
        <f aca="false">IFERROR(IF(ISNUMBER(INDEX(Parameters!$B$5:$B$23,MATCH(E96,Parameters!$A$5:$A$23,0))),INDEX(Parameters!$B$5:$B$23,MATCH(E96,Parameters!$A$5:$A$23,0)),""),"")</f>
        <v>1</v>
      </c>
      <c r="R96" s="16" t="n">
        <f aca="false">IF(F96="","",IFERROR(MIN(Parameters!$B$33,MAX(0,Parameters!$B$32-VALUE(LEFT(F96,4))))/Parameters!$B$33,""))</f>
        <v>0.533333333333333</v>
      </c>
      <c r="S96" s="16" t="n">
        <f aca="false">IF(ISNUMBER(H96),H96,IF(G96="",IF(ISNUMBER(Parameters!$B$34),Parameters!$B$34,""),""))</f>
        <v>1</v>
      </c>
      <c r="T96" s="16" t="n">
        <f aca="false">IFERROR(IF(ISNUMBER(INDEX(Parameters!$B$5:$B$23,MATCH(I96,Parameters!$A$5:$A$23,0))),INDEX(Parameters!$B$5:$B$23,MATCH(I96,Parameters!$A$5:$A$23,0)),""),"")</f>
        <v>0</v>
      </c>
      <c r="U96" s="16" t="n">
        <f aca="false">IFERROR(IF(ISNUMBER(INDEX(Parameters!$B$5:$B$23,MATCH(L96,Parameters!$A$5:$A$23,0))),INDEX(Parameters!$B$5:$B$23,MATCH(L96,Parameters!$A$5:$A$23,0)),""),"")</f>
        <v>1</v>
      </c>
      <c r="V96" s="16" t="str">
        <f aca="false">IFERROR(IF(ISNUMBER(INDEX(Parameters!$B$5:$B$23,MATCH(J96,Parameters!$A$5:$A$23,0))),INDEX(Parameters!$B$5:$B$23,MATCH(J96,Parameters!$A$5:$A$23,0)),""),"")</f>
        <v/>
      </c>
      <c r="W96" s="16" t="str">
        <f aca="false">IF(K96&lt;&gt;"",1,IF(COUNTIF(Parameters!$A$27:$A$28,J96)&gt;0,0,""))</f>
        <v/>
      </c>
      <c r="X96" s="17" t="n">
        <f aca="false">IF(J96="Not applicable",0,1)</f>
        <v>0</v>
      </c>
      <c r="Y96" s="17" t="n">
        <f aca="false">IF(OR(K96&lt;&gt;"",COUNTIF(Parameters!$A$27:$A$28,J96)&gt;0),1,0)</f>
        <v>0</v>
      </c>
      <c r="Z96"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96+(Parameters!$F$12=Parameters!$E$15)*Parameters!$I$12*Y96)=0,"",IF(AND(((Parameters!$F$5=Parameters!$E$15)*Parameters!$I$5*ISNUMBER(P96)+(Parameters!$F$6=Parameters!$E$15)*Parameters!$I$6*ISNUMBER(Q96)+(Parameters!$F$7=Parameters!$E$15)*Parameters!$I$7*ISNUMBER(R96)+(Parameters!$F$8=Parameters!$E$15)*Parameters!$I$8*ISNUMBER(S96)+(Parameters!$F$9=Parameters!$E$15)*Parameters!$I$9*ISNUMBER(T96)+(Parameters!$F$10=Parameters!$E$15)*Parameters!$I$10*ISNUMBER(U96)+(Parameters!$F$11=Parameters!$E$15)*Parameters!$I$11*ISNUMBER(V96)+(Parameters!$F$12=Parameters!$E$15)*Parameters!$I$12*ISNUMBER(W96))&gt;0,((Parameters!$F$5=Parameters!$E$15)*Parameters!$I$5*ISNUMBER(P96)+(Parameters!$F$6=Parameters!$E$15)*Parameters!$I$6*ISNUMBER(Q96)+(Parameters!$F$7=Parameters!$E$15)*Parameters!$I$7*ISNUMBER(R96)+(Parameters!$F$8=Parameters!$E$15)*Parameters!$I$8*ISNUMBER(S96)+(Parameters!$F$9=Parameters!$E$15)*Parameters!$I$9*ISNUMBER(T96)+(Parameters!$F$10=Parameters!$E$15)*Parameters!$I$10*ISNUMBER(U96)+(Parameters!$F$11=Parameters!$E$15)*Parameters!$I$11*ISNUMBER(V96)+(Parameters!$F$12=Parameters!$E$15)*Parameters!$I$12*ISNUMBER(W96))/((Parameters!$F$5=Parameters!$E$15)*Parameters!$I$5*1+(Parameters!$F$6=Parameters!$E$15)*Parameters!$I$6*1+(Parameters!$F$7=Parameters!$E$15)*Parameters!$I$7*1+(Parameters!$F$8=Parameters!$E$15)*Parameters!$I$8*1+(Parameters!$F$9=Parameters!$E$15)*Parameters!$I$9*1+(Parameters!$F$10=Parameters!$E$15)*Parameters!$I$10*1+(Parameters!$F$11=Parameters!$E$15)*Parameters!$I$11*X96+(Parameters!$F$12=Parameters!$E$15)*Parameters!$I$12*Y96)&gt;=Parameters!$B$36),((Parameters!$F$5=Parameters!$E$15)*Parameters!$I$5*N(P96)+(Parameters!$F$6=Parameters!$E$15)*Parameters!$I$6*N(Q96)+(Parameters!$F$7=Parameters!$E$15)*Parameters!$I$7*N(R96)+(Parameters!$F$8=Parameters!$E$15)*Parameters!$I$8*N(S96)+(Parameters!$F$9=Parameters!$E$15)*Parameters!$I$9*N(T96)+(Parameters!$F$10=Parameters!$E$15)*Parameters!$I$10*N(U96)+(Parameters!$F$11=Parameters!$E$15)*Parameters!$I$11*N(V96)+(Parameters!$F$12=Parameters!$E$15)*Parameters!$I$12*N(W96))/((Parameters!$F$5=Parameters!$E$15)*Parameters!$I$5*ISNUMBER(P96)+(Parameters!$F$6=Parameters!$E$15)*Parameters!$I$6*ISNUMBER(Q96)+(Parameters!$F$7=Parameters!$E$15)*Parameters!$I$7*ISNUMBER(R96)+(Parameters!$F$8=Parameters!$E$15)*Parameters!$I$8*ISNUMBER(S96)+(Parameters!$F$9=Parameters!$E$15)*Parameters!$I$9*ISNUMBER(T96)+(Parameters!$F$10=Parameters!$E$15)*Parameters!$I$10*ISNUMBER(U96)+(Parameters!$F$11=Parameters!$E$15)*Parameters!$I$11*ISNUMBER(V96)+(Parameters!$F$12=Parameters!$E$15)*Parameters!$I$12*ISNUMBER(W96)),""))</f>
        <v>0.953333333333333</v>
      </c>
      <c r="AA96"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96+(Parameters!$F$12=Parameters!$E$16)*Parameters!$I$12*Y96)=0,"",IF(AND(((Parameters!$F$5=Parameters!$E$16)*Parameters!$I$5*ISNUMBER(P96)+(Parameters!$F$6=Parameters!$E$16)*Parameters!$I$6*ISNUMBER(Q96)+(Parameters!$F$7=Parameters!$E$16)*Parameters!$I$7*ISNUMBER(R96)+(Parameters!$F$8=Parameters!$E$16)*Parameters!$I$8*ISNUMBER(S96)+(Parameters!$F$9=Parameters!$E$16)*Parameters!$I$9*ISNUMBER(T96)+(Parameters!$F$10=Parameters!$E$16)*Parameters!$I$10*ISNUMBER(U96)+(Parameters!$F$11=Parameters!$E$16)*Parameters!$I$11*ISNUMBER(V96)+(Parameters!$F$12=Parameters!$E$16)*Parameters!$I$12*ISNUMBER(W96))&gt;0,((Parameters!$F$5=Parameters!$E$16)*Parameters!$I$5*ISNUMBER(P96)+(Parameters!$F$6=Parameters!$E$16)*Parameters!$I$6*ISNUMBER(Q96)+(Parameters!$F$7=Parameters!$E$16)*Parameters!$I$7*ISNUMBER(R96)+(Parameters!$F$8=Parameters!$E$16)*Parameters!$I$8*ISNUMBER(S96)+(Parameters!$F$9=Parameters!$E$16)*Parameters!$I$9*ISNUMBER(T96)+(Parameters!$F$10=Parameters!$E$16)*Parameters!$I$10*ISNUMBER(U96)+(Parameters!$F$11=Parameters!$E$16)*Parameters!$I$11*ISNUMBER(V96)+(Parameters!$F$12=Parameters!$E$16)*Parameters!$I$12*ISNUMBER(W96))/((Parameters!$F$5=Parameters!$E$16)*Parameters!$I$5*1+(Parameters!$F$6=Parameters!$E$16)*Parameters!$I$6*1+(Parameters!$F$7=Parameters!$E$16)*Parameters!$I$7*1+(Parameters!$F$8=Parameters!$E$16)*Parameters!$I$8*1+(Parameters!$F$9=Parameters!$E$16)*Parameters!$I$9*1+(Parameters!$F$10=Parameters!$E$16)*Parameters!$I$10*1+(Parameters!$F$11=Parameters!$E$16)*Parameters!$I$11*X96+(Parameters!$F$12=Parameters!$E$16)*Parameters!$I$12*Y96)&gt;=Parameters!$B$36),((Parameters!$F$5=Parameters!$E$16)*Parameters!$I$5*N(P96)+(Parameters!$F$6=Parameters!$E$16)*Parameters!$I$6*N(Q96)+(Parameters!$F$7=Parameters!$E$16)*Parameters!$I$7*N(R96)+(Parameters!$F$8=Parameters!$E$16)*Parameters!$I$8*N(S96)+(Parameters!$F$9=Parameters!$E$16)*Parameters!$I$9*N(T96)+(Parameters!$F$10=Parameters!$E$16)*Parameters!$I$10*N(U96)+(Parameters!$F$11=Parameters!$E$16)*Parameters!$I$11*N(V96)+(Parameters!$F$12=Parameters!$E$16)*Parameters!$I$12*N(W96))/((Parameters!$F$5=Parameters!$E$16)*Parameters!$I$5*ISNUMBER(P96)+(Parameters!$F$6=Parameters!$E$16)*Parameters!$I$6*ISNUMBER(Q96)+(Parameters!$F$7=Parameters!$E$16)*Parameters!$I$7*ISNUMBER(R96)+(Parameters!$F$8=Parameters!$E$16)*Parameters!$I$8*ISNUMBER(S96)+(Parameters!$F$9=Parameters!$E$16)*Parameters!$I$9*ISNUMBER(T96)+(Parameters!$F$10=Parameters!$E$16)*Parameters!$I$10*ISNUMBER(U96)+(Parameters!$F$11=Parameters!$E$16)*Parameters!$I$11*ISNUMBER(V96)+(Parameters!$F$12=Parameters!$E$16)*Parameters!$I$12*ISNUMBER(W96)),""))</f>
        <v>0.8</v>
      </c>
      <c r="AB96"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96+(Parameters!$F$12=Parameters!$E$17)*Parameters!$I$12*Y96)=0,"",IF(AND(((Parameters!$F$5=Parameters!$E$17)*Parameters!$I$5*ISNUMBER(P96)+(Parameters!$F$6=Parameters!$E$17)*Parameters!$I$6*ISNUMBER(Q96)+(Parameters!$F$7=Parameters!$E$17)*Parameters!$I$7*ISNUMBER(R96)+(Parameters!$F$8=Parameters!$E$17)*Parameters!$I$8*ISNUMBER(S96)+(Parameters!$F$9=Parameters!$E$17)*Parameters!$I$9*ISNUMBER(T96)+(Parameters!$F$10=Parameters!$E$17)*Parameters!$I$10*ISNUMBER(U96)+(Parameters!$F$11=Parameters!$E$17)*Parameters!$I$11*ISNUMBER(V96)+(Parameters!$F$12=Parameters!$E$17)*Parameters!$I$12*ISNUMBER(W96))&gt;0,((Parameters!$F$5=Parameters!$E$17)*Parameters!$I$5*ISNUMBER(P96)+(Parameters!$F$6=Parameters!$E$17)*Parameters!$I$6*ISNUMBER(Q96)+(Parameters!$F$7=Parameters!$E$17)*Parameters!$I$7*ISNUMBER(R96)+(Parameters!$F$8=Parameters!$E$17)*Parameters!$I$8*ISNUMBER(S96)+(Parameters!$F$9=Parameters!$E$17)*Parameters!$I$9*ISNUMBER(T96)+(Parameters!$F$10=Parameters!$E$17)*Parameters!$I$10*ISNUMBER(U96)+(Parameters!$F$11=Parameters!$E$17)*Parameters!$I$11*ISNUMBER(V96)+(Parameters!$F$12=Parameters!$E$17)*Parameters!$I$12*ISNUMBER(W96))/((Parameters!$F$5=Parameters!$E$17)*Parameters!$I$5*1+(Parameters!$F$6=Parameters!$E$17)*Parameters!$I$6*1+(Parameters!$F$7=Parameters!$E$17)*Parameters!$I$7*1+(Parameters!$F$8=Parameters!$E$17)*Parameters!$I$8*1+(Parameters!$F$9=Parameters!$E$17)*Parameters!$I$9*1+(Parameters!$F$10=Parameters!$E$17)*Parameters!$I$10*1+(Parameters!$F$11=Parameters!$E$17)*Parameters!$I$11*X96+(Parameters!$F$12=Parameters!$E$17)*Parameters!$I$12*Y96)&gt;=Parameters!$B$36),((Parameters!$F$5=Parameters!$E$17)*Parameters!$I$5*N(P96)+(Parameters!$F$6=Parameters!$E$17)*Parameters!$I$6*N(Q96)+(Parameters!$F$7=Parameters!$E$17)*Parameters!$I$7*N(R96)+(Parameters!$F$8=Parameters!$E$17)*Parameters!$I$8*N(S96)+(Parameters!$F$9=Parameters!$E$17)*Parameters!$I$9*N(T96)+(Parameters!$F$10=Parameters!$E$17)*Parameters!$I$10*N(U96)+(Parameters!$F$11=Parameters!$E$17)*Parameters!$I$11*N(V96)+(Parameters!$F$12=Parameters!$E$17)*Parameters!$I$12*N(W96))/((Parameters!$F$5=Parameters!$E$17)*Parameters!$I$5*ISNUMBER(P96)+(Parameters!$F$6=Parameters!$E$17)*Parameters!$I$6*ISNUMBER(Q96)+(Parameters!$F$7=Parameters!$E$17)*Parameters!$I$7*ISNUMBER(R96)+(Parameters!$F$8=Parameters!$E$17)*Parameters!$I$8*ISNUMBER(S96)+(Parameters!$F$9=Parameters!$E$17)*Parameters!$I$9*ISNUMBER(T96)+(Parameters!$F$10=Parameters!$E$17)*Parameters!$I$10*ISNUMBER(U96)+(Parameters!$F$11=Parameters!$E$17)*Parameters!$I$11*ISNUMBER(V96)+(Parameters!$F$12=Parameters!$E$17)*Parameters!$I$12*ISNUMBER(W96)),""))</f>
        <v/>
      </c>
      <c r="AC96" s="17" t="n">
        <f aca="false">Parameters!$I$5*ISNUMBER(P96)+Parameters!$I$6*ISNUMBER(Q96)+Parameters!$I$7*ISNUMBER(R96)+Parameters!$I$8*ISNUMBER(S96)+Parameters!$I$9*ISNUMBER(T96)+Parameters!$I$10*ISNUMBER(U96)+Parameters!$I$11*ISNUMBER(V96)+Parameters!$I$12*ISNUMBER(W96)</f>
        <v>75</v>
      </c>
      <c r="AD96" s="17" t="n">
        <f aca="false">Parameters!$I$5*1+Parameters!$I$6*1+Parameters!$I$7*1+Parameters!$I$8*1+Parameters!$I$9*1+Parameters!$I$10*1+Parameters!$I$11*X96+Parameters!$I$12*Y96</f>
        <v>75</v>
      </c>
      <c r="AE96" s="18" t="n">
        <f aca="false">IF(AD96=0,"",AC96/AD96)</f>
        <v>1</v>
      </c>
      <c r="AF96" s="17" t="str">
        <f aca="false">IF(ISNUMBER(Z96),"M","")&amp;IF(ISNUMBER(AA96),"I","")&amp;IF(ISNUMBER(AB96),"O","")</f>
        <v>MI</v>
      </c>
      <c r="AG96" s="19" t="n">
        <f aca="false">IF(AND(ISNUMBER(AE96),ISNUMBER(Z96)+ISNUMBER(AA96)+ISNUMBER(AB96)&gt;=Parameters!$B$37),IF(AE96&gt;=Parameters!$B$35,100*(Parameters!$F$15*N(Z96)+Parameters!$F$16*N(AA96)+Parameters!$F$17*N(AB96))/(Parameters!$F$15*ISNUMBER(Z96)+Parameters!$F$16*ISNUMBER(AA96)+Parameters!$F$17*ISNUMBER(AB96)),""),"")</f>
        <v>89.5833333333333</v>
      </c>
      <c r="AH96" s="17" t="n">
        <f aca="false">IF(ISNUMBER(AG96),RANK(AG96,$AG$2:$AG$113),"")</f>
        <v>31</v>
      </c>
    </row>
    <row r="97" customFormat="false" ht="15" hidden="false" customHeight="false" outlineLevel="0" collapsed="false">
      <c r="A97" s="5" t="s">
        <v>442</v>
      </c>
      <c r="B97" s="5" t="s">
        <v>443</v>
      </c>
      <c r="C97" s="5" t="s">
        <v>444</v>
      </c>
      <c r="D97" s="5" t="s">
        <v>31</v>
      </c>
      <c r="E97" s="5" t="s">
        <v>44</v>
      </c>
      <c r="F97" s="5" t="s">
        <v>146</v>
      </c>
      <c r="G97" s="15" t="s">
        <v>445</v>
      </c>
      <c r="H97" s="8" t="n">
        <v>1</v>
      </c>
      <c r="I97" s="5" t="s">
        <v>57</v>
      </c>
      <c r="J97" s="5" t="s">
        <v>68</v>
      </c>
      <c r="K97" s="15"/>
      <c r="L97" s="5" t="s">
        <v>79</v>
      </c>
      <c r="M97" s="5" t="s">
        <v>136</v>
      </c>
      <c r="N97" s="5" t="s">
        <v>252</v>
      </c>
      <c r="O97" s="5" t="s">
        <v>142</v>
      </c>
      <c r="P97" s="16" t="n">
        <f aca="false">IFERROR(IF(ISNUMBER(INDEX(Parameters!$B$5:$B$23,MATCH(D97,Parameters!$A$5:$A$23,0))),INDEX(Parameters!$B$5:$B$23,MATCH(D97,Parameters!$A$5:$A$23,0)),""),"")</f>
        <v>1</v>
      </c>
      <c r="Q97" s="16" t="n">
        <f aca="false">IFERROR(IF(ISNUMBER(INDEX(Parameters!$B$5:$B$23,MATCH(E97,Parameters!$A$5:$A$23,0))),INDEX(Parameters!$B$5:$B$23,MATCH(E97,Parameters!$A$5:$A$23,0)),""),"")</f>
        <v>1</v>
      </c>
      <c r="R97" s="16" t="n">
        <f aca="false">IF(F97="","",IFERROR(MIN(Parameters!$B$33,MAX(0,Parameters!$B$32-VALUE(LEFT(F97,4))))/Parameters!$B$33,""))</f>
        <v>0.533333333333333</v>
      </c>
      <c r="S97" s="16" t="n">
        <f aca="false">IF(ISNUMBER(H97),H97,IF(G97="",IF(ISNUMBER(Parameters!$B$34),Parameters!$B$34,""),""))</f>
        <v>1</v>
      </c>
      <c r="T97" s="16" t="n">
        <f aca="false">IFERROR(IF(ISNUMBER(INDEX(Parameters!$B$5:$B$23,MATCH(I97,Parameters!$A$5:$A$23,0))),INDEX(Parameters!$B$5:$B$23,MATCH(I97,Parameters!$A$5:$A$23,0)),""),"")</f>
        <v>0</v>
      </c>
      <c r="U97" s="16" t="n">
        <f aca="false">IFERROR(IF(ISNUMBER(INDEX(Parameters!$B$5:$B$23,MATCH(L97,Parameters!$A$5:$A$23,0))),INDEX(Parameters!$B$5:$B$23,MATCH(L97,Parameters!$A$5:$A$23,0)),""),"")</f>
        <v>1</v>
      </c>
      <c r="V97" s="16" t="n">
        <f aca="false">IFERROR(IF(ISNUMBER(INDEX(Parameters!$B$5:$B$23,MATCH(J97,Parameters!$A$5:$A$23,0))),INDEX(Parameters!$B$5:$B$23,MATCH(J97,Parameters!$A$5:$A$23,0)),""),"")</f>
        <v>1</v>
      </c>
      <c r="W97" s="16" t="n">
        <f aca="false">IF(K97&lt;&gt;"",1,IF(COUNTIF(Parameters!$A$27:$A$28,J97)&gt;0,0,""))</f>
        <v>0</v>
      </c>
      <c r="X97" s="17" t="n">
        <f aca="false">IF(J97="Not applicable",0,1)</f>
        <v>1</v>
      </c>
      <c r="Y97" s="17" t="n">
        <f aca="false">IF(OR(K97&lt;&gt;"",COUNTIF(Parameters!$A$27:$A$28,J97)&gt;0),1,0)</f>
        <v>1</v>
      </c>
      <c r="Z97"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97+(Parameters!$F$12=Parameters!$E$15)*Parameters!$I$12*Y97)=0,"",IF(AND(((Parameters!$F$5=Parameters!$E$15)*Parameters!$I$5*ISNUMBER(P97)+(Parameters!$F$6=Parameters!$E$15)*Parameters!$I$6*ISNUMBER(Q97)+(Parameters!$F$7=Parameters!$E$15)*Parameters!$I$7*ISNUMBER(R97)+(Parameters!$F$8=Parameters!$E$15)*Parameters!$I$8*ISNUMBER(S97)+(Parameters!$F$9=Parameters!$E$15)*Parameters!$I$9*ISNUMBER(T97)+(Parameters!$F$10=Parameters!$E$15)*Parameters!$I$10*ISNUMBER(U97)+(Parameters!$F$11=Parameters!$E$15)*Parameters!$I$11*ISNUMBER(V97)+(Parameters!$F$12=Parameters!$E$15)*Parameters!$I$12*ISNUMBER(W97))&gt;0,((Parameters!$F$5=Parameters!$E$15)*Parameters!$I$5*ISNUMBER(P97)+(Parameters!$F$6=Parameters!$E$15)*Parameters!$I$6*ISNUMBER(Q97)+(Parameters!$F$7=Parameters!$E$15)*Parameters!$I$7*ISNUMBER(R97)+(Parameters!$F$8=Parameters!$E$15)*Parameters!$I$8*ISNUMBER(S97)+(Parameters!$F$9=Parameters!$E$15)*Parameters!$I$9*ISNUMBER(T97)+(Parameters!$F$10=Parameters!$E$15)*Parameters!$I$10*ISNUMBER(U97)+(Parameters!$F$11=Parameters!$E$15)*Parameters!$I$11*ISNUMBER(V97)+(Parameters!$F$12=Parameters!$E$15)*Parameters!$I$12*ISNUMBER(W97))/((Parameters!$F$5=Parameters!$E$15)*Parameters!$I$5*1+(Parameters!$F$6=Parameters!$E$15)*Parameters!$I$6*1+(Parameters!$F$7=Parameters!$E$15)*Parameters!$I$7*1+(Parameters!$F$8=Parameters!$E$15)*Parameters!$I$8*1+(Parameters!$F$9=Parameters!$E$15)*Parameters!$I$9*1+(Parameters!$F$10=Parameters!$E$15)*Parameters!$I$10*1+(Parameters!$F$11=Parameters!$E$15)*Parameters!$I$11*X97+(Parameters!$F$12=Parameters!$E$15)*Parameters!$I$12*Y97)&gt;=Parameters!$B$36),((Parameters!$F$5=Parameters!$E$15)*Parameters!$I$5*N(P97)+(Parameters!$F$6=Parameters!$E$15)*Parameters!$I$6*N(Q97)+(Parameters!$F$7=Parameters!$E$15)*Parameters!$I$7*N(R97)+(Parameters!$F$8=Parameters!$E$15)*Parameters!$I$8*N(S97)+(Parameters!$F$9=Parameters!$E$15)*Parameters!$I$9*N(T97)+(Parameters!$F$10=Parameters!$E$15)*Parameters!$I$10*N(U97)+(Parameters!$F$11=Parameters!$E$15)*Parameters!$I$11*N(V97)+(Parameters!$F$12=Parameters!$E$15)*Parameters!$I$12*N(W97))/((Parameters!$F$5=Parameters!$E$15)*Parameters!$I$5*ISNUMBER(P97)+(Parameters!$F$6=Parameters!$E$15)*Parameters!$I$6*ISNUMBER(Q97)+(Parameters!$F$7=Parameters!$E$15)*Parameters!$I$7*ISNUMBER(R97)+(Parameters!$F$8=Parameters!$E$15)*Parameters!$I$8*ISNUMBER(S97)+(Parameters!$F$9=Parameters!$E$15)*Parameters!$I$9*ISNUMBER(T97)+(Parameters!$F$10=Parameters!$E$15)*Parameters!$I$10*ISNUMBER(U97)+(Parameters!$F$11=Parameters!$E$15)*Parameters!$I$11*ISNUMBER(V97)+(Parameters!$F$12=Parameters!$E$15)*Parameters!$I$12*ISNUMBER(W97)),""))</f>
        <v>0.953333333333333</v>
      </c>
      <c r="AA97"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97+(Parameters!$F$12=Parameters!$E$16)*Parameters!$I$12*Y97)=0,"",IF(AND(((Parameters!$F$5=Parameters!$E$16)*Parameters!$I$5*ISNUMBER(P97)+(Parameters!$F$6=Parameters!$E$16)*Parameters!$I$6*ISNUMBER(Q97)+(Parameters!$F$7=Parameters!$E$16)*Parameters!$I$7*ISNUMBER(R97)+(Parameters!$F$8=Parameters!$E$16)*Parameters!$I$8*ISNUMBER(S97)+(Parameters!$F$9=Parameters!$E$16)*Parameters!$I$9*ISNUMBER(T97)+(Parameters!$F$10=Parameters!$E$16)*Parameters!$I$10*ISNUMBER(U97)+(Parameters!$F$11=Parameters!$E$16)*Parameters!$I$11*ISNUMBER(V97)+(Parameters!$F$12=Parameters!$E$16)*Parameters!$I$12*ISNUMBER(W97))&gt;0,((Parameters!$F$5=Parameters!$E$16)*Parameters!$I$5*ISNUMBER(P97)+(Parameters!$F$6=Parameters!$E$16)*Parameters!$I$6*ISNUMBER(Q97)+(Parameters!$F$7=Parameters!$E$16)*Parameters!$I$7*ISNUMBER(R97)+(Parameters!$F$8=Parameters!$E$16)*Parameters!$I$8*ISNUMBER(S97)+(Parameters!$F$9=Parameters!$E$16)*Parameters!$I$9*ISNUMBER(T97)+(Parameters!$F$10=Parameters!$E$16)*Parameters!$I$10*ISNUMBER(U97)+(Parameters!$F$11=Parameters!$E$16)*Parameters!$I$11*ISNUMBER(V97)+(Parameters!$F$12=Parameters!$E$16)*Parameters!$I$12*ISNUMBER(W97))/((Parameters!$F$5=Parameters!$E$16)*Parameters!$I$5*1+(Parameters!$F$6=Parameters!$E$16)*Parameters!$I$6*1+(Parameters!$F$7=Parameters!$E$16)*Parameters!$I$7*1+(Parameters!$F$8=Parameters!$E$16)*Parameters!$I$8*1+(Parameters!$F$9=Parameters!$E$16)*Parameters!$I$9*1+(Parameters!$F$10=Parameters!$E$16)*Parameters!$I$10*1+(Parameters!$F$11=Parameters!$E$16)*Parameters!$I$11*X97+(Parameters!$F$12=Parameters!$E$16)*Parameters!$I$12*Y97)&gt;=Parameters!$B$36),((Parameters!$F$5=Parameters!$E$16)*Parameters!$I$5*N(P97)+(Parameters!$F$6=Parameters!$E$16)*Parameters!$I$6*N(Q97)+(Parameters!$F$7=Parameters!$E$16)*Parameters!$I$7*N(R97)+(Parameters!$F$8=Parameters!$E$16)*Parameters!$I$8*N(S97)+(Parameters!$F$9=Parameters!$E$16)*Parameters!$I$9*N(T97)+(Parameters!$F$10=Parameters!$E$16)*Parameters!$I$10*N(U97)+(Parameters!$F$11=Parameters!$E$16)*Parameters!$I$11*N(V97)+(Parameters!$F$12=Parameters!$E$16)*Parameters!$I$12*N(W97))/((Parameters!$F$5=Parameters!$E$16)*Parameters!$I$5*ISNUMBER(P97)+(Parameters!$F$6=Parameters!$E$16)*Parameters!$I$6*ISNUMBER(Q97)+(Parameters!$F$7=Parameters!$E$16)*Parameters!$I$7*ISNUMBER(R97)+(Parameters!$F$8=Parameters!$E$16)*Parameters!$I$8*ISNUMBER(S97)+(Parameters!$F$9=Parameters!$E$16)*Parameters!$I$9*ISNUMBER(T97)+(Parameters!$F$10=Parameters!$E$16)*Parameters!$I$10*ISNUMBER(U97)+(Parameters!$F$11=Parameters!$E$16)*Parameters!$I$11*ISNUMBER(V97)+(Parameters!$F$12=Parameters!$E$16)*Parameters!$I$12*ISNUMBER(W97)),""))</f>
        <v>0.8</v>
      </c>
      <c r="AB97"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97+(Parameters!$F$12=Parameters!$E$17)*Parameters!$I$12*Y97)=0,"",IF(AND(((Parameters!$F$5=Parameters!$E$17)*Parameters!$I$5*ISNUMBER(P97)+(Parameters!$F$6=Parameters!$E$17)*Parameters!$I$6*ISNUMBER(Q97)+(Parameters!$F$7=Parameters!$E$17)*Parameters!$I$7*ISNUMBER(R97)+(Parameters!$F$8=Parameters!$E$17)*Parameters!$I$8*ISNUMBER(S97)+(Parameters!$F$9=Parameters!$E$17)*Parameters!$I$9*ISNUMBER(T97)+(Parameters!$F$10=Parameters!$E$17)*Parameters!$I$10*ISNUMBER(U97)+(Parameters!$F$11=Parameters!$E$17)*Parameters!$I$11*ISNUMBER(V97)+(Parameters!$F$12=Parameters!$E$17)*Parameters!$I$12*ISNUMBER(W97))&gt;0,((Parameters!$F$5=Parameters!$E$17)*Parameters!$I$5*ISNUMBER(P97)+(Parameters!$F$6=Parameters!$E$17)*Parameters!$I$6*ISNUMBER(Q97)+(Parameters!$F$7=Parameters!$E$17)*Parameters!$I$7*ISNUMBER(R97)+(Parameters!$F$8=Parameters!$E$17)*Parameters!$I$8*ISNUMBER(S97)+(Parameters!$F$9=Parameters!$E$17)*Parameters!$I$9*ISNUMBER(T97)+(Parameters!$F$10=Parameters!$E$17)*Parameters!$I$10*ISNUMBER(U97)+(Parameters!$F$11=Parameters!$E$17)*Parameters!$I$11*ISNUMBER(V97)+(Parameters!$F$12=Parameters!$E$17)*Parameters!$I$12*ISNUMBER(W97))/((Parameters!$F$5=Parameters!$E$17)*Parameters!$I$5*1+(Parameters!$F$6=Parameters!$E$17)*Parameters!$I$6*1+(Parameters!$F$7=Parameters!$E$17)*Parameters!$I$7*1+(Parameters!$F$8=Parameters!$E$17)*Parameters!$I$8*1+(Parameters!$F$9=Parameters!$E$17)*Parameters!$I$9*1+(Parameters!$F$10=Parameters!$E$17)*Parameters!$I$10*1+(Parameters!$F$11=Parameters!$E$17)*Parameters!$I$11*X97+(Parameters!$F$12=Parameters!$E$17)*Parameters!$I$12*Y97)&gt;=Parameters!$B$36),((Parameters!$F$5=Parameters!$E$17)*Parameters!$I$5*N(P97)+(Parameters!$F$6=Parameters!$E$17)*Parameters!$I$6*N(Q97)+(Parameters!$F$7=Parameters!$E$17)*Parameters!$I$7*N(R97)+(Parameters!$F$8=Parameters!$E$17)*Parameters!$I$8*N(S97)+(Parameters!$F$9=Parameters!$E$17)*Parameters!$I$9*N(T97)+(Parameters!$F$10=Parameters!$E$17)*Parameters!$I$10*N(U97)+(Parameters!$F$11=Parameters!$E$17)*Parameters!$I$11*N(V97)+(Parameters!$F$12=Parameters!$E$17)*Parameters!$I$12*N(W97))/((Parameters!$F$5=Parameters!$E$17)*Parameters!$I$5*ISNUMBER(P97)+(Parameters!$F$6=Parameters!$E$17)*Parameters!$I$6*ISNUMBER(Q97)+(Parameters!$F$7=Parameters!$E$17)*Parameters!$I$7*ISNUMBER(R97)+(Parameters!$F$8=Parameters!$E$17)*Parameters!$I$8*ISNUMBER(S97)+(Parameters!$F$9=Parameters!$E$17)*Parameters!$I$9*ISNUMBER(T97)+(Parameters!$F$10=Parameters!$E$17)*Parameters!$I$10*ISNUMBER(U97)+(Parameters!$F$11=Parameters!$E$17)*Parameters!$I$11*ISNUMBER(V97)+(Parameters!$F$12=Parameters!$E$17)*Parameters!$I$12*ISNUMBER(W97)),""))</f>
        <v>0.5</v>
      </c>
      <c r="AC97" s="17" t="n">
        <f aca="false">Parameters!$I$5*ISNUMBER(P97)+Parameters!$I$6*ISNUMBER(Q97)+Parameters!$I$7*ISNUMBER(R97)+Parameters!$I$8*ISNUMBER(S97)+Parameters!$I$9*ISNUMBER(T97)+Parameters!$I$10*ISNUMBER(U97)+Parameters!$I$11*ISNUMBER(V97)+Parameters!$I$12*ISNUMBER(W97)</f>
        <v>95</v>
      </c>
      <c r="AD97" s="17" t="n">
        <f aca="false">Parameters!$I$5*1+Parameters!$I$6*1+Parameters!$I$7*1+Parameters!$I$8*1+Parameters!$I$9*1+Parameters!$I$10*1+Parameters!$I$11*X97+Parameters!$I$12*Y97</f>
        <v>95</v>
      </c>
      <c r="AE97" s="18" t="n">
        <f aca="false">IF(AD97=0,"",AC97/AD97)</f>
        <v>1</v>
      </c>
      <c r="AF97" s="17" t="str">
        <f aca="false">IF(ISNUMBER(Z97),"M","")&amp;IF(ISNUMBER(AA97),"I","")&amp;IF(ISNUMBER(AB97),"O","")</f>
        <v>MIO</v>
      </c>
      <c r="AG97" s="19" t="n">
        <f aca="false">IF(AND(ISNUMBER(AE97),ISNUMBER(Z97)+ISNUMBER(AA97)+ISNUMBER(AB97)&gt;=Parameters!$B$37),IF(AE97&gt;=Parameters!$B$35,100*(Parameters!$F$15*N(Z97)+Parameters!$F$16*N(AA97)+Parameters!$F$17*N(AB97))/(Parameters!$F$15*ISNUMBER(Z97)+Parameters!$F$16*ISNUMBER(AA97)+Parameters!$F$17*ISNUMBER(AB97)),""),"")</f>
        <v>81.6666666666667</v>
      </c>
      <c r="AH97" s="17" t="n">
        <f aca="false">IF(ISNUMBER(AG97),RANK(AG97,$AG$2:$AG$113),"")</f>
        <v>71</v>
      </c>
    </row>
    <row r="98" customFormat="false" ht="15" hidden="false" customHeight="false" outlineLevel="0" collapsed="false">
      <c r="A98" s="5" t="s">
        <v>446</v>
      </c>
      <c r="B98" s="5" t="s">
        <v>446</v>
      </c>
      <c r="C98" s="5" t="s">
        <v>244</v>
      </c>
      <c r="D98" s="5" t="s">
        <v>31</v>
      </c>
      <c r="E98" s="5" t="s">
        <v>49</v>
      </c>
      <c r="F98" s="5" t="s">
        <v>447</v>
      </c>
      <c r="G98" s="15" t="s">
        <v>448</v>
      </c>
      <c r="H98" s="8" t="n">
        <v>1</v>
      </c>
      <c r="I98" s="5" t="s">
        <v>57</v>
      </c>
      <c r="J98" s="5" t="s">
        <v>74</v>
      </c>
      <c r="K98" s="15"/>
      <c r="L98" s="5" t="s">
        <v>87</v>
      </c>
      <c r="M98" s="5" t="s">
        <v>157</v>
      </c>
      <c r="N98" s="5" t="s">
        <v>197</v>
      </c>
      <c r="O98" s="5"/>
      <c r="P98" s="16" t="n">
        <f aca="false">IFERROR(IF(ISNUMBER(INDEX(Parameters!$B$5:$B$23,MATCH(D98,Parameters!$A$5:$A$23,0))),INDEX(Parameters!$B$5:$B$23,MATCH(D98,Parameters!$A$5:$A$23,0)),""),"")</f>
        <v>1</v>
      </c>
      <c r="Q98" s="16" t="n">
        <f aca="false">IFERROR(IF(ISNUMBER(INDEX(Parameters!$B$5:$B$23,MATCH(E98,Parameters!$A$5:$A$23,0))),INDEX(Parameters!$B$5:$B$23,MATCH(E98,Parameters!$A$5:$A$23,0)),""),"")</f>
        <v>0.5</v>
      </c>
      <c r="R98" s="16" t="n">
        <f aca="false">IF(F98="","",IFERROR(MIN(Parameters!$B$33,MAX(0,Parameters!$B$32-VALUE(LEFT(F98,4))))/Parameters!$B$33,""))</f>
        <v>1</v>
      </c>
      <c r="S98" s="16" t="n">
        <f aca="false">IF(ISNUMBER(H98),H98,IF(G98="",IF(ISNUMBER(Parameters!$B$34),Parameters!$B$34,""),""))</f>
        <v>1</v>
      </c>
      <c r="T98" s="16" t="n">
        <f aca="false">IFERROR(IF(ISNUMBER(INDEX(Parameters!$B$5:$B$23,MATCH(I98,Parameters!$A$5:$A$23,0))),INDEX(Parameters!$B$5:$B$23,MATCH(I98,Parameters!$A$5:$A$23,0)),""),"")</f>
        <v>0</v>
      </c>
      <c r="U98" s="16" t="n">
        <f aca="false">IFERROR(IF(ISNUMBER(INDEX(Parameters!$B$5:$B$23,MATCH(L98,Parameters!$A$5:$A$23,0))),INDEX(Parameters!$B$5:$B$23,MATCH(L98,Parameters!$A$5:$A$23,0)),""),"")</f>
        <v>0</v>
      </c>
      <c r="V98" s="16" t="str">
        <f aca="false">IFERROR(IF(ISNUMBER(INDEX(Parameters!$B$5:$B$23,MATCH(J98,Parameters!$A$5:$A$23,0))),INDEX(Parameters!$B$5:$B$23,MATCH(J98,Parameters!$A$5:$A$23,0)),""),"")</f>
        <v/>
      </c>
      <c r="W98" s="16" t="str">
        <f aca="false">IF(K98&lt;&gt;"",1,IF(COUNTIF(Parameters!$A$27:$A$28,J98)&gt;0,0,""))</f>
        <v/>
      </c>
      <c r="X98" s="17" t="n">
        <f aca="false">IF(J98="Not applicable",0,1)</f>
        <v>0</v>
      </c>
      <c r="Y98" s="17" t="n">
        <f aca="false">IF(OR(K98&lt;&gt;"",COUNTIF(Parameters!$A$27:$A$28,J98)&gt;0),1,0)</f>
        <v>0</v>
      </c>
      <c r="Z98"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98+(Parameters!$F$12=Parameters!$E$15)*Parameters!$I$12*Y98)=0,"",IF(AND(((Parameters!$F$5=Parameters!$E$15)*Parameters!$I$5*ISNUMBER(P98)+(Parameters!$F$6=Parameters!$E$15)*Parameters!$I$6*ISNUMBER(Q98)+(Parameters!$F$7=Parameters!$E$15)*Parameters!$I$7*ISNUMBER(R98)+(Parameters!$F$8=Parameters!$E$15)*Parameters!$I$8*ISNUMBER(S98)+(Parameters!$F$9=Parameters!$E$15)*Parameters!$I$9*ISNUMBER(T98)+(Parameters!$F$10=Parameters!$E$15)*Parameters!$I$10*ISNUMBER(U98)+(Parameters!$F$11=Parameters!$E$15)*Parameters!$I$11*ISNUMBER(V98)+(Parameters!$F$12=Parameters!$E$15)*Parameters!$I$12*ISNUMBER(W98))&gt;0,((Parameters!$F$5=Parameters!$E$15)*Parameters!$I$5*ISNUMBER(P98)+(Parameters!$F$6=Parameters!$E$15)*Parameters!$I$6*ISNUMBER(Q98)+(Parameters!$F$7=Parameters!$E$15)*Parameters!$I$7*ISNUMBER(R98)+(Parameters!$F$8=Parameters!$E$15)*Parameters!$I$8*ISNUMBER(S98)+(Parameters!$F$9=Parameters!$E$15)*Parameters!$I$9*ISNUMBER(T98)+(Parameters!$F$10=Parameters!$E$15)*Parameters!$I$10*ISNUMBER(U98)+(Parameters!$F$11=Parameters!$E$15)*Parameters!$I$11*ISNUMBER(V98)+(Parameters!$F$12=Parameters!$E$15)*Parameters!$I$12*ISNUMBER(W98))/((Parameters!$F$5=Parameters!$E$15)*Parameters!$I$5*1+(Parameters!$F$6=Parameters!$E$15)*Parameters!$I$6*1+(Parameters!$F$7=Parameters!$E$15)*Parameters!$I$7*1+(Parameters!$F$8=Parameters!$E$15)*Parameters!$I$8*1+(Parameters!$F$9=Parameters!$E$15)*Parameters!$I$9*1+(Parameters!$F$10=Parameters!$E$15)*Parameters!$I$10*1+(Parameters!$F$11=Parameters!$E$15)*Parameters!$I$11*X98+(Parameters!$F$12=Parameters!$E$15)*Parameters!$I$12*Y98)&gt;=Parameters!$B$36),((Parameters!$F$5=Parameters!$E$15)*Parameters!$I$5*N(P98)+(Parameters!$F$6=Parameters!$E$15)*Parameters!$I$6*N(Q98)+(Parameters!$F$7=Parameters!$E$15)*Parameters!$I$7*N(R98)+(Parameters!$F$8=Parameters!$E$15)*Parameters!$I$8*N(S98)+(Parameters!$F$9=Parameters!$E$15)*Parameters!$I$9*N(T98)+(Parameters!$F$10=Parameters!$E$15)*Parameters!$I$10*N(U98)+(Parameters!$F$11=Parameters!$E$15)*Parameters!$I$11*N(V98)+(Parameters!$F$12=Parameters!$E$15)*Parameters!$I$12*N(W98))/((Parameters!$F$5=Parameters!$E$15)*Parameters!$I$5*ISNUMBER(P98)+(Parameters!$F$6=Parameters!$E$15)*Parameters!$I$6*ISNUMBER(Q98)+(Parameters!$F$7=Parameters!$E$15)*Parameters!$I$7*ISNUMBER(R98)+(Parameters!$F$8=Parameters!$E$15)*Parameters!$I$8*ISNUMBER(S98)+(Parameters!$F$9=Parameters!$E$15)*Parameters!$I$9*ISNUMBER(T98)+(Parameters!$F$10=Parameters!$E$15)*Parameters!$I$10*ISNUMBER(U98)+(Parameters!$F$11=Parameters!$E$15)*Parameters!$I$11*ISNUMBER(V98)+(Parameters!$F$12=Parameters!$E$15)*Parameters!$I$12*ISNUMBER(W98)),""))</f>
        <v>0.75</v>
      </c>
      <c r="AA98"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98+(Parameters!$F$12=Parameters!$E$16)*Parameters!$I$12*Y98)=0,"",IF(AND(((Parameters!$F$5=Parameters!$E$16)*Parameters!$I$5*ISNUMBER(P98)+(Parameters!$F$6=Parameters!$E$16)*Parameters!$I$6*ISNUMBER(Q98)+(Parameters!$F$7=Parameters!$E$16)*Parameters!$I$7*ISNUMBER(R98)+(Parameters!$F$8=Parameters!$E$16)*Parameters!$I$8*ISNUMBER(S98)+(Parameters!$F$9=Parameters!$E$16)*Parameters!$I$9*ISNUMBER(T98)+(Parameters!$F$10=Parameters!$E$16)*Parameters!$I$10*ISNUMBER(U98)+(Parameters!$F$11=Parameters!$E$16)*Parameters!$I$11*ISNUMBER(V98)+(Parameters!$F$12=Parameters!$E$16)*Parameters!$I$12*ISNUMBER(W98))&gt;0,((Parameters!$F$5=Parameters!$E$16)*Parameters!$I$5*ISNUMBER(P98)+(Parameters!$F$6=Parameters!$E$16)*Parameters!$I$6*ISNUMBER(Q98)+(Parameters!$F$7=Parameters!$E$16)*Parameters!$I$7*ISNUMBER(R98)+(Parameters!$F$8=Parameters!$E$16)*Parameters!$I$8*ISNUMBER(S98)+(Parameters!$F$9=Parameters!$E$16)*Parameters!$I$9*ISNUMBER(T98)+(Parameters!$F$10=Parameters!$E$16)*Parameters!$I$10*ISNUMBER(U98)+(Parameters!$F$11=Parameters!$E$16)*Parameters!$I$11*ISNUMBER(V98)+(Parameters!$F$12=Parameters!$E$16)*Parameters!$I$12*ISNUMBER(W98))/((Parameters!$F$5=Parameters!$E$16)*Parameters!$I$5*1+(Parameters!$F$6=Parameters!$E$16)*Parameters!$I$6*1+(Parameters!$F$7=Parameters!$E$16)*Parameters!$I$7*1+(Parameters!$F$8=Parameters!$E$16)*Parameters!$I$8*1+(Parameters!$F$9=Parameters!$E$16)*Parameters!$I$9*1+(Parameters!$F$10=Parameters!$E$16)*Parameters!$I$10*1+(Parameters!$F$11=Parameters!$E$16)*Parameters!$I$11*X98+(Parameters!$F$12=Parameters!$E$16)*Parameters!$I$12*Y98)&gt;=Parameters!$B$36),((Parameters!$F$5=Parameters!$E$16)*Parameters!$I$5*N(P98)+(Parameters!$F$6=Parameters!$E$16)*Parameters!$I$6*N(Q98)+(Parameters!$F$7=Parameters!$E$16)*Parameters!$I$7*N(R98)+(Parameters!$F$8=Parameters!$E$16)*Parameters!$I$8*N(S98)+(Parameters!$F$9=Parameters!$E$16)*Parameters!$I$9*N(T98)+(Parameters!$F$10=Parameters!$E$16)*Parameters!$I$10*N(U98)+(Parameters!$F$11=Parameters!$E$16)*Parameters!$I$11*N(V98)+(Parameters!$F$12=Parameters!$E$16)*Parameters!$I$12*N(W98))/((Parameters!$F$5=Parameters!$E$16)*Parameters!$I$5*ISNUMBER(P98)+(Parameters!$F$6=Parameters!$E$16)*Parameters!$I$6*ISNUMBER(Q98)+(Parameters!$F$7=Parameters!$E$16)*Parameters!$I$7*ISNUMBER(R98)+(Parameters!$F$8=Parameters!$E$16)*Parameters!$I$8*ISNUMBER(S98)+(Parameters!$F$9=Parameters!$E$16)*Parameters!$I$9*ISNUMBER(T98)+(Parameters!$F$10=Parameters!$E$16)*Parameters!$I$10*ISNUMBER(U98)+(Parameters!$F$11=Parameters!$E$16)*Parameters!$I$11*ISNUMBER(V98)+(Parameters!$F$12=Parameters!$E$16)*Parameters!$I$12*ISNUMBER(W98)),""))</f>
        <v>0.4</v>
      </c>
      <c r="AB98"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98+(Parameters!$F$12=Parameters!$E$17)*Parameters!$I$12*Y98)=0,"",IF(AND(((Parameters!$F$5=Parameters!$E$17)*Parameters!$I$5*ISNUMBER(P98)+(Parameters!$F$6=Parameters!$E$17)*Parameters!$I$6*ISNUMBER(Q98)+(Parameters!$F$7=Parameters!$E$17)*Parameters!$I$7*ISNUMBER(R98)+(Parameters!$F$8=Parameters!$E$17)*Parameters!$I$8*ISNUMBER(S98)+(Parameters!$F$9=Parameters!$E$17)*Parameters!$I$9*ISNUMBER(T98)+(Parameters!$F$10=Parameters!$E$17)*Parameters!$I$10*ISNUMBER(U98)+(Parameters!$F$11=Parameters!$E$17)*Parameters!$I$11*ISNUMBER(V98)+(Parameters!$F$12=Parameters!$E$17)*Parameters!$I$12*ISNUMBER(W98))&gt;0,((Parameters!$F$5=Parameters!$E$17)*Parameters!$I$5*ISNUMBER(P98)+(Parameters!$F$6=Parameters!$E$17)*Parameters!$I$6*ISNUMBER(Q98)+(Parameters!$F$7=Parameters!$E$17)*Parameters!$I$7*ISNUMBER(R98)+(Parameters!$F$8=Parameters!$E$17)*Parameters!$I$8*ISNUMBER(S98)+(Parameters!$F$9=Parameters!$E$17)*Parameters!$I$9*ISNUMBER(T98)+(Parameters!$F$10=Parameters!$E$17)*Parameters!$I$10*ISNUMBER(U98)+(Parameters!$F$11=Parameters!$E$17)*Parameters!$I$11*ISNUMBER(V98)+(Parameters!$F$12=Parameters!$E$17)*Parameters!$I$12*ISNUMBER(W98))/((Parameters!$F$5=Parameters!$E$17)*Parameters!$I$5*1+(Parameters!$F$6=Parameters!$E$17)*Parameters!$I$6*1+(Parameters!$F$7=Parameters!$E$17)*Parameters!$I$7*1+(Parameters!$F$8=Parameters!$E$17)*Parameters!$I$8*1+(Parameters!$F$9=Parameters!$E$17)*Parameters!$I$9*1+(Parameters!$F$10=Parameters!$E$17)*Parameters!$I$10*1+(Parameters!$F$11=Parameters!$E$17)*Parameters!$I$11*X98+(Parameters!$F$12=Parameters!$E$17)*Parameters!$I$12*Y98)&gt;=Parameters!$B$36),((Parameters!$F$5=Parameters!$E$17)*Parameters!$I$5*N(P98)+(Parameters!$F$6=Parameters!$E$17)*Parameters!$I$6*N(Q98)+(Parameters!$F$7=Parameters!$E$17)*Parameters!$I$7*N(R98)+(Parameters!$F$8=Parameters!$E$17)*Parameters!$I$8*N(S98)+(Parameters!$F$9=Parameters!$E$17)*Parameters!$I$9*N(T98)+(Parameters!$F$10=Parameters!$E$17)*Parameters!$I$10*N(U98)+(Parameters!$F$11=Parameters!$E$17)*Parameters!$I$11*N(V98)+(Parameters!$F$12=Parameters!$E$17)*Parameters!$I$12*N(W98))/((Parameters!$F$5=Parameters!$E$17)*Parameters!$I$5*ISNUMBER(P98)+(Parameters!$F$6=Parameters!$E$17)*Parameters!$I$6*ISNUMBER(Q98)+(Parameters!$F$7=Parameters!$E$17)*Parameters!$I$7*ISNUMBER(R98)+(Parameters!$F$8=Parameters!$E$17)*Parameters!$I$8*ISNUMBER(S98)+(Parameters!$F$9=Parameters!$E$17)*Parameters!$I$9*ISNUMBER(T98)+(Parameters!$F$10=Parameters!$E$17)*Parameters!$I$10*ISNUMBER(U98)+(Parameters!$F$11=Parameters!$E$17)*Parameters!$I$11*ISNUMBER(V98)+(Parameters!$F$12=Parameters!$E$17)*Parameters!$I$12*ISNUMBER(W98)),""))</f>
        <v/>
      </c>
      <c r="AC98" s="17" t="n">
        <f aca="false">Parameters!$I$5*ISNUMBER(P98)+Parameters!$I$6*ISNUMBER(Q98)+Parameters!$I$7*ISNUMBER(R98)+Parameters!$I$8*ISNUMBER(S98)+Parameters!$I$9*ISNUMBER(T98)+Parameters!$I$10*ISNUMBER(U98)+Parameters!$I$11*ISNUMBER(V98)+Parameters!$I$12*ISNUMBER(W98)</f>
        <v>75</v>
      </c>
      <c r="AD98" s="17" t="n">
        <f aca="false">Parameters!$I$5*1+Parameters!$I$6*1+Parameters!$I$7*1+Parameters!$I$8*1+Parameters!$I$9*1+Parameters!$I$10*1+Parameters!$I$11*X98+Parameters!$I$12*Y98</f>
        <v>75</v>
      </c>
      <c r="AE98" s="18" t="n">
        <f aca="false">IF(AD98=0,"",AC98/AD98)</f>
        <v>1</v>
      </c>
      <c r="AF98" s="17" t="str">
        <f aca="false">IF(ISNUMBER(Z98),"M","")&amp;IF(ISNUMBER(AA98),"I","")&amp;IF(ISNUMBER(AB98),"O","")</f>
        <v>MI</v>
      </c>
      <c r="AG98" s="19" t="n">
        <f aca="false">IF(AND(ISNUMBER(AE98),ISNUMBER(Z98)+ISNUMBER(AA98)+ISNUMBER(AB98)&gt;=Parameters!$B$37),IF(AE98&gt;=Parameters!$B$35,100*(Parameters!$F$15*N(Z98)+Parameters!$F$16*N(AA98)+Parameters!$F$17*N(AB98))/(Parameters!$F$15*ISNUMBER(Z98)+Parameters!$F$16*ISNUMBER(AA98)+Parameters!$F$17*ISNUMBER(AB98)),""),"")</f>
        <v>61.875</v>
      </c>
      <c r="AH98" s="17" t="n">
        <f aca="false">IF(ISNUMBER(AG98),RANK(AG98,$AG$2:$AG$113),"")</f>
        <v>103</v>
      </c>
    </row>
    <row r="99" customFormat="false" ht="15" hidden="false" customHeight="false" outlineLevel="0" collapsed="false">
      <c r="A99" s="5" t="s">
        <v>449</v>
      </c>
      <c r="B99" s="5" t="s">
        <v>450</v>
      </c>
      <c r="C99" s="5" t="s">
        <v>331</v>
      </c>
      <c r="D99" s="5" t="s">
        <v>31</v>
      </c>
      <c r="E99" s="5" t="s">
        <v>44</v>
      </c>
      <c r="F99" s="5" t="s">
        <v>353</v>
      </c>
      <c r="G99" s="15"/>
      <c r="H99" s="8"/>
      <c r="I99" s="5" t="s">
        <v>53</v>
      </c>
      <c r="J99" s="5" t="s">
        <v>74</v>
      </c>
      <c r="K99" s="15"/>
      <c r="L99" s="5" t="s">
        <v>157</v>
      </c>
      <c r="M99" s="5" t="s">
        <v>157</v>
      </c>
      <c r="N99" s="5"/>
      <c r="O99" s="5"/>
      <c r="P99" s="16" t="n">
        <f aca="false">IFERROR(IF(ISNUMBER(INDEX(Parameters!$B$5:$B$23,MATCH(D99,Parameters!$A$5:$A$23,0))),INDEX(Parameters!$B$5:$B$23,MATCH(D99,Parameters!$A$5:$A$23,0)),""),"")</f>
        <v>1</v>
      </c>
      <c r="Q99" s="16" t="n">
        <f aca="false">IFERROR(IF(ISNUMBER(INDEX(Parameters!$B$5:$B$23,MATCH(E99,Parameters!$A$5:$A$23,0))),INDEX(Parameters!$B$5:$B$23,MATCH(E99,Parameters!$A$5:$A$23,0)),""),"")</f>
        <v>1</v>
      </c>
      <c r="R99" s="16" t="n">
        <f aca="false">IF(F99="","",IFERROR(MIN(Parameters!$B$33,MAX(0,Parameters!$B$32-VALUE(LEFT(F99,4))))/Parameters!$B$33,""))</f>
        <v>0.466666666666667</v>
      </c>
      <c r="S99" s="16" t="str">
        <f aca="false">IF(ISNUMBER(H99),H99,IF(G99="",IF(ISNUMBER(Parameters!$B$34),Parameters!$B$34,""),""))</f>
        <v/>
      </c>
      <c r="T99" s="16" t="n">
        <f aca="false">IFERROR(IF(ISNUMBER(INDEX(Parameters!$B$5:$B$23,MATCH(I99,Parameters!$A$5:$A$23,0))),INDEX(Parameters!$B$5:$B$23,MATCH(I99,Parameters!$A$5:$A$23,0)),""),"")</f>
        <v>1</v>
      </c>
      <c r="U99" s="16" t="str">
        <f aca="false">IFERROR(IF(ISNUMBER(INDEX(Parameters!$B$5:$B$23,MATCH(L99,Parameters!$A$5:$A$23,0))),INDEX(Parameters!$B$5:$B$23,MATCH(L99,Parameters!$A$5:$A$23,0)),""),"")</f>
        <v/>
      </c>
      <c r="V99" s="16" t="str">
        <f aca="false">IFERROR(IF(ISNUMBER(INDEX(Parameters!$B$5:$B$23,MATCH(J99,Parameters!$A$5:$A$23,0))),INDEX(Parameters!$B$5:$B$23,MATCH(J99,Parameters!$A$5:$A$23,0)),""),"")</f>
        <v/>
      </c>
      <c r="W99" s="16" t="str">
        <f aca="false">IF(K99&lt;&gt;"",1,IF(COUNTIF(Parameters!$A$27:$A$28,J99)&gt;0,0,""))</f>
        <v/>
      </c>
      <c r="X99" s="17" t="n">
        <f aca="false">IF(J99="Not applicable",0,1)</f>
        <v>0</v>
      </c>
      <c r="Y99" s="17" t="n">
        <f aca="false">IF(OR(K99&lt;&gt;"",COUNTIF(Parameters!$A$27:$A$28,J99)&gt;0),1,0)</f>
        <v>0</v>
      </c>
      <c r="Z99"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99+(Parameters!$F$12=Parameters!$E$15)*Parameters!$I$12*Y99)=0,"",IF(AND(((Parameters!$F$5=Parameters!$E$15)*Parameters!$I$5*ISNUMBER(P99)+(Parameters!$F$6=Parameters!$E$15)*Parameters!$I$6*ISNUMBER(Q99)+(Parameters!$F$7=Parameters!$E$15)*Parameters!$I$7*ISNUMBER(R99)+(Parameters!$F$8=Parameters!$E$15)*Parameters!$I$8*ISNUMBER(S99)+(Parameters!$F$9=Parameters!$E$15)*Parameters!$I$9*ISNUMBER(T99)+(Parameters!$F$10=Parameters!$E$15)*Parameters!$I$10*ISNUMBER(U99)+(Parameters!$F$11=Parameters!$E$15)*Parameters!$I$11*ISNUMBER(V99)+(Parameters!$F$12=Parameters!$E$15)*Parameters!$I$12*ISNUMBER(W99))&gt;0,((Parameters!$F$5=Parameters!$E$15)*Parameters!$I$5*ISNUMBER(P99)+(Parameters!$F$6=Parameters!$E$15)*Parameters!$I$6*ISNUMBER(Q99)+(Parameters!$F$7=Parameters!$E$15)*Parameters!$I$7*ISNUMBER(R99)+(Parameters!$F$8=Parameters!$E$15)*Parameters!$I$8*ISNUMBER(S99)+(Parameters!$F$9=Parameters!$E$15)*Parameters!$I$9*ISNUMBER(T99)+(Parameters!$F$10=Parameters!$E$15)*Parameters!$I$10*ISNUMBER(U99)+(Parameters!$F$11=Parameters!$E$15)*Parameters!$I$11*ISNUMBER(V99)+(Parameters!$F$12=Parameters!$E$15)*Parameters!$I$12*ISNUMBER(W99))/((Parameters!$F$5=Parameters!$E$15)*Parameters!$I$5*1+(Parameters!$F$6=Parameters!$E$15)*Parameters!$I$6*1+(Parameters!$F$7=Parameters!$E$15)*Parameters!$I$7*1+(Parameters!$F$8=Parameters!$E$15)*Parameters!$I$8*1+(Parameters!$F$9=Parameters!$E$15)*Parameters!$I$9*1+(Parameters!$F$10=Parameters!$E$15)*Parameters!$I$10*1+(Parameters!$F$11=Parameters!$E$15)*Parameters!$I$11*X99+(Parameters!$F$12=Parameters!$E$15)*Parameters!$I$12*Y99)&gt;=Parameters!$B$36),((Parameters!$F$5=Parameters!$E$15)*Parameters!$I$5*N(P99)+(Parameters!$F$6=Parameters!$E$15)*Parameters!$I$6*N(Q99)+(Parameters!$F$7=Parameters!$E$15)*Parameters!$I$7*N(R99)+(Parameters!$F$8=Parameters!$E$15)*Parameters!$I$8*N(S99)+(Parameters!$F$9=Parameters!$E$15)*Parameters!$I$9*N(T99)+(Parameters!$F$10=Parameters!$E$15)*Parameters!$I$10*N(U99)+(Parameters!$F$11=Parameters!$E$15)*Parameters!$I$11*N(V99)+(Parameters!$F$12=Parameters!$E$15)*Parameters!$I$12*N(W99))/((Parameters!$F$5=Parameters!$E$15)*Parameters!$I$5*ISNUMBER(P99)+(Parameters!$F$6=Parameters!$E$15)*Parameters!$I$6*ISNUMBER(Q99)+(Parameters!$F$7=Parameters!$E$15)*Parameters!$I$7*ISNUMBER(R99)+(Parameters!$F$8=Parameters!$E$15)*Parameters!$I$8*ISNUMBER(S99)+(Parameters!$F$9=Parameters!$E$15)*Parameters!$I$9*ISNUMBER(T99)+(Parameters!$F$10=Parameters!$E$15)*Parameters!$I$10*ISNUMBER(U99)+(Parameters!$F$11=Parameters!$E$15)*Parameters!$I$11*ISNUMBER(V99)+(Parameters!$F$12=Parameters!$E$15)*Parameters!$I$12*ISNUMBER(W99)),""))</f>
        <v>0.946666666666667</v>
      </c>
      <c r="AA99" s="16" t="str">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99+(Parameters!$F$12=Parameters!$E$16)*Parameters!$I$12*Y99)=0,"",IF(AND(((Parameters!$F$5=Parameters!$E$16)*Parameters!$I$5*ISNUMBER(P99)+(Parameters!$F$6=Parameters!$E$16)*Parameters!$I$6*ISNUMBER(Q99)+(Parameters!$F$7=Parameters!$E$16)*Parameters!$I$7*ISNUMBER(R99)+(Parameters!$F$8=Parameters!$E$16)*Parameters!$I$8*ISNUMBER(S99)+(Parameters!$F$9=Parameters!$E$16)*Parameters!$I$9*ISNUMBER(T99)+(Parameters!$F$10=Parameters!$E$16)*Parameters!$I$10*ISNUMBER(U99)+(Parameters!$F$11=Parameters!$E$16)*Parameters!$I$11*ISNUMBER(V99)+(Parameters!$F$12=Parameters!$E$16)*Parameters!$I$12*ISNUMBER(W99))&gt;0,((Parameters!$F$5=Parameters!$E$16)*Parameters!$I$5*ISNUMBER(P99)+(Parameters!$F$6=Parameters!$E$16)*Parameters!$I$6*ISNUMBER(Q99)+(Parameters!$F$7=Parameters!$E$16)*Parameters!$I$7*ISNUMBER(R99)+(Parameters!$F$8=Parameters!$E$16)*Parameters!$I$8*ISNUMBER(S99)+(Parameters!$F$9=Parameters!$E$16)*Parameters!$I$9*ISNUMBER(T99)+(Parameters!$F$10=Parameters!$E$16)*Parameters!$I$10*ISNUMBER(U99)+(Parameters!$F$11=Parameters!$E$16)*Parameters!$I$11*ISNUMBER(V99)+(Parameters!$F$12=Parameters!$E$16)*Parameters!$I$12*ISNUMBER(W99))/((Parameters!$F$5=Parameters!$E$16)*Parameters!$I$5*1+(Parameters!$F$6=Parameters!$E$16)*Parameters!$I$6*1+(Parameters!$F$7=Parameters!$E$16)*Parameters!$I$7*1+(Parameters!$F$8=Parameters!$E$16)*Parameters!$I$8*1+(Parameters!$F$9=Parameters!$E$16)*Parameters!$I$9*1+(Parameters!$F$10=Parameters!$E$16)*Parameters!$I$10*1+(Parameters!$F$11=Parameters!$E$16)*Parameters!$I$11*X99+(Parameters!$F$12=Parameters!$E$16)*Parameters!$I$12*Y99)&gt;=Parameters!$B$36),((Parameters!$F$5=Parameters!$E$16)*Parameters!$I$5*N(P99)+(Parameters!$F$6=Parameters!$E$16)*Parameters!$I$6*N(Q99)+(Parameters!$F$7=Parameters!$E$16)*Parameters!$I$7*N(R99)+(Parameters!$F$8=Parameters!$E$16)*Parameters!$I$8*N(S99)+(Parameters!$F$9=Parameters!$E$16)*Parameters!$I$9*N(T99)+(Parameters!$F$10=Parameters!$E$16)*Parameters!$I$10*N(U99)+(Parameters!$F$11=Parameters!$E$16)*Parameters!$I$11*N(V99)+(Parameters!$F$12=Parameters!$E$16)*Parameters!$I$12*N(W99))/((Parameters!$F$5=Parameters!$E$16)*Parameters!$I$5*ISNUMBER(P99)+(Parameters!$F$6=Parameters!$E$16)*Parameters!$I$6*ISNUMBER(Q99)+(Parameters!$F$7=Parameters!$E$16)*Parameters!$I$7*ISNUMBER(R99)+(Parameters!$F$8=Parameters!$E$16)*Parameters!$I$8*ISNUMBER(S99)+(Parameters!$F$9=Parameters!$E$16)*Parameters!$I$9*ISNUMBER(T99)+(Parameters!$F$10=Parameters!$E$16)*Parameters!$I$10*ISNUMBER(U99)+(Parameters!$F$11=Parameters!$E$16)*Parameters!$I$11*ISNUMBER(V99)+(Parameters!$F$12=Parameters!$E$16)*Parameters!$I$12*ISNUMBER(W99)),""))</f>
        <v/>
      </c>
      <c r="AB99"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99+(Parameters!$F$12=Parameters!$E$17)*Parameters!$I$12*Y99)=0,"",IF(AND(((Parameters!$F$5=Parameters!$E$17)*Parameters!$I$5*ISNUMBER(P99)+(Parameters!$F$6=Parameters!$E$17)*Parameters!$I$6*ISNUMBER(Q99)+(Parameters!$F$7=Parameters!$E$17)*Parameters!$I$7*ISNUMBER(R99)+(Parameters!$F$8=Parameters!$E$17)*Parameters!$I$8*ISNUMBER(S99)+(Parameters!$F$9=Parameters!$E$17)*Parameters!$I$9*ISNUMBER(T99)+(Parameters!$F$10=Parameters!$E$17)*Parameters!$I$10*ISNUMBER(U99)+(Parameters!$F$11=Parameters!$E$17)*Parameters!$I$11*ISNUMBER(V99)+(Parameters!$F$12=Parameters!$E$17)*Parameters!$I$12*ISNUMBER(W99))&gt;0,((Parameters!$F$5=Parameters!$E$17)*Parameters!$I$5*ISNUMBER(P99)+(Parameters!$F$6=Parameters!$E$17)*Parameters!$I$6*ISNUMBER(Q99)+(Parameters!$F$7=Parameters!$E$17)*Parameters!$I$7*ISNUMBER(R99)+(Parameters!$F$8=Parameters!$E$17)*Parameters!$I$8*ISNUMBER(S99)+(Parameters!$F$9=Parameters!$E$17)*Parameters!$I$9*ISNUMBER(T99)+(Parameters!$F$10=Parameters!$E$17)*Parameters!$I$10*ISNUMBER(U99)+(Parameters!$F$11=Parameters!$E$17)*Parameters!$I$11*ISNUMBER(V99)+(Parameters!$F$12=Parameters!$E$17)*Parameters!$I$12*ISNUMBER(W99))/((Parameters!$F$5=Parameters!$E$17)*Parameters!$I$5*1+(Parameters!$F$6=Parameters!$E$17)*Parameters!$I$6*1+(Parameters!$F$7=Parameters!$E$17)*Parameters!$I$7*1+(Parameters!$F$8=Parameters!$E$17)*Parameters!$I$8*1+(Parameters!$F$9=Parameters!$E$17)*Parameters!$I$9*1+(Parameters!$F$10=Parameters!$E$17)*Parameters!$I$10*1+(Parameters!$F$11=Parameters!$E$17)*Parameters!$I$11*X99+(Parameters!$F$12=Parameters!$E$17)*Parameters!$I$12*Y99)&gt;=Parameters!$B$36),((Parameters!$F$5=Parameters!$E$17)*Parameters!$I$5*N(P99)+(Parameters!$F$6=Parameters!$E$17)*Parameters!$I$6*N(Q99)+(Parameters!$F$7=Parameters!$E$17)*Parameters!$I$7*N(R99)+(Parameters!$F$8=Parameters!$E$17)*Parameters!$I$8*N(S99)+(Parameters!$F$9=Parameters!$E$17)*Parameters!$I$9*N(T99)+(Parameters!$F$10=Parameters!$E$17)*Parameters!$I$10*N(U99)+(Parameters!$F$11=Parameters!$E$17)*Parameters!$I$11*N(V99)+(Parameters!$F$12=Parameters!$E$17)*Parameters!$I$12*N(W99))/((Parameters!$F$5=Parameters!$E$17)*Parameters!$I$5*ISNUMBER(P99)+(Parameters!$F$6=Parameters!$E$17)*Parameters!$I$6*ISNUMBER(Q99)+(Parameters!$F$7=Parameters!$E$17)*Parameters!$I$7*ISNUMBER(R99)+(Parameters!$F$8=Parameters!$E$17)*Parameters!$I$8*ISNUMBER(S99)+(Parameters!$F$9=Parameters!$E$17)*Parameters!$I$9*ISNUMBER(T99)+(Parameters!$F$10=Parameters!$E$17)*Parameters!$I$10*ISNUMBER(U99)+(Parameters!$F$11=Parameters!$E$17)*Parameters!$I$11*ISNUMBER(V99)+(Parameters!$F$12=Parameters!$E$17)*Parameters!$I$12*ISNUMBER(W99)),""))</f>
        <v/>
      </c>
      <c r="AC99" s="17" t="n">
        <f aca="false">Parameters!$I$5*ISNUMBER(P99)+Parameters!$I$6*ISNUMBER(Q99)+Parameters!$I$7*ISNUMBER(R99)+Parameters!$I$8*ISNUMBER(S99)+Parameters!$I$9*ISNUMBER(T99)+Parameters!$I$10*ISNUMBER(U99)+Parameters!$I$11*ISNUMBER(V99)+Parameters!$I$12*ISNUMBER(W99)</f>
        <v>55</v>
      </c>
      <c r="AD99" s="17" t="n">
        <f aca="false">Parameters!$I$5*1+Parameters!$I$6*1+Parameters!$I$7*1+Parameters!$I$8*1+Parameters!$I$9*1+Parameters!$I$10*1+Parameters!$I$11*X99+Parameters!$I$12*Y99</f>
        <v>75</v>
      </c>
      <c r="AE99" s="18" t="n">
        <f aca="false">IF(AD99=0,"",AC99/AD99)</f>
        <v>0.733333333333333</v>
      </c>
      <c r="AF99" s="17" t="str">
        <f aca="false">IF(ISNUMBER(Z99),"M","")&amp;IF(ISNUMBER(AA99),"I","")&amp;IF(ISNUMBER(AB99),"O","")</f>
        <v>M</v>
      </c>
      <c r="AG99" s="19" t="str">
        <f aca="false">IF(AND(ISNUMBER(AE99),ISNUMBER(Z99)+ISNUMBER(AA99)+ISNUMBER(AB99)&gt;=Parameters!$B$37),IF(AE99&gt;=Parameters!$B$35,100*(Parameters!$F$15*N(Z99)+Parameters!$F$16*N(AA99)+Parameters!$F$17*N(AB99))/(Parameters!$F$15*ISNUMBER(Z99)+Parameters!$F$16*ISNUMBER(AA99)+Parameters!$F$17*ISNUMBER(AB99)),""),"")</f>
        <v/>
      </c>
      <c r="AH99" s="17" t="str">
        <f aca="false">IF(ISNUMBER(AG99),RANK(AG99,$AG$2:$AG$113),"")</f>
        <v/>
      </c>
    </row>
    <row r="100" customFormat="false" ht="15" hidden="false" customHeight="false" outlineLevel="0" collapsed="false">
      <c r="A100" s="5" t="s">
        <v>451</v>
      </c>
      <c r="B100" s="5" t="s">
        <v>452</v>
      </c>
      <c r="C100" s="5" t="s">
        <v>453</v>
      </c>
      <c r="D100" s="5" t="s">
        <v>31</v>
      </c>
      <c r="E100" s="5" t="s">
        <v>44</v>
      </c>
      <c r="F100" s="5" t="s">
        <v>208</v>
      </c>
      <c r="G100" s="15"/>
      <c r="H100" s="8"/>
      <c r="I100" s="5" t="s">
        <v>57</v>
      </c>
      <c r="J100" s="5" t="s">
        <v>74</v>
      </c>
      <c r="K100" s="15"/>
      <c r="L100" s="5" t="s">
        <v>85</v>
      </c>
      <c r="M100" s="5" t="s">
        <v>136</v>
      </c>
      <c r="N100" s="5"/>
      <c r="O100" s="5"/>
      <c r="P100" s="16" t="n">
        <f aca="false">IFERROR(IF(ISNUMBER(INDEX(Parameters!$B$5:$B$23,MATCH(D100,Parameters!$A$5:$A$23,0))),INDEX(Parameters!$B$5:$B$23,MATCH(D100,Parameters!$A$5:$A$23,0)),""),"")</f>
        <v>1</v>
      </c>
      <c r="Q100" s="16" t="n">
        <f aca="false">IFERROR(IF(ISNUMBER(INDEX(Parameters!$B$5:$B$23,MATCH(E100,Parameters!$A$5:$A$23,0))),INDEX(Parameters!$B$5:$B$23,MATCH(E100,Parameters!$A$5:$A$23,0)),""),"")</f>
        <v>1</v>
      </c>
      <c r="R100" s="16" t="n">
        <f aca="false">IF(F100="","",IFERROR(MIN(Parameters!$B$33,MAX(0,Parameters!$B$32-VALUE(LEFT(F100,4))))/Parameters!$B$33,""))</f>
        <v>0.2</v>
      </c>
      <c r="S100" s="16" t="str">
        <f aca="false">IF(ISNUMBER(H100),H100,IF(G100="",IF(ISNUMBER(Parameters!$B$34),Parameters!$B$34,""),""))</f>
        <v/>
      </c>
      <c r="T100" s="16" t="n">
        <f aca="false">IFERROR(IF(ISNUMBER(INDEX(Parameters!$B$5:$B$23,MATCH(I100,Parameters!$A$5:$A$23,0))),INDEX(Parameters!$B$5:$B$23,MATCH(I100,Parameters!$A$5:$A$23,0)),""),"")</f>
        <v>0</v>
      </c>
      <c r="U100" s="16" t="n">
        <f aca="false">IFERROR(IF(ISNUMBER(INDEX(Parameters!$B$5:$B$23,MATCH(L100,Parameters!$A$5:$A$23,0))),INDEX(Parameters!$B$5:$B$23,MATCH(L100,Parameters!$A$5:$A$23,0)),""),"")</f>
        <v>0.5</v>
      </c>
      <c r="V100" s="16" t="str">
        <f aca="false">IFERROR(IF(ISNUMBER(INDEX(Parameters!$B$5:$B$23,MATCH(J100,Parameters!$A$5:$A$23,0))),INDEX(Parameters!$B$5:$B$23,MATCH(J100,Parameters!$A$5:$A$23,0)),""),"")</f>
        <v/>
      </c>
      <c r="W100" s="16" t="str">
        <f aca="false">IF(K100&lt;&gt;"",1,IF(COUNTIF(Parameters!$A$27:$A$28,J100)&gt;0,0,""))</f>
        <v/>
      </c>
      <c r="X100" s="17" t="n">
        <f aca="false">IF(J100="Not applicable",0,1)</f>
        <v>0</v>
      </c>
      <c r="Y100" s="17" t="n">
        <f aca="false">IF(OR(K100&lt;&gt;"",COUNTIF(Parameters!$A$27:$A$28,J100)&gt;0),1,0)</f>
        <v>0</v>
      </c>
      <c r="Z100"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100+(Parameters!$F$12=Parameters!$E$15)*Parameters!$I$12*Y100)=0,"",IF(AND(((Parameters!$F$5=Parameters!$E$15)*Parameters!$I$5*ISNUMBER(P100)+(Parameters!$F$6=Parameters!$E$15)*Parameters!$I$6*ISNUMBER(Q100)+(Parameters!$F$7=Parameters!$E$15)*Parameters!$I$7*ISNUMBER(R100)+(Parameters!$F$8=Parameters!$E$15)*Parameters!$I$8*ISNUMBER(S100)+(Parameters!$F$9=Parameters!$E$15)*Parameters!$I$9*ISNUMBER(T100)+(Parameters!$F$10=Parameters!$E$15)*Parameters!$I$10*ISNUMBER(U100)+(Parameters!$F$11=Parameters!$E$15)*Parameters!$I$11*ISNUMBER(V100)+(Parameters!$F$12=Parameters!$E$15)*Parameters!$I$12*ISNUMBER(W100))&gt;0,((Parameters!$F$5=Parameters!$E$15)*Parameters!$I$5*ISNUMBER(P100)+(Parameters!$F$6=Parameters!$E$15)*Parameters!$I$6*ISNUMBER(Q100)+(Parameters!$F$7=Parameters!$E$15)*Parameters!$I$7*ISNUMBER(R100)+(Parameters!$F$8=Parameters!$E$15)*Parameters!$I$8*ISNUMBER(S100)+(Parameters!$F$9=Parameters!$E$15)*Parameters!$I$9*ISNUMBER(T100)+(Parameters!$F$10=Parameters!$E$15)*Parameters!$I$10*ISNUMBER(U100)+(Parameters!$F$11=Parameters!$E$15)*Parameters!$I$11*ISNUMBER(V100)+(Parameters!$F$12=Parameters!$E$15)*Parameters!$I$12*ISNUMBER(W100))/((Parameters!$F$5=Parameters!$E$15)*Parameters!$I$5*1+(Parameters!$F$6=Parameters!$E$15)*Parameters!$I$6*1+(Parameters!$F$7=Parameters!$E$15)*Parameters!$I$7*1+(Parameters!$F$8=Parameters!$E$15)*Parameters!$I$8*1+(Parameters!$F$9=Parameters!$E$15)*Parameters!$I$9*1+(Parameters!$F$10=Parameters!$E$15)*Parameters!$I$10*1+(Parameters!$F$11=Parameters!$E$15)*Parameters!$I$11*X100+(Parameters!$F$12=Parameters!$E$15)*Parameters!$I$12*Y100)&gt;=Parameters!$B$36),((Parameters!$F$5=Parameters!$E$15)*Parameters!$I$5*N(P100)+(Parameters!$F$6=Parameters!$E$15)*Parameters!$I$6*N(Q100)+(Parameters!$F$7=Parameters!$E$15)*Parameters!$I$7*N(R100)+(Parameters!$F$8=Parameters!$E$15)*Parameters!$I$8*N(S100)+(Parameters!$F$9=Parameters!$E$15)*Parameters!$I$9*N(T100)+(Parameters!$F$10=Parameters!$E$15)*Parameters!$I$10*N(U100)+(Parameters!$F$11=Parameters!$E$15)*Parameters!$I$11*N(V100)+(Parameters!$F$12=Parameters!$E$15)*Parameters!$I$12*N(W100))/((Parameters!$F$5=Parameters!$E$15)*Parameters!$I$5*ISNUMBER(P100)+(Parameters!$F$6=Parameters!$E$15)*Parameters!$I$6*ISNUMBER(Q100)+(Parameters!$F$7=Parameters!$E$15)*Parameters!$I$7*ISNUMBER(R100)+(Parameters!$F$8=Parameters!$E$15)*Parameters!$I$8*ISNUMBER(S100)+(Parameters!$F$9=Parameters!$E$15)*Parameters!$I$9*ISNUMBER(T100)+(Parameters!$F$10=Parameters!$E$15)*Parameters!$I$10*ISNUMBER(U100)+(Parameters!$F$11=Parameters!$E$15)*Parameters!$I$11*ISNUMBER(V100)+(Parameters!$F$12=Parameters!$E$15)*Parameters!$I$12*ISNUMBER(W100)),""))</f>
        <v>0.92</v>
      </c>
      <c r="AA100"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100+(Parameters!$F$12=Parameters!$E$16)*Parameters!$I$12*Y100)=0,"",IF(AND(((Parameters!$F$5=Parameters!$E$16)*Parameters!$I$5*ISNUMBER(P100)+(Parameters!$F$6=Parameters!$E$16)*Parameters!$I$6*ISNUMBER(Q100)+(Parameters!$F$7=Parameters!$E$16)*Parameters!$I$7*ISNUMBER(R100)+(Parameters!$F$8=Parameters!$E$16)*Parameters!$I$8*ISNUMBER(S100)+(Parameters!$F$9=Parameters!$E$16)*Parameters!$I$9*ISNUMBER(T100)+(Parameters!$F$10=Parameters!$E$16)*Parameters!$I$10*ISNUMBER(U100)+(Parameters!$F$11=Parameters!$E$16)*Parameters!$I$11*ISNUMBER(V100)+(Parameters!$F$12=Parameters!$E$16)*Parameters!$I$12*ISNUMBER(W100))&gt;0,((Parameters!$F$5=Parameters!$E$16)*Parameters!$I$5*ISNUMBER(P100)+(Parameters!$F$6=Parameters!$E$16)*Parameters!$I$6*ISNUMBER(Q100)+(Parameters!$F$7=Parameters!$E$16)*Parameters!$I$7*ISNUMBER(R100)+(Parameters!$F$8=Parameters!$E$16)*Parameters!$I$8*ISNUMBER(S100)+(Parameters!$F$9=Parameters!$E$16)*Parameters!$I$9*ISNUMBER(T100)+(Parameters!$F$10=Parameters!$E$16)*Parameters!$I$10*ISNUMBER(U100)+(Parameters!$F$11=Parameters!$E$16)*Parameters!$I$11*ISNUMBER(V100)+(Parameters!$F$12=Parameters!$E$16)*Parameters!$I$12*ISNUMBER(W100))/((Parameters!$F$5=Parameters!$E$16)*Parameters!$I$5*1+(Parameters!$F$6=Parameters!$E$16)*Parameters!$I$6*1+(Parameters!$F$7=Parameters!$E$16)*Parameters!$I$7*1+(Parameters!$F$8=Parameters!$E$16)*Parameters!$I$8*1+(Parameters!$F$9=Parameters!$E$16)*Parameters!$I$9*1+(Parameters!$F$10=Parameters!$E$16)*Parameters!$I$10*1+(Parameters!$F$11=Parameters!$E$16)*Parameters!$I$11*X100+(Parameters!$F$12=Parameters!$E$16)*Parameters!$I$12*Y100)&gt;=Parameters!$B$36),((Parameters!$F$5=Parameters!$E$16)*Parameters!$I$5*N(P100)+(Parameters!$F$6=Parameters!$E$16)*Parameters!$I$6*N(Q100)+(Parameters!$F$7=Parameters!$E$16)*Parameters!$I$7*N(R100)+(Parameters!$F$8=Parameters!$E$16)*Parameters!$I$8*N(S100)+(Parameters!$F$9=Parameters!$E$16)*Parameters!$I$9*N(T100)+(Parameters!$F$10=Parameters!$E$16)*Parameters!$I$10*N(U100)+(Parameters!$F$11=Parameters!$E$16)*Parameters!$I$11*N(V100)+(Parameters!$F$12=Parameters!$E$16)*Parameters!$I$12*N(W100))/((Parameters!$F$5=Parameters!$E$16)*Parameters!$I$5*ISNUMBER(P100)+(Parameters!$F$6=Parameters!$E$16)*Parameters!$I$6*ISNUMBER(Q100)+(Parameters!$F$7=Parameters!$E$16)*Parameters!$I$7*ISNUMBER(R100)+(Parameters!$F$8=Parameters!$E$16)*Parameters!$I$8*ISNUMBER(S100)+(Parameters!$F$9=Parameters!$E$16)*Parameters!$I$9*ISNUMBER(T100)+(Parameters!$F$10=Parameters!$E$16)*Parameters!$I$10*ISNUMBER(U100)+(Parameters!$F$11=Parameters!$E$16)*Parameters!$I$11*ISNUMBER(V100)+(Parameters!$F$12=Parameters!$E$16)*Parameters!$I$12*ISNUMBER(W100)),""))</f>
        <v>0.333333333333333</v>
      </c>
      <c r="AB100"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100+(Parameters!$F$12=Parameters!$E$17)*Parameters!$I$12*Y100)=0,"",IF(AND(((Parameters!$F$5=Parameters!$E$17)*Parameters!$I$5*ISNUMBER(P100)+(Parameters!$F$6=Parameters!$E$17)*Parameters!$I$6*ISNUMBER(Q100)+(Parameters!$F$7=Parameters!$E$17)*Parameters!$I$7*ISNUMBER(R100)+(Parameters!$F$8=Parameters!$E$17)*Parameters!$I$8*ISNUMBER(S100)+(Parameters!$F$9=Parameters!$E$17)*Parameters!$I$9*ISNUMBER(T100)+(Parameters!$F$10=Parameters!$E$17)*Parameters!$I$10*ISNUMBER(U100)+(Parameters!$F$11=Parameters!$E$17)*Parameters!$I$11*ISNUMBER(V100)+(Parameters!$F$12=Parameters!$E$17)*Parameters!$I$12*ISNUMBER(W100))&gt;0,((Parameters!$F$5=Parameters!$E$17)*Parameters!$I$5*ISNUMBER(P100)+(Parameters!$F$6=Parameters!$E$17)*Parameters!$I$6*ISNUMBER(Q100)+(Parameters!$F$7=Parameters!$E$17)*Parameters!$I$7*ISNUMBER(R100)+(Parameters!$F$8=Parameters!$E$17)*Parameters!$I$8*ISNUMBER(S100)+(Parameters!$F$9=Parameters!$E$17)*Parameters!$I$9*ISNUMBER(T100)+(Parameters!$F$10=Parameters!$E$17)*Parameters!$I$10*ISNUMBER(U100)+(Parameters!$F$11=Parameters!$E$17)*Parameters!$I$11*ISNUMBER(V100)+(Parameters!$F$12=Parameters!$E$17)*Parameters!$I$12*ISNUMBER(W100))/((Parameters!$F$5=Parameters!$E$17)*Parameters!$I$5*1+(Parameters!$F$6=Parameters!$E$17)*Parameters!$I$6*1+(Parameters!$F$7=Parameters!$E$17)*Parameters!$I$7*1+(Parameters!$F$8=Parameters!$E$17)*Parameters!$I$8*1+(Parameters!$F$9=Parameters!$E$17)*Parameters!$I$9*1+(Parameters!$F$10=Parameters!$E$17)*Parameters!$I$10*1+(Parameters!$F$11=Parameters!$E$17)*Parameters!$I$11*X100+(Parameters!$F$12=Parameters!$E$17)*Parameters!$I$12*Y100)&gt;=Parameters!$B$36),((Parameters!$F$5=Parameters!$E$17)*Parameters!$I$5*N(P100)+(Parameters!$F$6=Parameters!$E$17)*Parameters!$I$6*N(Q100)+(Parameters!$F$7=Parameters!$E$17)*Parameters!$I$7*N(R100)+(Parameters!$F$8=Parameters!$E$17)*Parameters!$I$8*N(S100)+(Parameters!$F$9=Parameters!$E$17)*Parameters!$I$9*N(T100)+(Parameters!$F$10=Parameters!$E$17)*Parameters!$I$10*N(U100)+(Parameters!$F$11=Parameters!$E$17)*Parameters!$I$11*N(V100)+(Parameters!$F$12=Parameters!$E$17)*Parameters!$I$12*N(W100))/((Parameters!$F$5=Parameters!$E$17)*Parameters!$I$5*ISNUMBER(P100)+(Parameters!$F$6=Parameters!$E$17)*Parameters!$I$6*ISNUMBER(Q100)+(Parameters!$F$7=Parameters!$E$17)*Parameters!$I$7*ISNUMBER(R100)+(Parameters!$F$8=Parameters!$E$17)*Parameters!$I$8*ISNUMBER(S100)+(Parameters!$F$9=Parameters!$E$17)*Parameters!$I$9*ISNUMBER(T100)+(Parameters!$F$10=Parameters!$E$17)*Parameters!$I$10*ISNUMBER(U100)+(Parameters!$F$11=Parameters!$E$17)*Parameters!$I$11*ISNUMBER(V100)+(Parameters!$F$12=Parameters!$E$17)*Parameters!$I$12*ISNUMBER(W100)),""))</f>
        <v/>
      </c>
      <c r="AC100" s="17" t="n">
        <f aca="false">Parameters!$I$5*ISNUMBER(P100)+Parameters!$I$6*ISNUMBER(Q100)+Parameters!$I$7*ISNUMBER(R100)+Parameters!$I$8*ISNUMBER(S100)+Parameters!$I$9*ISNUMBER(T100)+Parameters!$I$10*ISNUMBER(U100)+Parameters!$I$11*ISNUMBER(V100)+Parameters!$I$12*ISNUMBER(W100)</f>
        <v>65</v>
      </c>
      <c r="AD100" s="17" t="n">
        <f aca="false">Parameters!$I$5*1+Parameters!$I$6*1+Parameters!$I$7*1+Parameters!$I$8*1+Parameters!$I$9*1+Parameters!$I$10*1+Parameters!$I$11*X100+Parameters!$I$12*Y100</f>
        <v>75</v>
      </c>
      <c r="AE100" s="18" t="n">
        <f aca="false">IF(AD100=0,"",AC100/AD100)</f>
        <v>0.866666666666667</v>
      </c>
      <c r="AF100" s="17" t="str">
        <f aca="false">IF(ISNUMBER(Z100),"M","")&amp;IF(ISNUMBER(AA100),"I","")&amp;IF(ISNUMBER(AB100),"O","")</f>
        <v>MI</v>
      </c>
      <c r="AG100" s="19" t="n">
        <f aca="false">IF(AND(ISNUMBER(AE100),ISNUMBER(Z100)+ISNUMBER(AA100)+ISNUMBER(AB100)&gt;=Parameters!$B$37),IF(AE100&gt;=Parameters!$B$35,100*(Parameters!$F$15*N(Z100)+Parameters!$F$16*N(AA100)+Parameters!$F$17*N(AB100))/(Parameters!$F$15*ISNUMBER(Z100)+Parameters!$F$16*ISNUMBER(AA100)+Parameters!$F$17*ISNUMBER(AB100)),""),"")</f>
        <v>70</v>
      </c>
      <c r="AH100" s="17" t="n">
        <f aca="false">IF(ISNUMBER(AG100),RANK(AG100,$AG$2:$AG$113),"")</f>
        <v>98</v>
      </c>
    </row>
    <row r="101" customFormat="false" ht="15" hidden="false" customHeight="false" outlineLevel="0" collapsed="false">
      <c r="A101" s="5" t="s">
        <v>454</v>
      </c>
      <c r="B101" s="5" t="s">
        <v>455</v>
      </c>
      <c r="C101" s="5" t="s">
        <v>343</v>
      </c>
      <c r="D101" s="5" t="s">
        <v>31</v>
      </c>
      <c r="E101" s="5" t="s">
        <v>44</v>
      </c>
      <c r="F101" s="5" t="s">
        <v>265</v>
      </c>
      <c r="G101" s="15" t="s">
        <v>183</v>
      </c>
      <c r="H101" s="8" t="n">
        <v>0</v>
      </c>
      <c r="I101" s="5" t="s">
        <v>57</v>
      </c>
      <c r="J101" s="5" t="s">
        <v>66</v>
      </c>
      <c r="K101" s="15"/>
      <c r="L101" s="5" t="s">
        <v>85</v>
      </c>
      <c r="M101" s="5" t="s">
        <v>141</v>
      </c>
      <c r="N101" s="5" t="s">
        <v>252</v>
      </c>
      <c r="O101" s="5" t="s">
        <v>197</v>
      </c>
      <c r="P101" s="16" t="n">
        <f aca="false">IFERROR(IF(ISNUMBER(INDEX(Parameters!$B$5:$B$23,MATCH(D101,Parameters!$A$5:$A$23,0))),INDEX(Parameters!$B$5:$B$23,MATCH(D101,Parameters!$A$5:$A$23,0)),""),"")</f>
        <v>1</v>
      </c>
      <c r="Q101" s="16" t="n">
        <f aca="false">IFERROR(IF(ISNUMBER(INDEX(Parameters!$B$5:$B$23,MATCH(E101,Parameters!$A$5:$A$23,0))),INDEX(Parameters!$B$5:$B$23,MATCH(E101,Parameters!$A$5:$A$23,0)),""),"")</f>
        <v>1</v>
      </c>
      <c r="R101" s="16" t="n">
        <f aca="false">IF(F101="","",IFERROR(MIN(Parameters!$B$33,MAX(0,Parameters!$B$32-VALUE(LEFT(F101,4))))/Parameters!$B$33,""))</f>
        <v>0.6</v>
      </c>
      <c r="S101" s="16" t="n">
        <f aca="false">IF(ISNUMBER(H101),H101,IF(G101="",IF(ISNUMBER(Parameters!$B$34),Parameters!$B$34,""),""))</f>
        <v>0</v>
      </c>
      <c r="T101" s="16" t="n">
        <f aca="false">IFERROR(IF(ISNUMBER(INDEX(Parameters!$B$5:$B$23,MATCH(I101,Parameters!$A$5:$A$23,0))),INDEX(Parameters!$B$5:$B$23,MATCH(I101,Parameters!$A$5:$A$23,0)),""),"")</f>
        <v>0</v>
      </c>
      <c r="U101" s="16" t="n">
        <f aca="false">IFERROR(IF(ISNUMBER(INDEX(Parameters!$B$5:$B$23,MATCH(L101,Parameters!$A$5:$A$23,0))),INDEX(Parameters!$B$5:$B$23,MATCH(L101,Parameters!$A$5:$A$23,0)),""),"")</f>
        <v>0.5</v>
      </c>
      <c r="V101" s="16" t="n">
        <f aca="false">IFERROR(IF(ISNUMBER(INDEX(Parameters!$B$5:$B$23,MATCH(J101,Parameters!$A$5:$A$23,0))),INDEX(Parameters!$B$5:$B$23,MATCH(J101,Parameters!$A$5:$A$23,0)),""),"")</f>
        <v>1</v>
      </c>
      <c r="W101" s="16" t="str">
        <f aca="false">IF(K101&lt;&gt;"",1,IF(COUNTIF(Parameters!$A$27:$A$28,J101)&gt;0,0,""))</f>
        <v/>
      </c>
      <c r="X101" s="17" t="n">
        <f aca="false">IF(J101="Not applicable",0,1)</f>
        <v>1</v>
      </c>
      <c r="Y101" s="17" t="n">
        <f aca="false">IF(OR(K101&lt;&gt;"",COUNTIF(Parameters!$A$27:$A$28,J101)&gt;0),1,0)</f>
        <v>0</v>
      </c>
      <c r="Z101"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101+(Parameters!$F$12=Parameters!$E$15)*Parameters!$I$12*Y101)=0,"",IF(AND(((Parameters!$F$5=Parameters!$E$15)*Parameters!$I$5*ISNUMBER(P101)+(Parameters!$F$6=Parameters!$E$15)*Parameters!$I$6*ISNUMBER(Q101)+(Parameters!$F$7=Parameters!$E$15)*Parameters!$I$7*ISNUMBER(R101)+(Parameters!$F$8=Parameters!$E$15)*Parameters!$I$8*ISNUMBER(S101)+(Parameters!$F$9=Parameters!$E$15)*Parameters!$I$9*ISNUMBER(T101)+(Parameters!$F$10=Parameters!$E$15)*Parameters!$I$10*ISNUMBER(U101)+(Parameters!$F$11=Parameters!$E$15)*Parameters!$I$11*ISNUMBER(V101)+(Parameters!$F$12=Parameters!$E$15)*Parameters!$I$12*ISNUMBER(W101))&gt;0,((Parameters!$F$5=Parameters!$E$15)*Parameters!$I$5*ISNUMBER(P101)+(Parameters!$F$6=Parameters!$E$15)*Parameters!$I$6*ISNUMBER(Q101)+(Parameters!$F$7=Parameters!$E$15)*Parameters!$I$7*ISNUMBER(R101)+(Parameters!$F$8=Parameters!$E$15)*Parameters!$I$8*ISNUMBER(S101)+(Parameters!$F$9=Parameters!$E$15)*Parameters!$I$9*ISNUMBER(T101)+(Parameters!$F$10=Parameters!$E$15)*Parameters!$I$10*ISNUMBER(U101)+(Parameters!$F$11=Parameters!$E$15)*Parameters!$I$11*ISNUMBER(V101)+(Parameters!$F$12=Parameters!$E$15)*Parameters!$I$12*ISNUMBER(W101))/((Parameters!$F$5=Parameters!$E$15)*Parameters!$I$5*1+(Parameters!$F$6=Parameters!$E$15)*Parameters!$I$6*1+(Parameters!$F$7=Parameters!$E$15)*Parameters!$I$7*1+(Parameters!$F$8=Parameters!$E$15)*Parameters!$I$8*1+(Parameters!$F$9=Parameters!$E$15)*Parameters!$I$9*1+(Parameters!$F$10=Parameters!$E$15)*Parameters!$I$10*1+(Parameters!$F$11=Parameters!$E$15)*Parameters!$I$11*X101+(Parameters!$F$12=Parameters!$E$15)*Parameters!$I$12*Y101)&gt;=Parameters!$B$36),((Parameters!$F$5=Parameters!$E$15)*Parameters!$I$5*N(P101)+(Parameters!$F$6=Parameters!$E$15)*Parameters!$I$6*N(Q101)+(Parameters!$F$7=Parameters!$E$15)*Parameters!$I$7*N(R101)+(Parameters!$F$8=Parameters!$E$15)*Parameters!$I$8*N(S101)+(Parameters!$F$9=Parameters!$E$15)*Parameters!$I$9*N(T101)+(Parameters!$F$10=Parameters!$E$15)*Parameters!$I$10*N(U101)+(Parameters!$F$11=Parameters!$E$15)*Parameters!$I$11*N(V101)+(Parameters!$F$12=Parameters!$E$15)*Parameters!$I$12*N(W101))/((Parameters!$F$5=Parameters!$E$15)*Parameters!$I$5*ISNUMBER(P101)+(Parameters!$F$6=Parameters!$E$15)*Parameters!$I$6*ISNUMBER(Q101)+(Parameters!$F$7=Parameters!$E$15)*Parameters!$I$7*ISNUMBER(R101)+(Parameters!$F$8=Parameters!$E$15)*Parameters!$I$8*ISNUMBER(S101)+(Parameters!$F$9=Parameters!$E$15)*Parameters!$I$9*ISNUMBER(T101)+(Parameters!$F$10=Parameters!$E$15)*Parameters!$I$10*ISNUMBER(U101)+(Parameters!$F$11=Parameters!$E$15)*Parameters!$I$11*ISNUMBER(V101)+(Parameters!$F$12=Parameters!$E$15)*Parameters!$I$12*ISNUMBER(W101)),""))</f>
        <v>0.96</v>
      </c>
      <c r="AA101"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101+(Parameters!$F$12=Parameters!$E$16)*Parameters!$I$12*Y101)=0,"",IF(AND(((Parameters!$F$5=Parameters!$E$16)*Parameters!$I$5*ISNUMBER(P101)+(Parameters!$F$6=Parameters!$E$16)*Parameters!$I$6*ISNUMBER(Q101)+(Parameters!$F$7=Parameters!$E$16)*Parameters!$I$7*ISNUMBER(R101)+(Parameters!$F$8=Parameters!$E$16)*Parameters!$I$8*ISNUMBER(S101)+(Parameters!$F$9=Parameters!$E$16)*Parameters!$I$9*ISNUMBER(T101)+(Parameters!$F$10=Parameters!$E$16)*Parameters!$I$10*ISNUMBER(U101)+(Parameters!$F$11=Parameters!$E$16)*Parameters!$I$11*ISNUMBER(V101)+(Parameters!$F$12=Parameters!$E$16)*Parameters!$I$12*ISNUMBER(W101))&gt;0,((Parameters!$F$5=Parameters!$E$16)*Parameters!$I$5*ISNUMBER(P101)+(Parameters!$F$6=Parameters!$E$16)*Parameters!$I$6*ISNUMBER(Q101)+(Parameters!$F$7=Parameters!$E$16)*Parameters!$I$7*ISNUMBER(R101)+(Parameters!$F$8=Parameters!$E$16)*Parameters!$I$8*ISNUMBER(S101)+(Parameters!$F$9=Parameters!$E$16)*Parameters!$I$9*ISNUMBER(T101)+(Parameters!$F$10=Parameters!$E$16)*Parameters!$I$10*ISNUMBER(U101)+(Parameters!$F$11=Parameters!$E$16)*Parameters!$I$11*ISNUMBER(V101)+(Parameters!$F$12=Parameters!$E$16)*Parameters!$I$12*ISNUMBER(W101))/((Parameters!$F$5=Parameters!$E$16)*Parameters!$I$5*1+(Parameters!$F$6=Parameters!$E$16)*Parameters!$I$6*1+(Parameters!$F$7=Parameters!$E$16)*Parameters!$I$7*1+(Parameters!$F$8=Parameters!$E$16)*Parameters!$I$8*1+(Parameters!$F$9=Parameters!$E$16)*Parameters!$I$9*1+(Parameters!$F$10=Parameters!$E$16)*Parameters!$I$10*1+(Parameters!$F$11=Parameters!$E$16)*Parameters!$I$11*X101+(Parameters!$F$12=Parameters!$E$16)*Parameters!$I$12*Y101)&gt;=Parameters!$B$36),((Parameters!$F$5=Parameters!$E$16)*Parameters!$I$5*N(P101)+(Parameters!$F$6=Parameters!$E$16)*Parameters!$I$6*N(Q101)+(Parameters!$F$7=Parameters!$E$16)*Parameters!$I$7*N(R101)+(Parameters!$F$8=Parameters!$E$16)*Parameters!$I$8*N(S101)+(Parameters!$F$9=Parameters!$E$16)*Parameters!$I$9*N(T101)+(Parameters!$F$10=Parameters!$E$16)*Parameters!$I$10*N(U101)+(Parameters!$F$11=Parameters!$E$16)*Parameters!$I$11*N(V101)+(Parameters!$F$12=Parameters!$E$16)*Parameters!$I$12*N(W101))/((Parameters!$F$5=Parameters!$E$16)*Parameters!$I$5*ISNUMBER(P101)+(Parameters!$F$6=Parameters!$E$16)*Parameters!$I$6*ISNUMBER(Q101)+(Parameters!$F$7=Parameters!$E$16)*Parameters!$I$7*ISNUMBER(R101)+(Parameters!$F$8=Parameters!$E$16)*Parameters!$I$8*ISNUMBER(S101)+(Parameters!$F$9=Parameters!$E$16)*Parameters!$I$9*ISNUMBER(T101)+(Parameters!$F$10=Parameters!$E$16)*Parameters!$I$10*ISNUMBER(U101)+(Parameters!$F$11=Parameters!$E$16)*Parameters!$I$11*ISNUMBER(V101)+(Parameters!$F$12=Parameters!$E$16)*Parameters!$I$12*ISNUMBER(W101)),""))</f>
        <v>0.2</v>
      </c>
      <c r="AB101"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101+(Parameters!$F$12=Parameters!$E$17)*Parameters!$I$12*Y101)=0,"",IF(AND(((Parameters!$F$5=Parameters!$E$17)*Parameters!$I$5*ISNUMBER(P101)+(Parameters!$F$6=Parameters!$E$17)*Parameters!$I$6*ISNUMBER(Q101)+(Parameters!$F$7=Parameters!$E$17)*Parameters!$I$7*ISNUMBER(R101)+(Parameters!$F$8=Parameters!$E$17)*Parameters!$I$8*ISNUMBER(S101)+(Parameters!$F$9=Parameters!$E$17)*Parameters!$I$9*ISNUMBER(T101)+(Parameters!$F$10=Parameters!$E$17)*Parameters!$I$10*ISNUMBER(U101)+(Parameters!$F$11=Parameters!$E$17)*Parameters!$I$11*ISNUMBER(V101)+(Parameters!$F$12=Parameters!$E$17)*Parameters!$I$12*ISNUMBER(W101))&gt;0,((Parameters!$F$5=Parameters!$E$17)*Parameters!$I$5*ISNUMBER(P101)+(Parameters!$F$6=Parameters!$E$17)*Parameters!$I$6*ISNUMBER(Q101)+(Parameters!$F$7=Parameters!$E$17)*Parameters!$I$7*ISNUMBER(R101)+(Parameters!$F$8=Parameters!$E$17)*Parameters!$I$8*ISNUMBER(S101)+(Parameters!$F$9=Parameters!$E$17)*Parameters!$I$9*ISNUMBER(T101)+(Parameters!$F$10=Parameters!$E$17)*Parameters!$I$10*ISNUMBER(U101)+(Parameters!$F$11=Parameters!$E$17)*Parameters!$I$11*ISNUMBER(V101)+(Parameters!$F$12=Parameters!$E$17)*Parameters!$I$12*ISNUMBER(W101))/((Parameters!$F$5=Parameters!$E$17)*Parameters!$I$5*1+(Parameters!$F$6=Parameters!$E$17)*Parameters!$I$6*1+(Parameters!$F$7=Parameters!$E$17)*Parameters!$I$7*1+(Parameters!$F$8=Parameters!$E$17)*Parameters!$I$8*1+(Parameters!$F$9=Parameters!$E$17)*Parameters!$I$9*1+(Parameters!$F$10=Parameters!$E$17)*Parameters!$I$10*1+(Parameters!$F$11=Parameters!$E$17)*Parameters!$I$11*X101+(Parameters!$F$12=Parameters!$E$17)*Parameters!$I$12*Y101)&gt;=Parameters!$B$36),((Parameters!$F$5=Parameters!$E$17)*Parameters!$I$5*N(P101)+(Parameters!$F$6=Parameters!$E$17)*Parameters!$I$6*N(Q101)+(Parameters!$F$7=Parameters!$E$17)*Parameters!$I$7*N(R101)+(Parameters!$F$8=Parameters!$E$17)*Parameters!$I$8*N(S101)+(Parameters!$F$9=Parameters!$E$17)*Parameters!$I$9*N(T101)+(Parameters!$F$10=Parameters!$E$17)*Parameters!$I$10*N(U101)+(Parameters!$F$11=Parameters!$E$17)*Parameters!$I$11*N(V101)+(Parameters!$F$12=Parameters!$E$17)*Parameters!$I$12*N(W101))/((Parameters!$F$5=Parameters!$E$17)*Parameters!$I$5*ISNUMBER(P101)+(Parameters!$F$6=Parameters!$E$17)*Parameters!$I$6*ISNUMBER(Q101)+(Parameters!$F$7=Parameters!$E$17)*Parameters!$I$7*ISNUMBER(R101)+(Parameters!$F$8=Parameters!$E$17)*Parameters!$I$8*ISNUMBER(S101)+(Parameters!$F$9=Parameters!$E$17)*Parameters!$I$9*ISNUMBER(T101)+(Parameters!$F$10=Parameters!$E$17)*Parameters!$I$10*ISNUMBER(U101)+(Parameters!$F$11=Parameters!$E$17)*Parameters!$I$11*ISNUMBER(V101)+(Parameters!$F$12=Parameters!$E$17)*Parameters!$I$12*ISNUMBER(W101)),""))</f>
        <v>1</v>
      </c>
      <c r="AC101" s="17" t="n">
        <f aca="false">Parameters!$I$5*ISNUMBER(P101)+Parameters!$I$6*ISNUMBER(Q101)+Parameters!$I$7*ISNUMBER(R101)+Parameters!$I$8*ISNUMBER(S101)+Parameters!$I$9*ISNUMBER(T101)+Parameters!$I$10*ISNUMBER(U101)+Parameters!$I$11*ISNUMBER(V101)+Parameters!$I$12*ISNUMBER(W101)</f>
        <v>85</v>
      </c>
      <c r="AD101" s="17" t="n">
        <f aca="false">Parameters!$I$5*1+Parameters!$I$6*1+Parameters!$I$7*1+Parameters!$I$8*1+Parameters!$I$9*1+Parameters!$I$10*1+Parameters!$I$11*X101+Parameters!$I$12*Y101</f>
        <v>85</v>
      </c>
      <c r="AE101" s="18" t="n">
        <f aca="false">IF(AD101=0,"",AC101/AD101)</f>
        <v>1</v>
      </c>
      <c r="AF101" s="17" t="str">
        <f aca="false">IF(ISNUMBER(Z101),"M","")&amp;IF(ISNUMBER(AA101),"I","")&amp;IF(ISNUMBER(AB101),"O","")</f>
        <v>MIO</v>
      </c>
      <c r="AG101" s="19" t="n">
        <f aca="false">IF(AND(ISNUMBER(AE101),ISNUMBER(Z101)+ISNUMBER(AA101)+ISNUMBER(AB101)&gt;=Parameters!$B$37),IF(AE101&gt;=Parameters!$B$35,100*(Parameters!$F$15*N(Z101)+Parameters!$F$16*N(AA101)+Parameters!$F$17*N(AB101))/(Parameters!$F$15*ISNUMBER(Z101)+Parameters!$F$16*ISNUMBER(AA101)+Parameters!$F$17*ISNUMBER(AB101)),""),"")</f>
        <v>74</v>
      </c>
      <c r="AH101" s="17" t="n">
        <f aca="false">IF(ISNUMBER(AG101),RANK(AG101,$AG$2:$AG$113),"")</f>
        <v>92</v>
      </c>
    </row>
    <row r="102" customFormat="false" ht="15" hidden="false" customHeight="false" outlineLevel="0" collapsed="false">
      <c r="A102" s="5" t="s">
        <v>456</v>
      </c>
      <c r="B102" s="5" t="s">
        <v>457</v>
      </c>
      <c r="C102" s="5" t="s">
        <v>422</v>
      </c>
      <c r="D102" s="5" t="s">
        <v>31</v>
      </c>
      <c r="E102" s="5" t="s">
        <v>44</v>
      </c>
      <c r="F102" s="5" t="s">
        <v>135</v>
      </c>
      <c r="G102" s="15" t="s">
        <v>458</v>
      </c>
      <c r="H102" s="8" t="n">
        <v>1</v>
      </c>
      <c r="I102" s="5" t="s">
        <v>57</v>
      </c>
      <c r="J102" s="5" t="s">
        <v>74</v>
      </c>
      <c r="K102" s="15"/>
      <c r="L102" s="5" t="s">
        <v>76</v>
      </c>
      <c r="M102" s="5" t="s">
        <v>136</v>
      </c>
      <c r="N102" s="5" t="s">
        <v>142</v>
      </c>
      <c r="O102" s="5" t="s">
        <v>197</v>
      </c>
      <c r="P102" s="16" t="n">
        <f aca="false">IFERROR(IF(ISNUMBER(INDEX(Parameters!$B$5:$B$23,MATCH(D102,Parameters!$A$5:$A$23,0))),INDEX(Parameters!$B$5:$B$23,MATCH(D102,Parameters!$A$5:$A$23,0)),""),"")</f>
        <v>1</v>
      </c>
      <c r="Q102" s="16" t="n">
        <f aca="false">IFERROR(IF(ISNUMBER(INDEX(Parameters!$B$5:$B$23,MATCH(E102,Parameters!$A$5:$A$23,0))),INDEX(Parameters!$B$5:$B$23,MATCH(E102,Parameters!$A$5:$A$23,0)),""),"")</f>
        <v>1</v>
      </c>
      <c r="R102" s="16" t="n">
        <f aca="false">IF(F102="","",IFERROR(MIN(Parameters!$B$33,MAX(0,Parameters!$B$32-VALUE(LEFT(F102,4))))/Parameters!$B$33,""))</f>
        <v>0.4</v>
      </c>
      <c r="S102" s="16" t="n">
        <f aca="false">IF(ISNUMBER(H102),H102,IF(G102="",IF(ISNUMBER(Parameters!$B$34),Parameters!$B$34,""),""))</f>
        <v>1</v>
      </c>
      <c r="T102" s="16" t="n">
        <f aca="false">IFERROR(IF(ISNUMBER(INDEX(Parameters!$B$5:$B$23,MATCH(I102,Parameters!$A$5:$A$23,0))),INDEX(Parameters!$B$5:$B$23,MATCH(I102,Parameters!$A$5:$A$23,0)),""),"")</f>
        <v>0</v>
      </c>
      <c r="U102" s="16" t="n">
        <f aca="false">IFERROR(IF(ISNUMBER(INDEX(Parameters!$B$5:$B$23,MATCH(L102,Parameters!$A$5:$A$23,0))),INDEX(Parameters!$B$5:$B$23,MATCH(L102,Parameters!$A$5:$A$23,0)),""),"")</f>
        <v>1</v>
      </c>
      <c r="V102" s="16" t="str">
        <f aca="false">IFERROR(IF(ISNUMBER(INDEX(Parameters!$B$5:$B$23,MATCH(J102,Parameters!$A$5:$A$23,0))),INDEX(Parameters!$B$5:$B$23,MATCH(J102,Parameters!$A$5:$A$23,0)),""),"")</f>
        <v/>
      </c>
      <c r="W102" s="16" t="str">
        <f aca="false">IF(K102&lt;&gt;"",1,IF(COUNTIF(Parameters!$A$27:$A$28,J102)&gt;0,0,""))</f>
        <v/>
      </c>
      <c r="X102" s="17" t="n">
        <f aca="false">IF(J102="Not applicable",0,1)</f>
        <v>0</v>
      </c>
      <c r="Y102" s="17" t="n">
        <f aca="false">IF(OR(K102&lt;&gt;"",COUNTIF(Parameters!$A$27:$A$28,J102)&gt;0),1,0)</f>
        <v>0</v>
      </c>
      <c r="Z102"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102+(Parameters!$F$12=Parameters!$E$15)*Parameters!$I$12*Y102)=0,"",IF(AND(((Parameters!$F$5=Parameters!$E$15)*Parameters!$I$5*ISNUMBER(P102)+(Parameters!$F$6=Parameters!$E$15)*Parameters!$I$6*ISNUMBER(Q102)+(Parameters!$F$7=Parameters!$E$15)*Parameters!$I$7*ISNUMBER(R102)+(Parameters!$F$8=Parameters!$E$15)*Parameters!$I$8*ISNUMBER(S102)+(Parameters!$F$9=Parameters!$E$15)*Parameters!$I$9*ISNUMBER(T102)+(Parameters!$F$10=Parameters!$E$15)*Parameters!$I$10*ISNUMBER(U102)+(Parameters!$F$11=Parameters!$E$15)*Parameters!$I$11*ISNUMBER(V102)+(Parameters!$F$12=Parameters!$E$15)*Parameters!$I$12*ISNUMBER(W102))&gt;0,((Parameters!$F$5=Parameters!$E$15)*Parameters!$I$5*ISNUMBER(P102)+(Parameters!$F$6=Parameters!$E$15)*Parameters!$I$6*ISNUMBER(Q102)+(Parameters!$F$7=Parameters!$E$15)*Parameters!$I$7*ISNUMBER(R102)+(Parameters!$F$8=Parameters!$E$15)*Parameters!$I$8*ISNUMBER(S102)+(Parameters!$F$9=Parameters!$E$15)*Parameters!$I$9*ISNUMBER(T102)+(Parameters!$F$10=Parameters!$E$15)*Parameters!$I$10*ISNUMBER(U102)+(Parameters!$F$11=Parameters!$E$15)*Parameters!$I$11*ISNUMBER(V102)+(Parameters!$F$12=Parameters!$E$15)*Parameters!$I$12*ISNUMBER(W102))/((Parameters!$F$5=Parameters!$E$15)*Parameters!$I$5*1+(Parameters!$F$6=Parameters!$E$15)*Parameters!$I$6*1+(Parameters!$F$7=Parameters!$E$15)*Parameters!$I$7*1+(Parameters!$F$8=Parameters!$E$15)*Parameters!$I$8*1+(Parameters!$F$9=Parameters!$E$15)*Parameters!$I$9*1+(Parameters!$F$10=Parameters!$E$15)*Parameters!$I$10*1+(Parameters!$F$11=Parameters!$E$15)*Parameters!$I$11*X102+(Parameters!$F$12=Parameters!$E$15)*Parameters!$I$12*Y102)&gt;=Parameters!$B$36),((Parameters!$F$5=Parameters!$E$15)*Parameters!$I$5*N(P102)+(Parameters!$F$6=Parameters!$E$15)*Parameters!$I$6*N(Q102)+(Parameters!$F$7=Parameters!$E$15)*Parameters!$I$7*N(R102)+(Parameters!$F$8=Parameters!$E$15)*Parameters!$I$8*N(S102)+(Parameters!$F$9=Parameters!$E$15)*Parameters!$I$9*N(T102)+(Parameters!$F$10=Parameters!$E$15)*Parameters!$I$10*N(U102)+(Parameters!$F$11=Parameters!$E$15)*Parameters!$I$11*N(V102)+(Parameters!$F$12=Parameters!$E$15)*Parameters!$I$12*N(W102))/((Parameters!$F$5=Parameters!$E$15)*Parameters!$I$5*ISNUMBER(P102)+(Parameters!$F$6=Parameters!$E$15)*Parameters!$I$6*ISNUMBER(Q102)+(Parameters!$F$7=Parameters!$E$15)*Parameters!$I$7*ISNUMBER(R102)+(Parameters!$F$8=Parameters!$E$15)*Parameters!$I$8*ISNUMBER(S102)+(Parameters!$F$9=Parameters!$E$15)*Parameters!$I$9*ISNUMBER(T102)+(Parameters!$F$10=Parameters!$E$15)*Parameters!$I$10*ISNUMBER(U102)+(Parameters!$F$11=Parameters!$E$15)*Parameters!$I$11*ISNUMBER(V102)+(Parameters!$F$12=Parameters!$E$15)*Parameters!$I$12*ISNUMBER(W102)),""))</f>
        <v>0.94</v>
      </c>
      <c r="AA102"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102+(Parameters!$F$12=Parameters!$E$16)*Parameters!$I$12*Y102)=0,"",IF(AND(((Parameters!$F$5=Parameters!$E$16)*Parameters!$I$5*ISNUMBER(P102)+(Parameters!$F$6=Parameters!$E$16)*Parameters!$I$6*ISNUMBER(Q102)+(Parameters!$F$7=Parameters!$E$16)*Parameters!$I$7*ISNUMBER(R102)+(Parameters!$F$8=Parameters!$E$16)*Parameters!$I$8*ISNUMBER(S102)+(Parameters!$F$9=Parameters!$E$16)*Parameters!$I$9*ISNUMBER(T102)+(Parameters!$F$10=Parameters!$E$16)*Parameters!$I$10*ISNUMBER(U102)+(Parameters!$F$11=Parameters!$E$16)*Parameters!$I$11*ISNUMBER(V102)+(Parameters!$F$12=Parameters!$E$16)*Parameters!$I$12*ISNUMBER(W102))&gt;0,((Parameters!$F$5=Parameters!$E$16)*Parameters!$I$5*ISNUMBER(P102)+(Parameters!$F$6=Parameters!$E$16)*Parameters!$I$6*ISNUMBER(Q102)+(Parameters!$F$7=Parameters!$E$16)*Parameters!$I$7*ISNUMBER(R102)+(Parameters!$F$8=Parameters!$E$16)*Parameters!$I$8*ISNUMBER(S102)+(Parameters!$F$9=Parameters!$E$16)*Parameters!$I$9*ISNUMBER(T102)+(Parameters!$F$10=Parameters!$E$16)*Parameters!$I$10*ISNUMBER(U102)+(Parameters!$F$11=Parameters!$E$16)*Parameters!$I$11*ISNUMBER(V102)+(Parameters!$F$12=Parameters!$E$16)*Parameters!$I$12*ISNUMBER(W102))/((Parameters!$F$5=Parameters!$E$16)*Parameters!$I$5*1+(Parameters!$F$6=Parameters!$E$16)*Parameters!$I$6*1+(Parameters!$F$7=Parameters!$E$16)*Parameters!$I$7*1+(Parameters!$F$8=Parameters!$E$16)*Parameters!$I$8*1+(Parameters!$F$9=Parameters!$E$16)*Parameters!$I$9*1+(Parameters!$F$10=Parameters!$E$16)*Parameters!$I$10*1+(Parameters!$F$11=Parameters!$E$16)*Parameters!$I$11*X102+(Parameters!$F$12=Parameters!$E$16)*Parameters!$I$12*Y102)&gt;=Parameters!$B$36),((Parameters!$F$5=Parameters!$E$16)*Parameters!$I$5*N(P102)+(Parameters!$F$6=Parameters!$E$16)*Parameters!$I$6*N(Q102)+(Parameters!$F$7=Parameters!$E$16)*Parameters!$I$7*N(R102)+(Parameters!$F$8=Parameters!$E$16)*Parameters!$I$8*N(S102)+(Parameters!$F$9=Parameters!$E$16)*Parameters!$I$9*N(T102)+(Parameters!$F$10=Parameters!$E$16)*Parameters!$I$10*N(U102)+(Parameters!$F$11=Parameters!$E$16)*Parameters!$I$11*N(V102)+(Parameters!$F$12=Parameters!$E$16)*Parameters!$I$12*N(W102))/((Parameters!$F$5=Parameters!$E$16)*Parameters!$I$5*ISNUMBER(P102)+(Parameters!$F$6=Parameters!$E$16)*Parameters!$I$6*ISNUMBER(Q102)+(Parameters!$F$7=Parameters!$E$16)*Parameters!$I$7*ISNUMBER(R102)+(Parameters!$F$8=Parameters!$E$16)*Parameters!$I$8*ISNUMBER(S102)+(Parameters!$F$9=Parameters!$E$16)*Parameters!$I$9*ISNUMBER(T102)+(Parameters!$F$10=Parameters!$E$16)*Parameters!$I$10*ISNUMBER(U102)+(Parameters!$F$11=Parameters!$E$16)*Parameters!$I$11*ISNUMBER(V102)+(Parameters!$F$12=Parameters!$E$16)*Parameters!$I$12*ISNUMBER(W102)),""))</f>
        <v>0.8</v>
      </c>
      <c r="AB102"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102+(Parameters!$F$12=Parameters!$E$17)*Parameters!$I$12*Y102)=0,"",IF(AND(((Parameters!$F$5=Parameters!$E$17)*Parameters!$I$5*ISNUMBER(P102)+(Parameters!$F$6=Parameters!$E$17)*Parameters!$I$6*ISNUMBER(Q102)+(Parameters!$F$7=Parameters!$E$17)*Parameters!$I$7*ISNUMBER(R102)+(Parameters!$F$8=Parameters!$E$17)*Parameters!$I$8*ISNUMBER(S102)+(Parameters!$F$9=Parameters!$E$17)*Parameters!$I$9*ISNUMBER(T102)+(Parameters!$F$10=Parameters!$E$17)*Parameters!$I$10*ISNUMBER(U102)+(Parameters!$F$11=Parameters!$E$17)*Parameters!$I$11*ISNUMBER(V102)+(Parameters!$F$12=Parameters!$E$17)*Parameters!$I$12*ISNUMBER(W102))&gt;0,((Parameters!$F$5=Parameters!$E$17)*Parameters!$I$5*ISNUMBER(P102)+(Parameters!$F$6=Parameters!$E$17)*Parameters!$I$6*ISNUMBER(Q102)+(Parameters!$F$7=Parameters!$E$17)*Parameters!$I$7*ISNUMBER(R102)+(Parameters!$F$8=Parameters!$E$17)*Parameters!$I$8*ISNUMBER(S102)+(Parameters!$F$9=Parameters!$E$17)*Parameters!$I$9*ISNUMBER(T102)+(Parameters!$F$10=Parameters!$E$17)*Parameters!$I$10*ISNUMBER(U102)+(Parameters!$F$11=Parameters!$E$17)*Parameters!$I$11*ISNUMBER(V102)+(Parameters!$F$12=Parameters!$E$17)*Parameters!$I$12*ISNUMBER(W102))/((Parameters!$F$5=Parameters!$E$17)*Parameters!$I$5*1+(Parameters!$F$6=Parameters!$E$17)*Parameters!$I$6*1+(Parameters!$F$7=Parameters!$E$17)*Parameters!$I$7*1+(Parameters!$F$8=Parameters!$E$17)*Parameters!$I$8*1+(Parameters!$F$9=Parameters!$E$17)*Parameters!$I$9*1+(Parameters!$F$10=Parameters!$E$17)*Parameters!$I$10*1+(Parameters!$F$11=Parameters!$E$17)*Parameters!$I$11*X102+(Parameters!$F$12=Parameters!$E$17)*Parameters!$I$12*Y102)&gt;=Parameters!$B$36),((Parameters!$F$5=Parameters!$E$17)*Parameters!$I$5*N(P102)+(Parameters!$F$6=Parameters!$E$17)*Parameters!$I$6*N(Q102)+(Parameters!$F$7=Parameters!$E$17)*Parameters!$I$7*N(R102)+(Parameters!$F$8=Parameters!$E$17)*Parameters!$I$8*N(S102)+(Parameters!$F$9=Parameters!$E$17)*Parameters!$I$9*N(T102)+(Parameters!$F$10=Parameters!$E$17)*Parameters!$I$10*N(U102)+(Parameters!$F$11=Parameters!$E$17)*Parameters!$I$11*N(V102)+(Parameters!$F$12=Parameters!$E$17)*Parameters!$I$12*N(W102))/((Parameters!$F$5=Parameters!$E$17)*Parameters!$I$5*ISNUMBER(P102)+(Parameters!$F$6=Parameters!$E$17)*Parameters!$I$6*ISNUMBER(Q102)+(Parameters!$F$7=Parameters!$E$17)*Parameters!$I$7*ISNUMBER(R102)+(Parameters!$F$8=Parameters!$E$17)*Parameters!$I$8*ISNUMBER(S102)+(Parameters!$F$9=Parameters!$E$17)*Parameters!$I$9*ISNUMBER(T102)+(Parameters!$F$10=Parameters!$E$17)*Parameters!$I$10*ISNUMBER(U102)+(Parameters!$F$11=Parameters!$E$17)*Parameters!$I$11*ISNUMBER(V102)+(Parameters!$F$12=Parameters!$E$17)*Parameters!$I$12*ISNUMBER(W102)),""))</f>
        <v/>
      </c>
      <c r="AC102" s="17" t="n">
        <f aca="false">Parameters!$I$5*ISNUMBER(P102)+Parameters!$I$6*ISNUMBER(Q102)+Parameters!$I$7*ISNUMBER(R102)+Parameters!$I$8*ISNUMBER(S102)+Parameters!$I$9*ISNUMBER(T102)+Parameters!$I$10*ISNUMBER(U102)+Parameters!$I$11*ISNUMBER(V102)+Parameters!$I$12*ISNUMBER(W102)</f>
        <v>75</v>
      </c>
      <c r="AD102" s="17" t="n">
        <f aca="false">Parameters!$I$5*1+Parameters!$I$6*1+Parameters!$I$7*1+Parameters!$I$8*1+Parameters!$I$9*1+Parameters!$I$10*1+Parameters!$I$11*X102+Parameters!$I$12*Y102</f>
        <v>75</v>
      </c>
      <c r="AE102" s="18" t="n">
        <f aca="false">IF(AD102=0,"",AC102/AD102)</f>
        <v>1</v>
      </c>
      <c r="AF102" s="17" t="str">
        <f aca="false">IF(ISNUMBER(Z102),"M","")&amp;IF(ISNUMBER(AA102),"I","")&amp;IF(ISNUMBER(AB102),"O","")</f>
        <v>MI</v>
      </c>
      <c r="AG102" s="19" t="n">
        <f aca="false">IF(AND(ISNUMBER(AE102),ISNUMBER(Z102)+ISNUMBER(AA102)+ISNUMBER(AB102)&gt;=Parameters!$B$37),IF(AE102&gt;=Parameters!$B$35,100*(Parameters!$F$15*N(Z102)+Parameters!$F$16*N(AA102)+Parameters!$F$17*N(AB102))/(Parameters!$F$15*ISNUMBER(Z102)+Parameters!$F$16*ISNUMBER(AA102)+Parameters!$F$17*ISNUMBER(AB102)),""),"")</f>
        <v>88.75</v>
      </c>
      <c r="AH102" s="17" t="n">
        <f aca="false">IF(ISNUMBER(AG102),RANK(AG102,$AG$2:$AG$113),"")</f>
        <v>36</v>
      </c>
    </row>
    <row r="103" customFormat="false" ht="15" hidden="false" customHeight="false" outlineLevel="0" collapsed="false">
      <c r="A103" s="5" t="s">
        <v>459</v>
      </c>
      <c r="B103" s="5" t="s">
        <v>460</v>
      </c>
      <c r="C103" s="5" t="s">
        <v>461</v>
      </c>
      <c r="D103" s="5" t="s">
        <v>31</v>
      </c>
      <c r="E103" s="5" t="s">
        <v>44</v>
      </c>
      <c r="F103" s="5" t="s">
        <v>151</v>
      </c>
      <c r="G103" s="15" t="s">
        <v>166</v>
      </c>
      <c r="H103" s="8" t="n">
        <v>0</v>
      </c>
      <c r="I103" s="5" t="s">
        <v>57</v>
      </c>
      <c r="J103" s="5" t="s">
        <v>66</v>
      </c>
      <c r="K103" s="15"/>
      <c r="L103" s="5" t="s">
        <v>76</v>
      </c>
      <c r="M103" s="5" t="s">
        <v>136</v>
      </c>
      <c r="N103" s="5" t="s">
        <v>168</v>
      </c>
      <c r="O103" s="5" t="s">
        <v>197</v>
      </c>
      <c r="P103" s="16" t="n">
        <f aca="false">IFERROR(IF(ISNUMBER(INDEX(Parameters!$B$5:$B$23,MATCH(D103,Parameters!$A$5:$A$23,0))),INDEX(Parameters!$B$5:$B$23,MATCH(D103,Parameters!$A$5:$A$23,0)),""),"")</f>
        <v>1</v>
      </c>
      <c r="Q103" s="16" t="n">
        <f aca="false">IFERROR(IF(ISNUMBER(INDEX(Parameters!$B$5:$B$23,MATCH(E103,Parameters!$A$5:$A$23,0))),INDEX(Parameters!$B$5:$B$23,MATCH(E103,Parameters!$A$5:$A$23,0)),""),"")</f>
        <v>1</v>
      </c>
      <c r="R103" s="16" t="n">
        <f aca="false">IF(F103="","",IFERROR(MIN(Parameters!$B$33,MAX(0,Parameters!$B$32-VALUE(LEFT(F103,4))))/Parameters!$B$33,""))</f>
        <v>0.866666666666667</v>
      </c>
      <c r="S103" s="16" t="n">
        <f aca="false">IF(ISNUMBER(H103),H103,IF(G103="",IF(ISNUMBER(Parameters!$B$34),Parameters!$B$34,""),""))</f>
        <v>0</v>
      </c>
      <c r="T103" s="16" t="n">
        <f aca="false">IFERROR(IF(ISNUMBER(INDEX(Parameters!$B$5:$B$23,MATCH(I103,Parameters!$A$5:$A$23,0))),INDEX(Parameters!$B$5:$B$23,MATCH(I103,Parameters!$A$5:$A$23,0)),""),"")</f>
        <v>0</v>
      </c>
      <c r="U103" s="16" t="n">
        <f aca="false">IFERROR(IF(ISNUMBER(INDEX(Parameters!$B$5:$B$23,MATCH(L103,Parameters!$A$5:$A$23,0))),INDEX(Parameters!$B$5:$B$23,MATCH(L103,Parameters!$A$5:$A$23,0)),""),"")</f>
        <v>1</v>
      </c>
      <c r="V103" s="16" t="n">
        <f aca="false">IFERROR(IF(ISNUMBER(INDEX(Parameters!$B$5:$B$23,MATCH(J103,Parameters!$A$5:$A$23,0))),INDEX(Parameters!$B$5:$B$23,MATCH(J103,Parameters!$A$5:$A$23,0)),""),"")</f>
        <v>1</v>
      </c>
      <c r="W103" s="16" t="str">
        <f aca="false">IF(K103&lt;&gt;"",1,IF(COUNTIF(Parameters!$A$27:$A$28,J103)&gt;0,0,""))</f>
        <v/>
      </c>
      <c r="X103" s="17" t="n">
        <f aca="false">IF(J103="Not applicable",0,1)</f>
        <v>1</v>
      </c>
      <c r="Y103" s="17" t="n">
        <f aca="false">IF(OR(K103&lt;&gt;"",COUNTIF(Parameters!$A$27:$A$28,J103)&gt;0),1,0)</f>
        <v>0</v>
      </c>
      <c r="Z103"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103+(Parameters!$F$12=Parameters!$E$15)*Parameters!$I$12*Y103)=0,"",IF(AND(((Parameters!$F$5=Parameters!$E$15)*Parameters!$I$5*ISNUMBER(P103)+(Parameters!$F$6=Parameters!$E$15)*Parameters!$I$6*ISNUMBER(Q103)+(Parameters!$F$7=Parameters!$E$15)*Parameters!$I$7*ISNUMBER(R103)+(Parameters!$F$8=Parameters!$E$15)*Parameters!$I$8*ISNUMBER(S103)+(Parameters!$F$9=Parameters!$E$15)*Parameters!$I$9*ISNUMBER(T103)+(Parameters!$F$10=Parameters!$E$15)*Parameters!$I$10*ISNUMBER(U103)+(Parameters!$F$11=Parameters!$E$15)*Parameters!$I$11*ISNUMBER(V103)+(Parameters!$F$12=Parameters!$E$15)*Parameters!$I$12*ISNUMBER(W103))&gt;0,((Parameters!$F$5=Parameters!$E$15)*Parameters!$I$5*ISNUMBER(P103)+(Parameters!$F$6=Parameters!$E$15)*Parameters!$I$6*ISNUMBER(Q103)+(Parameters!$F$7=Parameters!$E$15)*Parameters!$I$7*ISNUMBER(R103)+(Parameters!$F$8=Parameters!$E$15)*Parameters!$I$8*ISNUMBER(S103)+(Parameters!$F$9=Parameters!$E$15)*Parameters!$I$9*ISNUMBER(T103)+(Parameters!$F$10=Parameters!$E$15)*Parameters!$I$10*ISNUMBER(U103)+(Parameters!$F$11=Parameters!$E$15)*Parameters!$I$11*ISNUMBER(V103)+(Parameters!$F$12=Parameters!$E$15)*Parameters!$I$12*ISNUMBER(W103))/((Parameters!$F$5=Parameters!$E$15)*Parameters!$I$5*1+(Parameters!$F$6=Parameters!$E$15)*Parameters!$I$6*1+(Parameters!$F$7=Parameters!$E$15)*Parameters!$I$7*1+(Parameters!$F$8=Parameters!$E$15)*Parameters!$I$8*1+(Parameters!$F$9=Parameters!$E$15)*Parameters!$I$9*1+(Parameters!$F$10=Parameters!$E$15)*Parameters!$I$10*1+(Parameters!$F$11=Parameters!$E$15)*Parameters!$I$11*X103+(Parameters!$F$12=Parameters!$E$15)*Parameters!$I$12*Y103)&gt;=Parameters!$B$36),((Parameters!$F$5=Parameters!$E$15)*Parameters!$I$5*N(P103)+(Parameters!$F$6=Parameters!$E$15)*Parameters!$I$6*N(Q103)+(Parameters!$F$7=Parameters!$E$15)*Parameters!$I$7*N(R103)+(Parameters!$F$8=Parameters!$E$15)*Parameters!$I$8*N(S103)+(Parameters!$F$9=Parameters!$E$15)*Parameters!$I$9*N(T103)+(Parameters!$F$10=Parameters!$E$15)*Parameters!$I$10*N(U103)+(Parameters!$F$11=Parameters!$E$15)*Parameters!$I$11*N(V103)+(Parameters!$F$12=Parameters!$E$15)*Parameters!$I$12*N(W103))/((Parameters!$F$5=Parameters!$E$15)*Parameters!$I$5*ISNUMBER(P103)+(Parameters!$F$6=Parameters!$E$15)*Parameters!$I$6*ISNUMBER(Q103)+(Parameters!$F$7=Parameters!$E$15)*Parameters!$I$7*ISNUMBER(R103)+(Parameters!$F$8=Parameters!$E$15)*Parameters!$I$8*ISNUMBER(S103)+(Parameters!$F$9=Parameters!$E$15)*Parameters!$I$9*ISNUMBER(T103)+(Parameters!$F$10=Parameters!$E$15)*Parameters!$I$10*ISNUMBER(U103)+(Parameters!$F$11=Parameters!$E$15)*Parameters!$I$11*ISNUMBER(V103)+(Parameters!$F$12=Parameters!$E$15)*Parameters!$I$12*ISNUMBER(W103)),""))</f>
        <v>0.986666666666667</v>
      </c>
      <c r="AA103"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103+(Parameters!$F$12=Parameters!$E$16)*Parameters!$I$12*Y103)=0,"",IF(AND(((Parameters!$F$5=Parameters!$E$16)*Parameters!$I$5*ISNUMBER(P103)+(Parameters!$F$6=Parameters!$E$16)*Parameters!$I$6*ISNUMBER(Q103)+(Parameters!$F$7=Parameters!$E$16)*Parameters!$I$7*ISNUMBER(R103)+(Parameters!$F$8=Parameters!$E$16)*Parameters!$I$8*ISNUMBER(S103)+(Parameters!$F$9=Parameters!$E$16)*Parameters!$I$9*ISNUMBER(T103)+(Parameters!$F$10=Parameters!$E$16)*Parameters!$I$10*ISNUMBER(U103)+(Parameters!$F$11=Parameters!$E$16)*Parameters!$I$11*ISNUMBER(V103)+(Parameters!$F$12=Parameters!$E$16)*Parameters!$I$12*ISNUMBER(W103))&gt;0,((Parameters!$F$5=Parameters!$E$16)*Parameters!$I$5*ISNUMBER(P103)+(Parameters!$F$6=Parameters!$E$16)*Parameters!$I$6*ISNUMBER(Q103)+(Parameters!$F$7=Parameters!$E$16)*Parameters!$I$7*ISNUMBER(R103)+(Parameters!$F$8=Parameters!$E$16)*Parameters!$I$8*ISNUMBER(S103)+(Parameters!$F$9=Parameters!$E$16)*Parameters!$I$9*ISNUMBER(T103)+(Parameters!$F$10=Parameters!$E$16)*Parameters!$I$10*ISNUMBER(U103)+(Parameters!$F$11=Parameters!$E$16)*Parameters!$I$11*ISNUMBER(V103)+(Parameters!$F$12=Parameters!$E$16)*Parameters!$I$12*ISNUMBER(W103))/((Parameters!$F$5=Parameters!$E$16)*Parameters!$I$5*1+(Parameters!$F$6=Parameters!$E$16)*Parameters!$I$6*1+(Parameters!$F$7=Parameters!$E$16)*Parameters!$I$7*1+(Parameters!$F$8=Parameters!$E$16)*Parameters!$I$8*1+(Parameters!$F$9=Parameters!$E$16)*Parameters!$I$9*1+(Parameters!$F$10=Parameters!$E$16)*Parameters!$I$10*1+(Parameters!$F$11=Parameters!$E$16)*Parameters!$I$11*X103+(Parameters!$F$12=Parameters!$E$16)*Parameters!$I$12*Y103)&gt;=Parameters!$B$36),((Parameters!$F$5=Parameters!$E$16)*Parameters!$I$5*N(P103)+(Parameters!$F$6=Parameters!$E$16)*Parameters!$I$6*N(Q103)+(Parameters!$F$7=Parameters!$E$16)*Parameters!$I$7*N(R103)+(Parameters!$F$8=Parameters!$E$16)*Parameters!$I$8*N(S103)+(Parameters!$F$9=Parameters!$E$16)*Parameters!$I$9*N(T103)+(Parameters!$F$10=Parameters!$E$16)*Parameters!$I$10*N(U103)+(Parameters!$F$11=Parameters!$E$16)*Parameters!$I$11*N(V103)+(Parameters!$F$12=Parameters!$E$16)*Parameters!$I$12*N(W103))/((Parameters!$F$5=Parameters!$E$16)*Parameters!$I$5*ISNUMBER(P103)+(Parameters!$F$6=Parameters!$E$16)*Parameters!$I$6*ISNUMBER(Q103)+(Parameters!$F$7=Parameters!$E$16)*Parameters!$I$7*ISNUMBER(R103)+(Parameters!$F$8=Parameters!$E$16)*Parameters!$I$8*ISNUMBER(S103)+(Parameters!$F$9=Parameters!$E$16)*Parameters!$I$9*ISNUMBER(T103)+(Parameters!$F$10=Parameters!$E$16)*Parameters!$I$10*ISNUMBER(U103)+(Parameters!$F$11=Parameters!$E$16)*Parameters!$I$11*ISNUMBER(V103)+(Parameters!$F$12=Parameters!$E$16)*Parameters!$I$12*ISNUMBER(W103)),""))</f>
        <v>0.4</v>
      </c>
      <c r="AB103"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103+(Parameters!$F$12=Parameters!$E$17)*Parameters!$I$12*Y103)=0,"",IF(AND(((Parameters!$F$5=Parameters!$E$17)*Parameters!$I$5*ISNUMBER(P103)+(Parameters!$F$6=Parameters!$E$17)*Parameters!$I$6*ISNUMBER(Q103)+(Parameters!$F$7=Parameters!$E$17)*Parameters!$I$7*ISNUMBER(R103)+(Parameters!$F$8=Parameters!$E$17)*Parameters!$I$8*ISNUMBER(S103)+(Parameters!$F$9=Parameters!$E$17)*Parameters!$I$9*ISNUMBER(T103)+(Parameters!$F$10=Parameters!$E$17)*Parameters!$I$10*ISNUMBER(U103)+(Parameters!$F$11=Parameters!$E$17)*Parameters!$I$11*ISNUMBER(V103)+(Parameters!$F$12=Parameters!$E$17)*Parameters!$I$12*ISNUMBER(W103))&gt;0,((Parameters!$F$5=Parameters!$E$17)*Parameters!$I$5*ISNUMBER(P103)+(Parameters!$F$6=Parameters!$E$17)*Parameters!$I$6*ISNUMBER(Q103)+(Parameters!$F$7=Parameters!$E$17)*Parameters!$I$7*ISNUMBER(R103)+(Parameters!$F$8=Parameters!$E$17)*Parameters!$I$8*ISNUMBER(S103)+(Parameters!$F$9=Parameters!$E$17)*Parameters!$I$9*ISNUMBER(T103)+(Parameters!$F$10=Parameters!$E$17)*Parameters!$I$10*ISNUMBER(U103)+(Parameters!$F$11=Parameters!$E$17)*Parameters!$I$11*ISNUMBER(V103)+(Parameters!$F$12=Parameters!$E$17)*Parameters!$I$12*ISNUMBER(W103))/((Parameters!$F$5=Parameters!$E$17)*Parameters!$I$5*1+(Parameters!$F$6=Parameters!$E$17)*Parameters!$I$6*1+(Parameters!$F$7=Parameters!$E$17)*Parameters!$I$7*1+(Parameters!$F$8=Parameters!$E$17)*Parameters!$I$8*1+(Parameters!$F$9=Parameters!$E$17)*Parameters!$I$9*1+(Parameters!$F$10=Parameters!$E$17)*Parameters!$I$10*1+(Parameters!$F$11=Parameters!$E$17)*Parameters!$I$11*X103+(Parameters!$F$12=Parameters!$E$17)*Parameters!$I$12*Y103)&gt;=Parameters!$B$36),((Parameters!$F$5=Parameters!$E$17)*Parameters!$I$5*N(P103)+(Parameters!$F$6=Parameters!$E$17)*Parameters!$I$6*N(Q103)+(Parameters!$F$7=Parameters!$E$17)*Parameters!$I$7*N(R103)+(Parameters!$F$8=Parameters!$E$17)*Parameters!$I$8*N(S103)+(Parameters!$F$9=Parameters!$E$17)*Parameters!$I$9*N(T103)+(Parameters!$F$10=Parameters!$E$17)*Parameters!$I$10*N(U103)+(Parameters!$F$11=Parameters!$E$17)*Parameters!$I$11*N(V103)+(Parameters!$F$12=Parameters!$E$17)*Parameters!$I$12*N(W103))/((Parameters!$F$5=Parameters!$E$17)*Parameters!$I$5*ISNUMBER(P103)+(Parameters!$F$6=Parameters!$E$17)*Parameters!$I$6*ISNUMBER(Q103)+(Parameters!$F$7=Parameters!$E$17)*Parameters!$I$7*ISNUMBER(R103)+(Parameters!$F$8=Parameters!$E$17)*Parameters!$I$8*ISNUMBER(S103)+(Parameters!$F$9=Parameters!$E$17)*Parameters!$I$9*ISNUMBER(T103)+(Parameters!$F$10=Parameters!$E$17)*Parameters!$I$10*ISNUMBER(U103)+(Parameters!$F$11=Parameters!$E$17)*Parameters!$I$11*ISNUMBER(V103)+(Parameters!$F$12=Parameters!$E$17)*Parameters!$I$12*ISNUMBER(W103)),""))</f>
        <v>1</v>
      </c>
      <c r="AC103" s="17" t="n">
        <f aca="false">Parameters!$I$5*ISNUMBER(P103)+Parameters!$I$6*ISNUMBER(Q103)+Parameters!$I$7*ISNUMBER(R103)+Parameters!$I$8*ISNUMBER(S103)+Parameters!$I$9*ISNUMBER(T103)+Parameters!$I$10*ISNUMBER(U103)+Parameters!$I$11*ISNUMBER(V103)+Parameters!$I$12*ISNUMBER(W103)</f>
        <v>85</v>
      </c>
      <c r="AD103" s="17" t="n">
        <f aca="false">Parameters!$I$5*1+Parameters!$I$6*1+Parameters!$I$7*1+Parameters!$I$8*1+Parameters!$I$9*1+Parameters!$I$10*1+Parameters!$I$11*X103+Parameters!$I$12*Y103</f>
        <v>85</v>
      </c>
      <c r="AE103" s="18" t="n">
        <f aca="false">IF(AD103=0,"",AC103/AD103)</f>
        <v>1</v>
      </c>
      <c r="AF103" s="17" t="str">
        <f aca="false">IF(ISNUMBER(Z103),"M","")&amp;IF(ISNUMBER(AA103),"I","")&amp;IF(ISNUMBER(AB103),"O","")</f>
        <v>MIO</v>
      </c>
      <c r="AG103" s="19" t="n">
        <f aca="false">IF(AND(ISNUMBER(AE103),ISNUMBER(Z103)+ISNUMBER(AA103)+ISNUMBER(AB103)&gt;=Parameters!$B$37),IF(AE103&gt;=Parameters!$B$35,100*(Parameters!$F$15*N(Z103)+Parameters!$F$16*N(AA103)+Parameters!$F$17*N(AB103))/(Parameters!$F$15*ISNUMBER(Z103)+Parameters!$F$16*ISNUMBER(AA103)+Parameters!$F$17*ISNUMBER(AB103)),""),"")</f>
        <v>81.3333333333333</v>
      </c>
      <c r="AH103" s="17" t="n">
        <f aca="false">IF(ISNUMBER(AG103),RANK(AG103,$AG$2:$AG$113),"")</f>
        <v>72</v>
      </c>
    </row>
    <row r="104" customFormat="false" ht="15" hidden="false" customHeight="false" outlineLevel="0" collapsed="false">
      <c r="A104" s="5" t="s">
        <v>462</v>
      </c>
      <c r="B104" s="5" t="s">
        <v>463</v>
      </c>
      <c r="C104" s="5" t="s">
        <v>464</v>
      </c>
      <c r="D104" s="5" t="s">
        <v>31</v>
      </c>
      <c r="E104" s="5" t="s">
        <v>49</v>
      </c>
      <c r="F104" s="5" t="s">
        <v>273</v>
      </c>
      <c r="G104" s="15" t="s">
        <v>465</v>
      </c>
      <c r="H104" s="8" t="n">
        <v>1</v>
      </c>
      <c r="I104" s="5" t="s">
        <v>57</v>
      </c>
      <c r="J104" s="5" t="s">
        <v>74</v>
      </c>
      <c r="K104" s="15"/>
      <c r="L104" s="5" t="s">
        <v>87</v>
      </c>
      <c r="M104" s="5" t="s">
        <v>157</v>
      </c>
      <c r="N104" s="5" t="s">
        <v>197</v>
      </c>
      <c r="O104" s="5" t="s">
        <v>168</v>
      </c>
      <c r="P104" s="16" t="n">
        <f aca="false">IFERROR(IF(ISNUMBER(INDEX(Parameters!$B$5:$B$23,MATCH(D104,Parameters!$A$5:$A$23,0))),INDEX(Parameters!$B$5:$B$23,MATCH(D104,Parameters!$A$5:$A$23,0)),""),"")</f>
        <v>1</v>
      </c>
      <c r="Q104" s="16" t="n">
        <f aca="false">IFERROR(IF(ISNUMBER(INDEX(Parameters!$B$5:$B$23,MATCH(E104,Parameters!$A$5:$A$23,0))),INDEX(Parameters!$B$5:$B$23,MATCH(E104,Parameters!$A$5:$A$23,0)),""),"")</f>
        <v>0.5</v>
      </c>
      <c r="R104" s="16" t="n">
        <f aca="false">IF(F104="","",IFERROR(MIN(Parameters!$B$33,MAX(0,Parameters!$B$32-VALUE(LEFT(F104,4))))/Parameters!$B$33,""))</f>
        <v>1</v>
      </c>
      <c r="S104" s="16" t="n">
        <f aca="false">IF(ISNUMBER(H104),H104,IF(G104="",IF(ISNUMBER(Parameters!$B$34),Parameters!$B$34,""),""))</f>
        <v>1</v>
      </c>
      <c r="T104" s="16" t="n">
        <f aca="false">IFERROR(IF(ISNUMBER(INDEX(Parameters!$B$5:$B$23,MATCH(I104,Parameters!$A$5:$A$23,0))),INDEX(Parameters!$B$5:$B$23,MATCH(I104,Parameters!$A$5:$A$23,0)),""),"")</f>
        <v>0</v>
      </c>
      <c r="U104" s="16" t="n">
        <f aca="false">IFERROR(IF(ISNUMBER(INDEX(Parameters!$B$5:$B$23,MATCH(L104,Parameters!$A$5:$A$23,0))),INDEX(Parameters!$B$5:$B$23,MATCH(L104,Parameters!$A$5:$A$23,0)),""),"")</f>
        <v>0</v>
      </c>
      <c r="V104" s="16" t="str">
        <f aca="false">IFERROR(IF(ISNUMBER(INDEX(Parameters!$B$5:$B$23,MATCH(J104,Parameters!$A$5:$A$23,0))),INDEX(Parameters!$B$5:$B$23,MATCH(J104,Parameters!$A$5:$A$23,0)),""),"")</f>
        <v/>
      </c>
      <c r="W104" s="16" t="str">
        <f aca="false">IF(K104&lt;&gt;"",1,IF(COUNTIF(Parameters!$A$27:$A$28,J104)&gt;0,0,""))</f>
        <v/>
      </c>
      <c r="X104" s="17" t="n">
        <f aca="false">IF(J104="Not applicable",0,1)</f>
        <v>0</v>
      </c>
      <c r="Y104" s="17" t="n">
        <f aca="false">IF(OR(K104&lt;&gt;"",COUNTIF(Parameters!$A$27:$A$28,J104)&gt;0),1,0)</f>
        <v>0</v>
      </c>
      <c r="Z104"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104+(Parameters!$F$12=Parameters!$E$15)*Parameters!$I$12*Y104)=0,"",IF(AND(((Parameters!$F$5=Parameters!$E$15)*Parameters!$I$5*ISNUMBER(P104)+(Parameters!$F$6=Parameters!$E$15)*Parameters!$I$6*ISNUMBER(Q104)+(Parameters!$F$7=Parameters!$E$15)*Parameters!$I$7*ISNUMBER(R104)+(Parameters!$F$8=Parameters!$E$15)*Parameters!$I$8*ISNUMBER(S104)+(Parameters!$F$9=Parameters!$E$15)*Parameters!$I$9*ISNUMBER(T104)+(Parameters!$F$10=Parameters!$E$15)*Parameters!$I$10*ISNUMBER(U104)+(Parameters!$F$11=Parameters!$E$15)*Parameters!$I$11*ISNUMBER(V104)+(Parameters!$F$12=Parameters!$E$15)*Parameters!$I$12*ISNUMBER(W104))&gt;0,((Parameters!$F$5=Parameters!$E$15)*Parameters!$I$5*ISNUMBER(P104)+(Parameters!$F$6=Parameters!$E$15)*Parameters!$I$6*ISNUMBER(Q104)+(Parameters!$F$7=Parameters!$E$15)*Parameters!$I$7*ISNUMBER(R104)+(Parameters!$F$8=Parameters!$E$15)*Parameters!$I$8*ISNUMBER(S104)+(Parameters!$F$9=Parameters!$E$15)*Parameters!$I$9*ISNUMBER(T104)+(Parameters!$F$10=Parameters!$E$15)*Parameters!$I$10*ISNUMBER(U104)+(Parameters!$F$11=Parameters!$E$15)*Parameters!$I$11*ISNUMBER(V104)+(Parameters!$F$12=Parameters!$E$15)*Parameters!$I$12*ISNUMBER(W104))/((Parameters!$F$5=Parameters!$E$15)*Parameters!$I$5*1+(Parameters!$F$6=Parameters!$E$15)*Parameters!$I$6*1+(Parameters!$F$7=Parameters!$E$15)*Parameters!$I$7*1+(Parameters!$F$8=Parameters!$E$15)*Parameters!$I$8*1+(Parameters!$F$9=Parameters!$E$15)*Parameters!$I$9*1+(Parameters!$F$10=Parameters!$E$15)*Parameters!$I$10*1+(Parameters!$F$11=Parameters!$E$15)*Parameters!$I$11*X104+(Parameters!$F$12=Parameters!$E$15)*Parameters!$I$12*Y104)&gt;=Parameters!$B$36),((Parameters!$F$5=Parameters!$E$15)*Parameters!$I$5*N(P104)+(Parameters!$F$6=Parameters!$E$15)*Parameters!$I$6*N(Q104)+(Parameters!$F$7=Parameters!$E$15)*Parameters!$I$7*N(R104)+(Parameters!$F$8=Parameters!$E$15)*Parameters!$I$8*N(S104)+(Parameters!$F$9=Parameters!$E$15)*Parameters!$I$9*N(T104)+(Parameters!$F$10=Parameters!$E$15)*Parameters!$I$10*N(U104)+(Parameters!$F$11=Parameters!$E$15)*Parameters!$I$11*N(V104)+(Parameters!$F$12=Parameters!$E$15)*Parameters!$I$12*N(W104))/((Parameters!$F$5=Parameters!$E$15)*Parameters!$I$5*ISNUMBER(P104)+(Parameters!$F$6=Parameters!$E$15)*Parameters!$I$6*ISNUMBER(Q104)+(Parameters!$F$7=Parameters!$E$15)*Parameters!$I$7*ISNUMBER(R104)+(Parameters!$F$8=Parameters!$E$15)*Parameters!$I$8*ISNUMBER(S104)+(Parameters!$F$9=Parameters!$E$15)*Parameters!$I$9*ISNUMBER(T104)+(Parameters!$F$10=Parameters!$E$15)*Parameters!$I$10*ISNUMBER(U104)+(Parameters!$F$11=Parameters!$E$15)*Parameters!$I$11*ISNUMBER(V104)+(Parameters!$F$12=Parameters!$E$15)*Parameters!$I$12*ISNUMBER(W104)),""))</f>
        <v>0.75</v>
      </c>
      <c r="AA104"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104+(Parameters!$F$12=Parameters!$E$16)*Parameters!$I$12*Y104)=0,"",IF(AND(((Parameters!$F$5=Parameters!$E$16)*Parameters!$I$5*ISNUMBER(P104)+(Parameters!$F$6=Parameters!$E$16)*Parameters!$I$6*ISNUMBER(Q104)+(Parameters!$F$7=Parameters!$E$16)*Parameters!$I$7*ISNUMBER(R104)+(Parameters!$F$8=Parameters!$E$16)*Parameters!$I$8*ISNUMBER(S104)+(Parameters!$F$9=Parameters!$E$16)*Parameters!$I$9*ISNUMBER(T104)+(Parameters!$F$10=Parameters!$E$16)*Parameters!$I$10*ISNUMBER(U104)+(Parameters!$F$11=Parameters!$E$16)*Parameters!$I$11*ISNUMBER(V104)+(Parameters!$F$12=Parameters!$E$16)*Parameters!$I$12*ISNUMBER(W104))&gt;0,((Parameters!$F$5=Parameters!$E$16)*Parameters!$I$5*ISNUMBER(P104)+(Parameters!$F$6=Parameters!$E$16)*Parameters!$I$6*ISNUMBER(Q104)+(Parameters!$F$7=Parameters!$E$16)*Parameters!$I$7*ISNUMBER(R104)+(Parameters!$F$8=Parameters!$E$16)*Parameters!$I$8*ISNUMBER(S104)+(Parameters!$F$9=Parameters!$E$16)*Parameters!$I$9*ISNUMBER(T104)+(Parameters!$F$10=Parameters!$E$16)*Parameters!$I$10*ISNUMBER(U104)+(Parameters!$F$11=Parameters!$E$16)*Parameters!$I$11*ISNUMBER(V104)+(Parameters!$F$12=Parameters!$E$16)*Parameters!$I$12*ISNUMBER(W104))/((Parameters!$F$5=Parameters!$E$16)*Parameters!$I$5*1+(Parameters!$F$6=Parameters!$E$16)*Parameters!$I$6*1+(Parameters!$F$7=Parameters!$E$16)*Parameters!$I$7*1+(Parameters!$F$8=Parameters!$E$16)*Parameters!$I$8*1+(Parameters!$F$9=Parameters!$E$16)*Parameters!$I$9*1+(Parameters!$F$10=Parameters!$E$16)*Parameters!$I$10*1+(Parameters!$F$11=Parameters!$E$16)*Parameters!$I$11*X104+(Parameters!$F$12=Parameters!$E$16)*Parameters!$I$12*Y104)&gt;=Parameters!$B$36),((Parameters!$F$5=Parameters!$E$16)*Parameters!$I$5*N(P104)+(Parameters!$F$6=Parameters!$E$16)*Parameters!$I$6*N(Q104)+(Parameters!$F$7=Parameters!$E$16)*Parameters!$I$7*N(R104)+(Parameters!$F$8=Parameters!$E$16)*Parameters!$I$8*N(S104)+(Parameters!$F$9=Parameters!$E$16)*Parameters!$I$9*N(T104)+(Parameters!$F$10=Parameters!$E$16)*Parameters!$I$10*N(U104)+(Parameters!$F$11=Parameters!$E$16)*Parameters!$I$11*N(V104)+(Parameters!$F$12=Parameters!$E$16)*Parameters!$I$12*N(W104))/((Parameters!$F$5=Parameters!$E$16)*Parameters!$I$5*ISNUMBER(P104)+(Parameters!$F$6=Parameters!$E$16)*Parameters!$I$6*ISNUMBER(Q104)+(Parameters!$F$7=Parameters!$E$16)*Parameters!$I$7*ISNUMBER(R104)+(Parameters!$F$8=Parameters!$E$16)*Parameters!$I$8*ISNUMBER(S104)+(Parameters!$F$9=Parameters!$E$16)*Parameters!$I$9*ISNUMBER(T104)+(Parameters!$F$10=Parameters!$E$16)*Parameters!$I$10*ISNUMBER(U104)+(Parameters!$F$11=Parameters!$E$16)*Parameters!$I$11*ISNUMBER(V104)+(Parameters!$F$12=Parameters!$E$16)*Parameters!$I$12*ISNUMBER(W104)),""))</f>
        <v>0.4</v>
      </c>
      <c r="AB104"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104+(Parameters!$F$12=Parameters!$E$17)*Parameters!$I$12*Y104)=0,"",IF(AND(((Parameters!$F$5=Parameters!$E$17)*Parameters!$I$5*ISNUMBER(P104)+(Parameters!$F$6=Parameters!$E$17)*Parameters!$I$6*ISNUMBER(Q104)+(Parameters!$F$7=Parameters!$E$17)*Parameters!$I$7*ISNUMBER(R104)+(Parameters!$F$8=Parameters!$E$17)*Parameters!$I$8*ISNUMBER(S104)+(Parameters!$F$9=Parameters!$E$17)*Parameters!$I$9*ISNUMBER(T104)+(Parameters!$F$10=Parameters!$E$17)*Parameters!$I$10*ISNUMBER(U104)+(Parameters!$F$11=Parameters!$E$17)*Parameters!$I$11*ISNUMBER(V104)+(Parameters!$F$12=Parameters!$E$17)*Parameters!$I$12*ISNUMBER(W104))&gt;0,((Parameters!$F$5=Parameters!$E$17)*Parameters!$I$5*ISNUMBER(P104)+(Parameters!$F$6=Parameters!$E$17)*Parameters!$I$6*ISNUMBER(Q104)+(Parameters!$F$7=Parameters!$E$17)*Parameters!$I$7*ISNUMBER(R104)+(Parameters!$F$8=Parameters!$E$17)*Parameters!$I$8*ISNUMBER(S104)+(Parameters!$F$9=Parameters!$E$17)*Parameters!$I$9*ISNUMBER(T104)+(Parameters!$F$10=Parameters!$E$17)*Parameters!$I$10*ISNUMBER(U104)+(Parameters!$F$11=Parameters!$E$17)*Parameters!$I$11*ISNUMBER(V104)+(Parameters!$F$12=Parameters!$E$17)*Parameters!$I$12*ISNUMBER(W104))/((Parameters!$F$5=Parameters!$E$17)*Parameters!$I$5*1+(Parameters!$F$6=Parameters!$E$17)*Parameters!$I$6*1+(Parameters!$F$7=Parameters!$E$17)*Parameters!$I$7*1+(Parameters!$F$8=Parameters!$E$17)*Parameters!$I$8*1+(Parameters!$F$9=Parameters!$E$17)*Parameters!$I$9*1+(Parameters!$F$10=Parameters!$E$17)*Parameters!$I$10*1+(Parameters!$F$11=Parameters!$E$17)*Parameters!$I$11*X104+(Parameters!$F$12=Parameters!$E$17)*Parameters!$I$12*Y104)&gt;=Parameters!$B$36),((Parameters!$F$5=Parameters!$E$17)*Parameters!$I$5*N(P104)+(Parameters!$F$6=Parameters!$E$17)*Parameters!$I$6*N(Q104)+(Parameters!$F$7=Parameters!$E$17)*Parameters!$I$7*N(R104)+(Parameters!$F$8=Parameters!$E$17)*Parameters!$I$8*N(S104)+(Parameters!$F$9=Parameters!$E$17)*Parameters!$I$9*N(T104)+(Parameters!$F$10=Parameters!$E$17)*Parameters!$I$10*N(U104)+(Parameters!$F$11=Parameters!$E$17)*Parameters!$I$11*N(V104)+(Parameters!$F$12=Parameters!$E$17)*Parameters!$I$12*N(W104))/((Parameters!$F$5=Parameters!$E$17)*Parameters!$I$5*ISNUMBER(P104)+(Parameters!$F$6=Parameters!$E$17)*Parameters!$I$6*ISNUMBER(Q104)+(Parameters!$F$7=Parameters!$E$17)*Parameters!$I$7*ISNUMBER(R104)+(Parameters!$F$8=Parameters!$E$17)*Parameters!$I$8*ISNUMBER(S104)+(Parameters!$F$9=Parameters!$E$17)*Parameters!$I$9*ISNUMBER(T104)+(Parameters!$F$10=Parameters!$E$17)*Parameters!$I$10*ISNUMBER(U104)+(Parameters!$F$11=Parameters!$E$17)*Parameters!$I$11*ISNUMBER(V104)+(Parameters!$F$12=Parameters!$E$17)*Parameters!$I$12*ISNUMBER(W104)),""))</f>
        <v/>
      </c>
      <c r="AC104" s="17" t="n">
        <f aca="false">Parameters!$I$5*ISNUMBER(P104)+Parameters!$I$6*ISNUMBER(Q104)+Parameters!$I$7*ISNUMBER(R104)+Parameters!$I$8*ISNUMBER(S104)+Parameters!$I$9*ISNUMBER(T104)+Parameters!$I$10*ISNUMBER(U104)+Parameters!$I$11*ISNUMBER(V104)+Parameters!$I$12*ISNUMBER(W104)</f>
        <v>75</v>
      </c>
      <c r="AD104" s="17" t="n">
        <f aca="false">Parameters!$I$5*1+Parameters!$I$6*1+Parameters!$I$7*1+Parameters!$I$8*1+Parameters!$I$9*1+Parameters!$I$10*1+Parameters!$I$11*X104+Parameters!$I$12*Y104</f>
        <v>75</v>
      </c>
      <c r="AE104" s="18" t="n">
        <f aca="false">IF(AD104=0,"",AC104/AD104)</f>
        <v>1</v>
      </c>
      <c r="AF104" s="17" t="str">
        <f aca="false">IF(ISNUMBER(Z104),"M","")&amp;IF(ISNUMBER(AA104),"I","")&amp;IF(ISNUMBER(AB104),"O","")</f>
        <v>MI</v>
      </c>
      <c r="AG104" s="19" t="n">
        <f aca="false">IF(AND(ISNUMBER(AE104),ISNUMBER(Z104)+ISNUMBER(AA104)+ISNUMBER(AB104)&gt;=Parameters!$B$37),IF(AE104&gt;=Parameters!$B$35,100*(Parameters!$F$15*N(Z104)+Parameters!$F$16*N(AA104)+Parameters!$F$17*N(AB104))/(Parameters!$F$15*ISNUMBER(Z104)+Parameters!$F$16*ISNUMBER(AA104)+Parameters!$F$17*ISNUMBER(AB104)),""),"")</f>
        <v>61.875</v>
      </c>
      <c r="AH104" s="17" t="n">
        <f aca="false">IF(ISNUMBER(AG104),RANK(AG104,$AG$2:$AG$113),"")</f>
        <v>103</v>
      </c>
    </row>
    <row r="105" customFormat="false" ht="15" hidden="false" customHeight="false" outlineLevel="0" collapsed="false">
      <c r="A105" s="5" t="s">
        <v>466</v>
      </c>
      <c r="B105" s="5" t="s">
        <v>466</v>
      </c>
      <c r="C105" s="5" t="s">
        <v>467</v>
      </c>
      <c r="D105" s="5" t="s">
        <v>31</v>
      </c>
      <c r="E105" s="5" t="s">
        <v>44</v>
      </c>
      <c r="F105" s="5" t="s">
        <v>135</v>
      </c>
      <c r="G105" s="20" t="s">
        <v>468</v>
      </c>
      <c r="H105" s="8" t="n">
        <v>1</v>
      </c>
      <c r="I105" s="5" t="s">
        <v>57</v>
      </c>
      <c r="J105" s="5" t="s">
        <v>66</v>
      </c>
      <c r="K105" s="15"/>
      <c r="L105" s="5" t="s">
        <v>76</v>
      </c>
      <c r="M105" s="5" t="s">
        <v>136</v>
      </c>
      <c r="N105" s="5" t="s">
        <v>142</v>
      </c>
      <c r="O105" s="5" t="s">
        <v>197</v>
      </c>
      <c r="P105" s="16" t="n">
        <f aca="false">IFERROR(IF(ISNUMBER(INDEX(Parameters!$B$5:$B$23,MATCH(D105,Parameters!$A$5:$A$23,0))),INDEX(Parameters!$B$5:$B$23,MATCH(D105,Parameters!$A$5:$A$23,0)),""),"")</f>
        <v>1</v>
      </c>
      <c r="Q105" s="16" t="n">
        <f aca="false">IFERROR(IF(ISNUMBER(INDEX(Parameters!$B$5:$B$23,MATCH(E105,Parameters!$A$5:$A$23,0))),INDEX(Parameters!$B$5:$B$23,MATCH(E105,Parameters!$A$5:$A$23,0)),""),"")</f>
        <v>1</v>
      </c>
      <c r="R105" s="16" t="n">
        <f aca="false">IF(F105="","",IFERROR(MIN(Parameters!$B$33,MAX(0,Parameters!$B$32-VALUE(LEFT(F105,4))))/Parameters!$B$33,""))</f>
        <v>0.4</v>
      </c>
      <c r="S105" s="16" t="n">
        <f aca="false">IF(ISNUMBER(H105),H105,IF(G105="",IF(ISNUMBER(Parameters!$B$34),Parameters!$B$34,""),""))</f>
        <v>1</v>
      </c>
      <c r="T105" s="16" t="n">
        <f aca="false">IFERROR(IF(ISNUMBER(INDEX(Parameters!$B$5:$B$23,MATCH(I105,Parameters!$A$5:$A$23,0))),INDEX(Parameters!$B$5:$B$23,MATCH(I105,Parameters!$A$5:$A$23,0)),""),"")</f>
        <v>0</v>
      </c>
      <c r="U105" s="16" t="n">
        <f aca="false">IFERROR(IF(ISNUMBER(INDEX(Parameters!$B$5:$B$23,MATCH(L105,Parameters!$A$5:$A$23,0))),INDEX(Parameters!$B$5:$B$23,MATCH(L105,Parameters!$A$5:$A$23,0)),""),"")</f>
        <v>1</v>
      </c>
      <c r="V105" s="16" t="n">
        <f aca="false">IFERROR(IF(ISNUMBER(INDEX(Parameters!$B$5:$B$23,MATCH(J105,Parameters!$A$5:$A$23,0))),INDEX(Parameters!$B$5:$B$23,MATCH(J105,Parameters!$A$5:$A$23,0)),""),"")</f>
        <v>1</v>
      </c>
      <c r="W105" s="16" t="str">
        <f aca="false">IF(K105&lt;&gt;"",1,IF(COUNTIF(Parameters!$A$27:$A$28,J105)&gt;0,0,""))</f>
        <v/>
      </c>
      <c r="X105" s="17" t="n">
        <f aca="false">IF(J105="Not applicable",0,1)</f>
        <v>1</v>
      </c>
      <c r="Y105" s="17" t="n">
        <f aca="false">IF(OR(K105&lt;&gt;"",COUNTIF(Parameters!$A$27:$A$28,J105)&gt;0),1,0)</f>
        <v>0</v>
      </c>
      <c r="Z105"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105+(Parameters!$F$12=Parameters!$E$15)*Parameters!$I$12*Y105)=0,"",IF(AND(((Parameters!$F$5=Parameters!$E$15)*Parameters!$I$5*ISNUMBER(P105)+(Parameters!$F$6=Parameters!$E$15)*Parameters!$I$6*ISNUMBER(Q105)+(Parameters!$F$7=Parameters!$E$15)*Parameters!$I$7*ISNUMBER(R105)+(Parameters!$F$8=Parameters!$E$15)*Parameters!$I$8*ISNUMBER(S105)+(Parameters!$F$9=Parameters!$E$15)*Parameters!$I$9*ISNUMBER(T105)+(Parameters!$F$10=Parameters!$E$15)*Parameters!$I$10*ISNUMBER(U105)+(Parameters!$F$11=Parameters!$E$15)*Parameters!$I$11*ISNUMBER(V105)+(Parameters!$F$12=Parameters!$E$15)*Parameters!$I$12*ISNUMBER(W105))&gt;0,((Parameters!$F$5=Parameters!$E$15)*Parameters!$I$5*ISNUMBER(P105)+(Parameters!$F$6=Parameters!$E$15)*Parameters!$I$6*ISNUMBER(Q105)+(Parameters!$F$7=Parameters!$E$15)*Parameters!$I$7*ISNUMBER(R105)+(Parameters!$F$8=Parameters!$E$15)*Parameters!$I$8*ISNUMBER(S105)+(Parameters!$F$9=Parameters!$E$15)*Parameters!$I$9*ISNUMBER(T105)+(Parameters!$F$10=Parameters!$E$15)*Parameters!$I$10*ISNUMBER(U105)+(Parameters!$F$11=Parameters!$E$15)*Parameters!$I$11*ISNUMBER(V105)+(Parameters!$F$12=Parameters!$E$15)*Parameters!$I$12*ISNUMBER(W105))/((Parameters!$F$5=Parameters!$E$15)*Parameters!$I$5*1+(Parameters!$F$6=Parameters!$E$15)*Parameters!$I$6*1+(Parameters!$F$7=Parameters!$E$15)*Parameters!$I$7*1+(Parameters!$F$8=Parameters!$E$15)*Parameters!$I$8*1+(Parameters!$F$9=Parameters!$E$15)*Parameters!$I$9*1+(Parameters!$F$10=Parameters!$E$15)*Parameters!$I$10*1+(Parameters!$F$11=Parameters!$E$15)*Parameters!$I$11*X105+(Parameters!$F$12=Parameters!$E$15)*Parameters!$I$12*Y105)&gt;=Parameters!$B$36),((Parameters!$F$5=Parameters!$E$15)*Parameters!$I$5*N(P105)+(Parameters!$F$6=Parameters!$E$15)*Parameters!$I$6*N(Q105)+(Parameters!$F$7=Parameters!$E$15)*Parameters!$I$7*N(R105)+(Parameters!$F$8=Parameters!$E$15)*Parameters!$I$8*N(S105)+(Parameters!$F$9=Parameters!$E$15)*Parameters!$I$9*N(T105)+(Parameters!$F$10=Parameters!$E$15)*Parameters!$I$10*N(U105)+(Parameters!$F$11=Parameters!$E$15)*Parameters!$I$11*N(V105)+(Parameters!$F$12=Parameters!$E$15)*Parameters!$I$12*N(W105))/((Parameters!$F$5=Parameters!$E$15)*Parameters!$I$5*ISNUMBER(P105)+(Parameters!$F$6=Parameters!$E$15)*Parameters!$I$6*ISNUMBER(Q105)+(Parameters!$F$7=Parameters!$E$15)*Parameters!$I$7*ISNUMBER(R105)+(Parameters!$F$8=Parameters!$E$15)*Parameters!$I$8*ISNUMBER(S105)+(Parameters!$F$9=Parameters!$E$15)*Parameters!$I$9*ISNUMBER(T105)+(Parameters!$F$10=Parameters!$E$15)*Parameters!$I$10*ISNUMBER(U105)+(Parameters!$F$11=Parameters!$E$15)*Parameters!$I$11*ISNUMBER(V105)+(Parameters!$F$12=Parameters!$E$15)*Parameters!$I$12*ISNUMBER(W105)),""))</f>
        <v>0.94</v>
      </c>
      <c r="AA105"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105+(Parameters!$F$12=Parameters!$E$16)*Parameters!$I$12*Y105)=0,"",IF(AND(((Parameters!$F$5=Parameters!$E$16)*Parameters!$I$5*ISNUMBER(P105)+(Parameters!$F$6=Parameters!$E$16)*Parameters!$I$6*ISNUMBER(Q105)+(Parameters!$F$7=Parameters!$E$16)*Parameters!$I$7*ISNUMBER(R105)+(Parameters!$F$8=Parameters!$E$16)*Parameters!$I$8*ISNUMBER(S105)+(Parameters!$F$9=Parameters!$E$16)*Parameters!$I$9*ISNUMBER(T105)+(Parameters!$F$10=Parameters!$E$16)*Parameters!$I$10*ISNUMBER(U105)+(Parameters!$F$11=Parameters!$E$16)*Parameters!$I$11*ISNUMBER(V105)+(Parameters!$F$12=Parameters!$E$16)*Parameters!$I$12*ISNUMBER(W105))&gt;0,((Parameters!$F$5=Parameters!$E$16)*Parameters!$I$5*ISNUMBER(P105)+(Parameters!$F$6=Parameters!$E$16)*Parameters!$I$6*ISNUMBER(Q105)+(Parameters!$F$7=Parameters!$E$16)*Parameters!$I$7*ISNUMBER(R105)+(Parameters!$F$8=Parameters!$E$16)*Parameters!$I$8*ISNUMBER(S105)+(Parameters!$F$9=Parameters!$E$16)*Parameters!$I$9*ISNUMBER(T105)+(Parameters!$F$10=Parameters!$E$16)*Parameters!$I$10*ISNUMBER(U105)+(Parameters!$F$11=Parameters!$E$16)*Parameters!$I$11*ISNUMBER(V105)+(Parameters!$F$12=Parameters!$E$16)*Parameters!$I$12*ISNUMBER(W105))/((Parameters!$F$5=Parameters!$E$16)*Parameters!$I$5*1+(Parameters!$F$6=Parameters!$E$16)*Parameters!$I$6*1+(Parameters!$F$7=Parameters!$E$16)*Parameters!$I$7*1+(Parameters!$F$8=Parameters!$E$16)*Parameters!$I$8*1+(Parameters!$F$9=Parameters!$E$16)*Parameters!$I$9*1+(Parameters!$F$10=Parameters!$E$16)*Parameters!$I$10*1+(Parameters!$F$11=Parameters!$E$16)*Parameters!$I$11*X105+(Parameters!$F$12=Parameters!$E$16)*Parameters!$I$12*Y105)&gt;=Parameters!$B$36),((Parameters!$F$5=Parameters!$E$16)*Parameters!$I$5*N(P105)+(Parameters!$F$6=Parameters!$E$16)*Parameters!$I$6*N(Q105)+(Parameters!$F$7=Parameters!$E$16)*Parameters!$I$7*N(R105)+(Parameters!$F$8=Parameters!$E$16)*Parameters!$I$8*N(S105)+(Parameters!$F$9=Parameters!$E$16)*Parameters!$I$9*N(T105)+(Parameters!$F$10=Parameters!$E$16)*Parameters!$I$10*N(U105)+(Parameters!$F$11=Parameters!$E$16)*Parameters!$I$11*N(V105)+(Parameters!$F$12=Parameters!$E$16)*Parameters!$I$12*N(W105))/((Parameters!$F$5=Parameters!$E$16)*Parameters!$I$5*ISNUMBER(P105)+(Parameters!$F$6=Parameters!$E$16)*Parameters!$I$6*ISNUMBER(Q105)+(Parameters!$F$7=Parameters!$E$16)*Parameters!$I$7*ISNUMBER(R105)+(Parameters!$F$8=Parameters!$E$16)*Parameters!$I$8*ISNUMBER(S105)+(Parameters!$F$9=Parameters!$E$16)*Parameters!$I$9*ISNUMBER(T105)+(Parameters!$F$10=Parameters!$E$16)*Parameters!$I$10*ISNUMBER(U105)+(Parameters!$F$11=Parameters!$E$16)*Parameters!$I$11*ISNUMBER(V105)+(Parameters!$F$12=Parameters!$E$16)*Parameters!$I$12*ISNUMBER(W105)),""))</f>
        <v>0.8</v>
      </c>
      <c r="AB105"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105+(Parameters!$F$12=Parameters!$E$17)*Parameters!$I$12*Y105)=0,"",IF(AND(((Parameters!$F$5=Parameters!$E$17)*Parameters!$I$5*ISNUMBER(P105)+(Parameters!$F$6=Parameters!$E$17)*Parameters!$I$6*ISNUMBER(Q105)+(Parameters!$F$7=Parameters!$E$17)*Parameters!$I$7*ISNUMBER(R105)+(Parameters!$F$8=Parameters!$E$17)*Parameters!$I$8*ISNUMBER(S105)+(Parameters!$F$9=Parameters!$E$17)*Parameters!$I$9*ISNUMBER(T105)+(Parameters!$F$10=Parameters!$E$17)*Parameters!$I$10*ISNUMBER(U105)+(Parameters!$F$11=Parameters!$E$17)*Parameters!$I$11*ISNUMBER(V105)+(Parameters!$F$12=Parameters!$E$17)*Parameters!$I$12*ISNUMBER(W105))&gt;0,((Parameters!$F$5=Parameters!$E$17)*Parameters!$I$5*ISNUMBER(P105)+(Parameters!$F$6=Parameters!$E$17)*Parameters!$I$6*ISNUMBER(Q105)+(Parameters!$F$7=Parameters!$E$17)*Parameters!$I$7*ISNUMBER(R105)+(Parameters!$F$8=Parameters!$E$17)*Parameters!$I$8*ISNUMBER(S105)+(Parameters!$F$9=Parameters!$E$17)*Parameters!$I$9*ISNUMBER(T105)+(Parameters!$F$10=Parameters!$E$17)*Parameters!$I$10*ISNUMBER(U105)+(Parameters!$F$11=Parameters!$E$17)*Parameters!$I$11*ISNUMBER(V105)+(Parameters!$F$12=Parameters!$E$17)*Parameters!$I$12*ISNUMBER(W105))/((Parameters!$F$5=Parameters!$E$17)*Parameters!$I$5*1+(Parameters!$F$6=Parameters!$E$17)*Parameters!$I$6*1+(Parameters!$F$7=Parameters!$E$17)*Parameters!$I$7*1+(Parameters!$F$8=Parameters!$E$17)*Parameters!$I$8*1+(Parameters!$F$9=Parameters!$E$17)*Parameters!$I$9*1+(Parameters!$F$10=Parameters!$E$17)*Parameters!$I$10*1+(Parameters!$F$11=Parameters!$E$17)*Parameters!$I$11*X105+(Parameters!$F$12=Parameters!$E$17)*Parameters!$I$12*Y105)&gt;=Parameters!$B$36),((Parameters!$F$5=Parameters!$E$17)*Parameters!$I$5*N(P105)+(Parameters!$F$6=Parameters!$E$17)*Parameters!$I$6*N(Q105)+(Parameters!$F$7=Parameters!$E$17)*Parameters!$I$7*N(R105)+(Parameters!$F$8=Parameters!$E$17)*Parameters!$I$8*N(S105)+(Parameters!$F$9=Parameters!$E$17)*Parameters!$I$9*N(T105)+(Parameters!$F$10=Parameters!$E$17)*Parameters!$I$10*N(U105)+(Parameters!$F$11=Parameters!$E$17)*Parameters!$I$11*N(V105)+(Parameters!$F$12=Parameters!$E$17)*Parameters!$I$12*N(W105))/((Parameters!$F$5=Parameters!$E$17)*Parameters!$I$5*ISNUMBER(P105)+(Parameters!$F$6=Parameters!$E$17)*Parameters!$I$6*ISNUMBER(Q105)+(Parameters!$F$7=Parameters!$E$17)*Parameters!$I$7*ISNUMBER(R105)+(Parameters!$F$8=Parameters!$E$17)*Parameters!$I$8*ISNUMBER(S105)+(Parameters!$F$9=Parameters!$E$17)*Parameters!$I$9*ISNUMBER(T105)+(Parameters!$F$10=Parameters!$E$17)*Parameters!$I$10*ISNUMBER(U105)+(Parameters!$F$11=Parameters!$E$17)*Parameters!$I$11*ISNUMBER(V105)+(Parameters!$F$12=Parameters!$E$17)*Parameters!$I$12*ISNUMBER(W105)),""))</f>
        <v>1</v>
      </c>
      <c r="AC105" s="17" t="n">
        <f aca="false">Parameters!$I$5*ISNUMBER(P105)+Parameters!$I$6*ISNUMBER(Q105)+Parameters!$I$7*ISNUMBER(R105)+Parameters!$I$8*ISNUMBER(S105)+Parameters!$I$9*ISNUMBER(T105)+Parameters!$I$10*ISNUMBER(U105)+Parameters!$I$11*ISNUMBER(V105)+Parameters!$I$12*ISNUMBER(W105)</f>
        <v>85</v>
      </c>
      <c r="AD105" s="17" t="n">
        <f aca="false">Parameters!$I$5*1+Parameters!$I$6*1+Parameters!$I$7*1+Parameters!$I$8*1+Parameters!$I$9*1+Parameters!$I$10*1+Parameters!$I$11*X105+Parameters!$I$12*Y105</f>
        <v>85</v>
      </c>
      <c r="AE105" s="18" t="n">
        <f aca="false">IF(AD105=0,"",AC105/AD105)</f>
        <v>1</v>
      </c>
      <c r="AF105" s="17" t="str">
        <f aca="false">IF(ISNUMBER(Z105),"M","")&amp;IF(ISNUMBER(AA105),"I","")&amp;IF(ISNUMBER(AB105),"O","")</f>
        <v>MIO</v>
      </c>
      <c r="AG105" s="19" t="n">
        <f aca="false">IF(AND(ISNUMBER(AE105),ISNUMBER(Z105)+ISNUMBER(AA105)+ISNUMBER(AB105)&gt;=Parameters!$B$37),IF(AE105&gt;=Parameters!$B$35,100*(Parameters!$F$15*N(Z105)+Parameters!$F$16*N(AA105)+Parameters!$F$17*N(AB105))/(Parameters!$F$15*ISNUMBER(Z105)+Parameters!$F$16*ISNUMBER(AA105)+Parameters!$F$17*ISNUMBER(AB105)),""),"")</f>
        <v>91</v>
      </c>
      <c r="AH105" s="17" t="n">
        <f aca="false">IF(ISNUMBER(AG105),RANK(AG105,$AG$2:$AG$113),"")</f>
        <v>22</v>
      </c>
    </row>
    <row r="106" customFormat="false" ht="15" hidden="false" customHeight="false" outlineLevel="0" collapsed="false">
      <c r="A106" s="5" t="s">
        <v>469</v>
      </c>
      <c r="B106" s="5" t="s">
        <v>379</v>
      </c>
      <c r="C106" s="5" t="s">
        <v>470</v>
      </c>
      <c r="D106" s="5" t="s">
        <v>31</v>
      </c>
      <c r="E106" s="5" t="s">
        <v>44</v>
      </c>
      <c r="F106" s="5" t="s">
        <v>265</v>
      </c>
      <c r="G106" s="15" t="s">
        <v>471</v>
      </c>
      <c r="H106" s="8" t="n">
        <v>0</v>
      </c>
      <c r="I106" s="5" t="s">
        <v>57</v>
      </c>
      <c r="J106" s="5" t="s">
        <v>74</v>
      </c>
      <c r="K106" s="15"/>
      <c r="L106" s="5" t="s">
        <v>81</v>
      </c>
      <c r="M106" s="5" t="s">
        <v>141</v>
      </c>
      <c r="N106" s="5"/>
      <c r="O106" s="5"/>
      <c r="P106" s="16" t="n">
        <f aca="false">IFERROR(IF(ISNUMBER(INDEX(Parameters!$B$5:$B$23,MATCH(D106,Parameters!$A$5:$A$23,0))),INDEX(Parameters!$B$5:$B$23,MATCH(D106,Parameters!$A$5:$A$23,0)),""),"")</f>
        <v>1</v>
      </c>
      <c r="Q106" s="16" t="n">
        <f aca="false">IFERROR(IF(ISNUMBER(INDEX(Parameters!$B$5:$B$23,MATCH(E106,Parameters!$A$5:$A$23,0))),INDEX(Parameters!$B$5:$B$23,MATCH(E106,Parameters!$A$5:$A$23,0)),""),"")</f>
        <v>1</v>
      </c>
      <c r="R106" s="16" t="n">
        <f aca="false">IF(F106="","",IFERROR(MIN(Parameters!$B$33,MAX(0,Parameters!$B$32-VALUE(LEFT(F106,4))))/Parameters!$B$33,""))</f>
        <v>0.6</v>
      </c>
      <c r="S106" s="16" t="n">
        <f aca="false">IF(ISNUMBER(H106),H106,IF(G106="",IF(ISNUMBER(Parameters!$B$34),Parameters!$B$34,""),""))</f>
        <v>0</v>
      </c>
      <c r="T106" s="16" t="n">
        <f aca="false">IFERROR(IF(ISNUMBER(INDEX(Parameters!$B$5:$B$23,MATCH(I106,Parameters!$A$5:$A$23,0))),INDEX(Parameters!$B$5:$B$23,MATCH(I106,Parameters!$A$5:$A$23,0)),""),"")</f>
        <v>0</v>
      </c>
      <c r="U106" s="16" t="n">
        <f aca="false">IFERROR(IF(ISNUMBER(INDEX(Parameters!$B$5:$B$23,MATCH(L106,Parameters!$A$5:$A$23,0))),INDEX(Parameters!$B$5:$B$23,MATCH(L106,Parameters!$A$5:$A$23,0)),""),"")</f>
        <v>1</v>
      </c>
      <c r="V106" s="16" t="str">
        <f aca="false">IFERROR(IF(ISNUMBER(INDEX(Parameters!$B$5:$B$23,MATCH(J106,Parameters!$A$5:$A$23,0))),INDEX(Parameters!$B$5:$B$23,MATCH(J106,Parameters!$A$5:$A$23,0)),""),"")</f>
        <v/>
      </c>
      <c r="W106" s="16" t="str">
        <f aca="false">IF(K106&lt;&gt;"",1,IF(COUNTIF(Parameters!$A$27:$A$28,J106)&gt;0,0,""))</f>
        <v/>
      </c>
      <c r="X106" s="17" t="n">
        <f aca="false">IF(J106="Not applicable",0,1)</f>
        <v>0</v>
      </c>
      <c r="Y106" s="17" t="n">
        <f aca="false">IF(OR(K106&lt;&gt;"",COUNTIF(Parameters!$A$27:$A$28,J106)&gt;0),1,0)</f>
        <v>0</v>
      </c>
      <c r="Z106"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106+(Parameters!$F$12=Parameters!$E$15)*Parameters!$I$12*Y106)=0,"",IF(AND(((Parameters!$F$5=Parameters!$E$15)*Parameters!$I$5*ISNUMBER(P106)+(Parameters!$F$6=Parameters!$E$15)*Parameters!$I$6*ISNUMBER(Q106)+(Parameters!$F$7=Parameters!$E$15)*Parameters!$I$7*ISNUMBER(R106)+(Parameters!$F$8=Parameters!$E$15)*Parameters!$I$8*ISNUMBER(S106)+(Parameters!$F$9=Parameters!$E$15)*Parameters!$I$9*ISNUMBER(T106)+(Parameters!$F$10=Parameters!$E$15)*Parameters!$I$10*ISNUMBER(U106)+(Parameters!$F$11=Parameters!$E$15)*Parameters!$I$11*ISNUMBER(V106)+(Parameters!$F$12=Parameters!$E$15)*Parameters!$I$12*ISNUMBER(W106))&gt;0,((Parameters!$F$5=Parameters!$E$15)*Parameters!$I$5*ISNUMBER(P106)+(Parameters!$F$6=Parameters!$E$15)*Parameters!$I$6*ISNUMBER(Q106)+(Parameters!$F$7=Parameters!$E$15)*Parameters!$I$7*ISNUMBER(R106)+(Parameters!$F$8=Parameters!$E$15)*Parameters!$I$8*ISNUMBER(S106)+(Parameters!$F$9=Parameters!$E$15)*Parameters!$I$9*ISNUMBER(T106)+(Parameters!$F$10=Parameters!$E$15)*Parameters!$I$10*ISNUMBER(U106)+(Parameters!$F$11=Parameters!$E$15)*Parameters!$I$11*ISNUMBER(V106)+(Parameters!$F$12=Parameters!$E$15)*Parameters!$I$12*ISNUMBER(W106))/((Parameters!$F$5=Parameters!$E$15)*Parameters!$I$5*1+(Parameters!$F$6=Parameters!$E$15)*Parameters!$I$6*1+(Parameters!$F$7=Parameters!$E$15)*Parameters!$I$7*1+(Parameters!$F$8=Parameters!$E$15)*Parameters!$I$8*1+(Parameters!$F$9=Parameters!$E$15)*Parameters!$I$9*1+(Parameters!$F$10=Parameters!$E$15)*Parameters!$I$10*1+(Parameters!$F$11=Parameters!$E$15)*Parameters!$I$11*X106+(Parameters!$F$12=Parameters!$E$15)*Parameters!$I$12*Y106)&gt;=Parameters!$B$36),((Parameters!$F$5=Parameters!$E$15)*Parameters!$I$5*N(P106)+(Parameters!$F$6=Parameters!$E$15)*Parameters!$I$6*N(Q106)+(Parameters!$F$7=Parameters!$E$15)*Parameters!$I$7*N(R106)+(Parameters!$F$8=Parameters!$E$15)*Parameters!$I$8*N(S106)+(Parameters!$F$9=Parameters!$E$15)*Parameters!$I$9*N(T106)+(Parameters!$F$10=Parameters!$E$15)*Parameters!$I$10*N(U106)+(Parameters!$F$11=Parameters!$E$15)*Parameters!$I$11*N(V106)+(Parameters!$F$12=Parameters!$E$15)*Parameters!$I$12*N(W106))/((Parameters!$F$5=Parameters!$E$15)*Parameters!$I$5*ISNUMBER(P106)+(Parameters!$F$6=Parameters!$E$15)*Parameters!$I$6*ISNUMBER(Q106)+(Parameters!$F$7=Parameters!$E$15)*Parameters!$I$7*ISNUMBER(R106)+(Parameters!$F$8=Parameters!$E$15)*Parameters!$I$8*ISNUMBER(S106)+(Parameters!$F$9=Parameters!$E$15)*Parameters!$I$9*ISNUMBER(T106)+(Parameters!$F$10=Parameters!$E$15)*Parameters!$I$10*ISNUMBER(U106)+(Parameters!$F$11=Parameters!$E$15)*Parameters!$I$11*ISNUMBER(V106)+(Parameters!$F$12=Parameters!$E$15)*Parameters!$I$12*ISNUMBER(W106)),""))</f>
        <v>0.96</v>
      </c>
      <c r="AA106"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106+(Parameters!$F$12=Parameters!$E$16)*Parameters!$I$12*Y106)=0,"",IF(AND(((Parameters!$F$5=Parameters!$E$16)*Parameters!$I$5*ISNUMBER(P106)+(Parameters!$F$6=Parameters!$E$16)*Parameters!$I$6*ISNUMBER(Q106)+(Parameters!$F$7=Parameters!$E$16)*Parameters!$I$7*ISNUMBER(R106)+(Parameters!$F$8=Parameters!$E$16)*Parameters!$I$8*ISNUMBER(S106)+(Parameters!$F$9=Parameters!$E$16)*Parameters!$I$9*ISNUMBER(T106)+(Parameters!$F$10=Parameters!$E$16)*Parameters!$I$10*ISNUMBER(U106)+(Parameters!$F$11=Parameters!$E$16)*Parameters!$I$11*ISNUMBER(V106)+(Parameters!$F$12=Parameters!$E$16)*Parameters!$I$12*ISNUMBER(W106))&gt;0,((Parameters!$F$5=Parameters!$E$16)*Parameters!$I$5*ISNUMBER(P106)+(Parameters!$F$6=Parameters!$E$16)*Parameters!$I$6*ISNUMBER(Q106)+(Parameters!$F$7=Parameters!$E$16)*Parameters!$I$7*ISNUMBER(R106)+(Parameters!$F$8=Parameters!$E$16)*Parameters!$I$8*ISNUMBER(S106)+(Parameters!$F$9=Parameters!$E$16)*Parameters!$I$9*ISNUMBER(T106)+(Parameters!$F$10=Parameters!$E$16)*Parameters!$I$10*ISNUMBER(U106)+(Parameters!$F$11=Parameters!$E$16)*Parameters!$I$11*ISNUMBER(V106)+(Parameters!$F$12=Parameters!$E$16)*Parameters!$I$12*ISNUMBER(W106))/((Parameters!$F$5=Parameters!$E$16)*Parameters!$I$5*1+(Parameters!$F$6=Parameters!$E$16)*Parameters!$I$6*1+(Parameters!$F$7=Parameters!$E$16)*Parameters!$I$7*1+(Parameters!$F$8=Parameters!$E$16)*Parameters!$I$8*1+(Parameters!$F$9=Parameters!$E$16)*Parameters!$I$9*1+(Parameters!$F$10=Parameters!$E$16)*Parameters!$I$10*1+(Parameters!$F$11=Parameters!$E$16)*Parameters!$I$11*X106+(Parameters!$F$12=Parameters!$E$16)*Parameters!$I$12*Y106)&gt;=Parameters!$B$36),((Parameters!$F$5=Parameters!$E$16)*Parameters!$I$5*N(P106)+(Parameters!$F$6=Parameters!$E$16)*Parameters!$I$6*N(Q106)+(Parameters!$F$7=Parameters!$E$16)*Parameters!$I$7*N(R106)+(Parameters!$F$8=Parameters!$E$16)*Parameters!$I$8*N(S106)+(Parameters!$F$9=Parameters!$E$16)*Parameters!$I$9*N(T106)+(Parameters!$F$10=Parameters!$E$16)*Parameters!$I$10*N(U106)+(Parameters!$F$11=Parameters!$E$16)*Parameters!$I$11*N(V106)+(Parameters!$F$12=Parameters!$E$16)*Parameters!$I$12*N(W106))/((Parameters!$F$5=Parameters!$E$16)*Parameters!$I$5*ISNUMBER(P106)+(Parameters!$F$6=Parameters!$E$16)*Parameters!$I$6*ISNUMBER(Q106)+(Parameters!$F$7=Parameters!$E$16)*Parameters!$I$7*ISNUMBER(R106)+(Parameters!$F$8=Parameters!$E$16)*Parameters!$I$8*ISNUMBER(S106)+(Parameters!$F$9=Parameters!$E$16)*Parameters!$I$9*ISNUMBER(T106)+(Parameters!$F$10=Parameters!$E$16)*Parameters!$I$10*ISNUMBER(U106)+(Parameters!$F$11=Parameters!$E$16)*Parameters!$I$11*ISNUMBER(V106)+(Parameters!$F$12=Parameters!$E$16)*Parameters!$I$12*ISNUMBER(W106)),""))</f>
        <v>0.4</v>
      </c>
      <c r="AB106"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106+(Parameters!$F$12=Parameters!$E$17)*Parameters!$I$12*Y106)=0,"",IF(AND(((Parameters!$F$5=Parameters!$E$17)*Parameters!$I$5*ISNUMBER(P106)+(Parameters!$F$6=Parameters!$E$17)*Parameters!$I$6*ISNUMBER(Q106)+(Parameters!$F$7=Parameters!$E$17)*Parameters!$I$7*ISNUMBER(R106)+(Parameters!$F$8=Parameters!$E$17)*Parameters!$I$8*ISNUMBER(S106)+(Parameters!$F$9=Parameters!$E$17)*Parameters!$I$9*ISNUMBER(T106)+(Parameters!$F$10=Parameters!$E$17)*Parameters!$I$10*ISNUMBER(U106)+(Parameters!$F$11=Parameters!$E$17)*Parameters!$I$11*ISNUMBER(V106)+(Parameters!$F$12=Parameters!$E$17)*Parameters!$I$12*ISNUMBER(W106))&gt;0,((Parameters!$F$5=Parameters!$E$17)*Parameters!$I$5*ISNUMBER(P106)+(Parameters!$F$6=Parameters!$E$17)*Parameters!$I$6*ISNUMBER(Q106)+(Parameters!$F$7=Parameters!$E$17)*Parameters!$I$7*ISNUMBER(R106)+(Parameters!$F$8=Parameters!$E$17)*Parameters!$I$8*ISNUMBER(S106)+(Parameters!$F$9=Parameters!$E$17)*Parameters!$I$9*ISNUMBER(T106)+(Parameters!$F$10=Parameters!$E$17)*Parameters!$I$10*ISNUMBER(U106)+(Parameters!$F$11=Parameters!$E$17)*Parameters!$I$11*ISNUMBER(V106)+(Parameters!$F$12=Parameters!$E$17)*Parameters!$I$12*ISNUMBER(W106))/((Parameters!$F$5=Parameters!$E$17)*Parameters!$I$5*1+(Parameters!$F$6=Parameters!$E$17)*Parameters!$I$6*1+(Parameters!$F$7=Parameters!$E$17)*Parameters!$I$7*1+(Parameters!$F$8=Parameters!$E$17)*Parameters!$I$8*1+(Parameters!$F$9=Parameters!$E$17)*Parameters!$I$9*1+(Parameters!$F$10=Parameters!$E$17)*Parameters!$I$10*1+(Parameters!$F$11=Parameters!$E$17)*Parameters!$I$11*X106+(Parameters!$F$12=Parameters!$E$17)*Parameters!$I$12*Y106)&gt;=Parameters!$B$36),((Parameters!$F$5=Parameters!$E$17)*Parameters!$I$5*N(P106)+(Parameters!$F$6=Parameters!$E$17)*Parameters!$I$6*N(Q106)+(Parameters!$F$7=Parameters!$E$17)*Parameters!$I$7*N(R106)+(Parameters!$F$8=Parameters!$E$17)*Parameters!$I$8*N(S106)+(Parameters!$F$9=Parameters!$E$17)*Parameters!$I$9*N(T106)+(Parameters!$F$10=Parameters!$E$17)*Parameters!$I$10*N(U106)+(Parameters!$F$11=Parameters!$E$17)*Parameters!$I$11*N(V106)+(Parameters!$F$12=Parameters!$E$17)*Parameters!$I$12*N(W106))/((Parameters!$F$5=Parameters!$E$17)*Parameters!$I$5*ISNUMBER(P106)+(Parameters!$F$6=Parameters!$E$17)*Parameters!$I$6*ISNUMBER(Q106)+(Parameters!$F$7=Parameters!$E$17)*Parameters!$I$7*ISNUMBER(R106)+(Parameters!$F$8=Parameters!$E$17)*Parameters!$I$8*ISNUMBER(S106)+(Parameters!$F$9=Parameters!$E$17)*Parameters!$I$9*ISNUMBER(T106)+(Parameters!$F$10=Parameters!$E$17)*Parameters!$I$10*ISNUMBER(U106)+(Parameters!$F$11=Parameters!$E$17)*Parameters!$I$11*ISNUMBER(V106)+(Parameters!$F$12=Parameters!$E$17)*Parameters!$I$12*ISNUMBER(W106)),""))</f>
        <v/>
      </c>
      <c r="AC106" s="17" t="n">
        <f aca="false">Parameters!$I$5*ISNUMBER(P106)+Parameters!$I$6*ISNUMBER(Q106)+Parameters!$I$7*ISNUMBER(R106)+Parameters!$I$8*ISNUMBER(S106)+Parameters!$I$9*ISNUMBER(T106)+Parameters!$I$10*ISNUMBER(U106)+Parameters!$I$11*ISNUMBER(V106)+Parameters!$I$12*ISNUMBER(W106)</f>
        <v>75</v>
      </c>
      <c r="AD106" s="17" t="n">
        <f aca="false">Parameters!$I$5*1+Parameters!$I$6*1+Parameters!$I$7*1+Parameters!$I$8*1+Parameters!$I$9*1+Parameters!$I$10*1+Parameters!$I$11*X106+Parameters!$I$12*Y106</f>
        <v>75</v>
      </c>
      <c r="AE106" s="18" t="n">
        <f aca="false">IF(AD106=0,"",AC106/AD106)</f>
        <v>1</v>
      </c>
      <c r="AF106" s="17" t="str">
        <f aca="false">IF(ISNUMBER(Z106),"M","")&amp;IF(ISNUMBER(AA106),"I","")&amp;IF(ISNUMBER(AB106),"O","")</f>
        <v>MI</v>
      </c>
      <c r="AG106" s="19" t="n">
        <f aca="false">IF(AND(ISNUMBER(AE106),ISNUMBER(Z106)+ISNUMBER(AA106)+ISNUMBER(AB106)&gt;=Parameters!$B$37),IF(AE106&gt;=Parameters!$B$35,100*(Parameters!$F$15*N(Z106)+Parameters!$F$16*N(AA106)+Parameters!$F$17*N(AB106))/(Parameters!$F$15*ISNUMBER(Z106)+Parameters!$F$16*ISNUMBER(AA106)+Parameters!$F$17*ISNUMBER(AB106)),""),"")</f>
        <v>75</v>
      </c>
      <c r="AH106" s="17" t="n">
        <f aca="false">IF(ISNUMBER(AG106),RANK(AG106,$AG$2:$AG$113),"")</f>
        <v>91</v>
      </c>
    </row>
    <row r="107" customFormat="false" ht="15" hidden="false" customHeight="false" outlineLevel="0" collapsed="false">
      <c r="A107" s="5" t="s">
        <v>472</v>
      </c>
      <c r="B107" s="5" t="s">
        <v>473</v>
      </c>
      <c r="C107" s="5" t="s">
        <v>474</v>
      </c>
      <c r="D107" s="5" t="s">
        <v>31</v>
      </c>
      <c r="E107" s="5" t="s">
        <v>44</v>
      </c>
      <c r="F107" s="5" t="s">
        <v>265</v>
      </c>
      <c r="G107" s="20" t="s">
        <v>475</v>
      </c>
      <c r="H107" s="8" t="n">
        <v>1</v>
      </c>
      <c r="I107" s="5" t="s">
        <v>57</v>
      </c>
      <c r="J107" s="5" t="s">
        <v>74</v>
      </c>
      <c r="K107" s="15"/>
      <c r="L107" s="5" t="s">
        <v>76</v>
      </c>
      <c r="M107" s="5" t="s">
        <v>136</v>
      </c>
      <c r="N107" s="5" t="s">
        <v>142</v>
      </c>
      <c r="O107" s="5" t="s">
        <v>197</v>
      </c>
      <c r="P107" s="16" t="n">
        <f aca="false">IFERROR(IF(ISNUMBER(INDEX(Parameters!$B$5:$B$23,MATCH(D107,Parameters!$A$5:$A$23,0))),INDEX(Parameters!$B$5:$B$23,MATCH(D107,Parameters!$A$5:$A$23,0)),""),"")</f>
        <v>1</v>
      </c>
      <c r="Q107" s="16" t="n">
        <f aca="false">IFERROR(IF(ISNUMBER(INDEX(Parameters!$B$5:$B$23,MATCH(E107,Parameters!$A$5:$A$23,0))),INDEX(Parameters!$B$5:$B$23,MATCH(E107,Parameters!$A$5:$A$23,0)),""),"")</f>
        <v>1</v>
      </c>
      <c r="R107" s="16" t="n">
        <f aca="false">IF(F107="","",IFERROR(MIN(Parameters!$B$33,MAX(0,Parameters!$B$32-VALUE(LEFT(F107,4))))/Parameters!$B$33,""))</f>
        <v>0.6</v>
      </c>
      <c r="S107" s="16" t="n">
        <f aca="false">IF(ISNUMBER(H107),H107,IF(G107="",IF(ISNUMBER(Parameters!$B$34),Parameters!$B$34,""),""))</f>
        <v>1</v>
      </c>
      <c r="T107" s="16" t="n">
        <f aca="false">IFERROR(IF(ISNUMBER(INDEX(Parameters!$B$5:$B$23,MATCH(I107,Parameters!$A$5:$A$23,0))),INDEX(Parameters!$B$5:$B$23,MATCH(I107,Parameters!$A$5:$A$23,0)),""),"")</f>
        <v>0</v>
      </c>
      <c r="U107" s="16" t="n">
        <f aca="false">IFERROR(IF(ISNUMBER(INDEX(Parameters!$B$5:$B$23,MATCH(L107,Parameters!$A$5:$A$23,0))),INDEX(Parameters!$B$5:$B$23,MATCH(L107,Parameters!$A$5:$A$23,0)),""),"")</f>
        <v>1</v>
      </c>
      <c r="V107" s="16" t="str">
        <f aca="false">IFERROR(IF(ISNUMBER(INDEX(Parameters!$B$5:$B$23,MATCH(J107,Parameters!$A$5:$A$23,0))),INDEX(Parameters!$B$5:$B$23,MATCH(J107,Parameters!$A$5:$A$23,0)),""),"")</f>
        <v/>
      </c>
      <c r="W107" s="16" t="str">
        <f aca="false">IF(K107&lt;&gt;"",1,IF(COUNTIF(Parameters!$A$27:$A$28,J107)&gt;0,0,""))</f>
        <v/>
      </c>
      <c r="X107" s="17" t="n">
        <f aca="false">IF(J107="Not applicable",0,1)</f>
        <v>0</v>
      </c>
      <c r="Y107" s="17" t="n">
        <f aca="false">IF(OR(K107&lt;&gt;"",COUNTIF(Parameters!$A$27:$A$28,J107)&gt;0),1,0)</f>
        <v>0</v>
      </c>
      <c r="Z107"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107+(Parameters!$F$12=Parameters!$E$15)*Parameters!$I$12*Y107)=0,"",IF(AND(((Parameters!$F$5=Parameters!$E$15)*Parameters!$I$5*ISNUMBER(P107)+(Parameters!$F$6=Parameters!$E$15)*Parameters!$I$6*ISNUMBER(Q107)+(Parameters!$F$7=Parameters!$E$15)*Parameters!$I$7*ISNUMBER(R107)+(Parameters!$F$8=Parameters!$E$15)*Parameters!$I$8*ISNUMBER(S107)+(Parameters!$F$9=Parameters!$E$15)*Parameters!$I$9*ISNUMBER(T107)+(Parameters!$F$10=Parameters!$E$15)*Parameters!$I$10*ISNUMBER(U107)+(Parameters!$F$11=Parameters!$E$15)*Parameters!$I$11*ISNUMBER(V107)+(Parameters!$F$12=Parameters!$E$15)*Parameters!$I$12*ISNUMBER(W107))&gt;0,((Parameters!$F$5=Parameters!$E$15)*Parameters!$I$5*ISNUMBER(P107)+(Parameters!$F$6=Parameters!$E$15)*Parameters!$I$6*ISNUMBER(Q107)+(Parameters!$F$7=Parameters!$E$15)*Parameters!$I$7*ISNUMBER(R107)+(Parameters!$F$8=Parameters!$E$15)*Parameters!$I$8*ISNUMBER(S107)+(Parameters!$F$9=Parameters!$E$15)*Parameters!$I$9*ISNUMBER(T107)+(Parameters!$F$10=Parameters!$E$15)*Parameters!$I$10*ISNUMBER(U107)+(Parameters!$F$11=Parameters!$E$15)*Parameters!$I$11*ISNUMBER(V107)+(Parameters!$F$12=Parameters!$E$15)*Parameters!$I$12*ISNUMBER(W107))/((Parameters!$F$5=Parameters!$E$15)*Parameters!$I$5*1+(Parameters!$F$6=Parameters!$E$15)*Parameters!$I$6*1+(Parameters!$F$7=Parameters!$E$15)*Parameters!$I$7*1+(Parameters!$F$8=Parameters!$E$15)*Parameters!$I$8*1+(Parameters!$F$9=Parameters!$E$15)*Parameters!$I$9*1+(Parameters!$F$10=Parameters!$E$15)*Parameters!$I$10*1+(Parameters!$F$11=Parameters!$E$15)*Parameters!$I$11*X107+(Parameters!$F$12=Parameters!$E$15)*Parameters!$I$12*Y107)&gt;=Parameters!$B$36),((Parameters!$F$5=Parameters!$E$15)*Parameters!$I$5*N(P107)+(Parameters!$F$6=Parameters!$E$15)*Parameters!$I$6*N(Q107)+(Parameters!$F$7=Parameters!$E$15)*Parameters!$I$7*N(R107)+(Parameters!$F$8=Parameters!$E$15)*Parameters!$I$8*N(S107)+(Parameters!$F$9=Parameters!$E$15)*Parameters!$I$9*N(T107)+(Parameters!$F$10=Parameters!$E$15)*Parameters!$I$10*N(U107)+(Parameters!$F$11=Parameters!$E$15)*Parameters!$I$11*N(V107)+(Parameters!$F$12=Parameters!$E$15)*Parameters!$I$12*N(W107))/((Parameters!$F$5=Parameters!$E$15)*Parameters!$I$5*ISNUMBER(P107)+(Parameters!$F$6=Parameters!$E$15)*Parameters!$I$6*ISNUMBER(Q107)+(Parameters!$F$7=Parameters!$E$15)*Parameters!$I$7*ISNUMBER(R107)+(Parameters!$F$8=Parameters!$E$15)*Parameters!$I$8*ISNUMBER(S107)+(Parameters!$F$9=Parameters!$E$15)*Parameters!$I$9*ISNUMBER(T107)+(Parameters!$F$10=Parameters!$E$15)*Parameters!$I$10*ISNUMBER(U107)+(Parameters!$F$11=Parameters!$E$15)*Parameters!$I$11*ISNUMBER(V107)+(Parameters!$F$12=Parameters!$E$15)*Parameters!$I$12*ISNUMBER(W107)),""))</f>
        <v>0.96</v>
      </c>
      <c r="AA107"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107+(Parameters!$F$12=Parameters!$E$16)*Parameters!$I$12*Y107)=0,"",IF(AND(((Parameters!$F$5=Parameters!$E$16)*Parameters!$I$5*ISNUMBER(P107)+(Parameters!$F$6=Parameters!$E$16)*Parameters!$I$6*ISNUMBER(Q107)+(Parameters!$F$7=Parameters!$E$16)*Parameters!$I$7*ISNUMBER(R107)+(Parameters!$F$8=Parameters!$E$16)*Parameters!$I$8*ISNUMBER(S107)+(Parameters!$F$9=Parameters!$E$16)*Parameters!$I$9*ISNUMBER(T107)+(Parameters!$F$10=Parameters!$E$16)*Parameters!$I$10*ISNUMBER(U107)+(Parameters!$F$11=Parameters!$E$16)*Parameters!$I$11*ISNUMBER(V107)+(Parameters!$F$12=Parameters!$E$16)*Parameters!$I$12*ISNUMBER(W107))&gt;0,((Parameters!$F$5=Parameters!$E$16)*Parameters!$I$5*ISNUMBER(P107)+(Parameters!$F$6=Parameters!$E$16)*Parameters!$I$6*ISNUMBER(Q107)+(Parameters!$F$7=Parameters!$E$16)*Parameters!$I$7*ISNUMBER(R107)+(Parameters!$F$8=Parameters!$E$16)*Parameters!$I$8*ISNUMBER(S107)+(Parameters!$F$9=Parameters!$E$16)*Parameters!$I$9*ISNUMBER(T107)+(Parameters!$F$10=Parameters!$E$16)*Parameters!$I$10*ISNUMBER(U107)+(Parameters!$F$11=Parameters!$E$16)*Parameters!$I$11*ISNUMBER(V107)+(Parameters!$F$12=Parameters!$E$16)*Parameters!$I$12*ISNUMBER(W107))/((Parameters!$F$5=Parameters!$E$16)*Parameters!$I$5*1+(Parameters!$F$6=Parameters!$E$16)*Parameters!$I$6*1+(Parameters!$F$7=Parameters!$E$16)*Parameters!$I$7*1+(Parameters!$F$8=Parameters!$E$16)*Parameters!$I$8*1+(Parameters!$F$9=Parameters!$E$16)*Parameters!$I$9*1+(Parameters!$F$10=Parameters!$E$16)*Parameters!$I$10*1+(Parameters!$F$11=Parameters!$E$16)*Parameters!$I$11*X107+(Parameters!$F$12=Parameters!$E$16)*Parameters!$I$12*Y107)&gt;=Parameters!$B$36),((Parameters!$F$5=Parameters!$E$16)*Parameters!$I$5*N(P107)+(Parameters!$F$6=Parameters!$E$16)*Parameters!$I$6*N(Q107)+(Parameters!$F$7=Parameters!$E$16)*Parameters!$I$7*N(R107)+(Parameters!$F$8=Parameters!$E$16)*Parameters!$I$8*N(S107)+(Parameters!$F$9=Parameters!$E$16)*Parameters!$I$9*N(T107)+(Parameters!$F$10=Parameters!$E$16)*Parameters!$I$10*N(U107)+(Parameters!$F$11=Parameters!$E$16)*Parameters!$I$11*N(V107)+(Parameters!$F$12=Parameters!$E$16)*Parameters!$I$12*N(W107))/((Parameters!$F$5=Parameters!$E$16)*Parameters!$I$5*ISNUMBER(P107)+(Parameters!$F$6=Parameters!$E$16)*Parameters!$I$6*ISNUMBER(Q107)+(Parameters!$F$7=Parameters!$E$16)*Parameters!$I$7*ISNUMBER(R107)+(Parameters!$F$8=Parameters!$E$16)*Parameters!$I$8*ISNUMBER(S107)+(Parameters!$F$9=Parameters!$E$16)*Parameters!$I$9*ISNUMBER(T107)+(Parameters!$F$10=Parameters!$E$16)*Parameters!$I$10*ISNUMBER(U107)+(Parameters!$F$11=Parameters!$E$16)*Parameters!$I$11*ISNUMBER(V107)+(Parameters!$F$12=Parameters!$E$16)*Parameters!$I$12*ISNUMBER(W107)),""))</f>
        <v>0.8</v>
      </c>
      <c r="AB107"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107+(Parameters!$F$12=Parameters!$E$17)*Parameters!$I$12*Y107)=0,"",IF(AND(((Parameters!$F$5=Parameters!$E$17)*Parameters!$I$5*ISNUMBER(P107)+(Parameters!$F$6=Parameters!$E$17)*Parameters!$I$6*ISNUMBER(Q107)+(Parameters!$F$7=Parameters!$E$17)*Parameters!$I$7*ISNUMBER(R107)+(Parameters!$F$8=Parameters!$E$17)*Parameters!$I$8*ISNUMBER(S107)+(Parameters!$F$9=Parameters!$E$17)*Parameters!$I$9*ISNUMBER(T107)+(Parameters!$F$10=Parameters!$E$17)*Parameters!$I$10*ISNUMBER(U107)+(Parameters!$F$11=Parameters!$E$17)*Parameters!$I$11*ISNUMBER(V107)+(Parameters!$F$12=Parameters!$E$17)*Parameters!$I$12*ISNUMBER(W107))&gt;0,((Parameters!$F$5=Parameters!$E$17)*Parameters!$I$5*ISNUMBER(P107)+(Parameters!$F$6=Parameters!$E$17)*Parameters!$I$6*ISNUMBER(Q107)+(Parameters!$F$7=Parameters!$E$17)*Parameters!$I$7*ISNUMBER(R107)+(Parameters!$F$8=Parameters!$E$17)*Parameters!$I$8*ISNUMBER(S107)+(Parameters!$F$9=Parameters!$E$17)*Parameters!$I$9*ISNUMBER(T107)+(Parameters!$F$10=Parameters!$E$17)*Parameters!$I$10*ISNUMBER(U107)+(Parameters!$F$11=Parameters!$E$17)*Parameters!$I$11*ISNUMBER(V107)+(Parameters!$F$12=Parameters!$E$17)*Parameters!$I$12*ISNUMBER(W107))/((Parameters!$F$5=Parameters!$E$17)*Parameters!$I$5*1+(Parameters!$F$6=Parameters!$E$17)*Parameters!$I$6*1+(Parameters!$F$7=Parameters!$E$17)*Parameters!$I$7*1+(Parameters!$F$8=Parameters!$E$17)*Parameters!$I$8*1+(Parameters!$F$9=Parameters!$E$17)*Parameters!$I$9*1+(Parameters!$F$10=Parameters!$E$17)*Parameters!$I$10*1+(Parameters!$F$11=Parameters!$E$17)*Parameters!$I$11*X107+(Parameters!$F$12=Parameters!$E$17)*Parameters!$I$12*Y107)&gt;=Parameters!$B$36),((Parameters!$F$5=Parameters!$E$17)*Parameters!$I$5*N(P107)+(Parameters!$F$6=Parameters!$E$17)*Parameters!$I$6*N(Q107)+(Parameters!$F$7=Parameters!$E$17)*Parameters!$I$7*N(R107)+(Parameters!$F$8=Parameters!$E$17)*Parameters!$I$8*N(S107)+(Parameters!$F$9=Parameters!$E$17)*Parameters!$I$9*N(T107)+(Parameters!$F$10=Parameters!$E$17)*Parameters!$I$10*N(U107)+(Parameters!$F$11=Parameters!$E$17)*Parameters!$I$11*N(V107)+(Parameters!$F$12=Parameters!$E$17)*Parameters!$I$12*N(W107))/((Parameters!$F$5=Parameters!$E$17)*Parameters!$I$5*ISNUMBER(P107)+(Parameters!$F$6=Parameters!$E$17)*Parameters!$I$6*ISNUMBER(Q107)+(Parameters!$F$7=Parameters!$E$17)*Parameters!$I$7*ISNUMBER(R107)+(Parameters!$F$8=Parameters!$E$17)*Parameters!$I$8*ISNUMBER(S107)+(Parameters!$F$9=Parameters!$E$17)*Parameters!$I$9*ISNUMBER(T107)+(Parameters!$F$10=Parameters!$E$17)*Parameters!$I$10*ISNUMBER(U107)+(Parameters!$F$11=Parameters!$E$17)*Parameters!$I$11*ISNUMBER(V107)+(Parameters!$F$12=Parameters!$E$17)*Parameters!$I$12*ISNUMBER(W107)),""))</f>
        <v/>
      </c>
      <c r="AC107" s="17" t="n">
        <f aca="false">Parameters!$I$5*ISNUMBER(P107)+Parameters!$I$6*ISNUMBER(Q107)+Parameters!$I$7*ISNUMBER(R107)+Parameters!$I$8*ISNUMBER(S107)+Parameters!$I$9*ISNUMBER(T107)+Parameters!$I$10*ISNUMBER(U107)+Parameters!$I$11*ISNUMBER(V107)+Parameters!$I$12*ISNUMBER(W107)</f>
        <v>75</v>
      </c>
      <c r="AD107" s="17" t="n">
        <f aca="false">Parameters!$I$5*1+Parameters!$I$6*1+Parameters!$I$7*1+Parameters!$I$8*1+Parameters!$I$9*1+Parameters!$I$10*1+Parameters!$I$11*X107+Parameters!$I$12*Y107</f>
        <v>75</v>
      </c>
      <c r="AE107" s="18" t="n">
        <f aca="false">IF(AD107=0,"",AC107/AD107)</f>
        <v>1</v>
      </c>
      <c r="AF107" s="17" t="str">
        <f aca="false">IF(ISNUMBER(Z107),"M","")&amp;IF(ISNUMBER(AA107),"I","")&amp;IF(ISNUMBER(AB107),"O","")</f>
        <v>MI</v>
      </c>
      <c r="AG107" s="19" t="n">
        <f aca="false">IF(AND(ISNUMBER(AE107),ISNUMBER(Z107)+ISNUMBER(AA107)+ISNUMBER(AB107)&gt;=Parameters!$B$37),IF(AE107&gt;=Parameters!$B$35,100*(Parameters!$F$15*N(Z107)+Parameters!$F$16*N(AA107)+Parameters!$F$17*N(AB107))/(Parameters!$F$15*ISNUMBER(Z107)+Parameters!$F$16*ISNUMBER(AA107)+Parameters!$F$17*ISNUMBER(AB107)),""),"")</f>
        <v>90</v>
      </c>
      <c r="AH107" s="17" t="n">
        <f aca="false">IF(ISNUMBER(AG107),RANK(AG107,$AG$2:$AG$113),"")</f>
        <v>24</v>
      </c>
    </row>
    <row r="108" customFormat="false" ht="15" hidden="false" customHeight="false" outlineLevel="0" collapsed="false">
      <c r="A108" s="5" t="s">
        <v>476</v>
      </c>
      <c r="B108" s="5" t="s">
        <v>303</v>
      </c>
      <c r="C108" s="5" t="s">
        <v>194</v>
      </c>
      <c r="D108" s="5" t="s">
        <v>31</v>
      </c>
      <c r="E108" s="5" t="s">
        <v>44</v>
      </c>
      <c r="F108" s="5" t="s">
        <v>208</v>
      </c>
      <c r="G108" s="15" t="s">
        <v>163</v>
      </c>
      <c r="H108" s="8" t="n">
        <v>1</v>
      </c>
      <c r="I108" s="5" t="s">
        <v>57</v>
      </c>
      <c r="J108" s="5" t="s">
        <v>74</v>
      </c>
      <c r="K108" s="15"/>
      <c r="L108" s="5" t="s">
        <v>76</v>
      </c>
      <c r="M108" s="5" t="s">
        <v>157</v>
      </c>
      <c r="N108" s="5" t="s">
        <v>173</v>
      </c>
      <c r="O108" s="5"/>
      <c r="P108" s="16" t="n">
        <f aca="false">IFERROR(IF(ISNUMBER(INDEX(Parameters!$B$5:$B$23,MATCH(D108,Parameters!$A$5:$A$23,0))),INDEX(Parameters!$B$5:$B$23,MATCH(D108,Parameters!$A$5:$A$23,0)),""),"")</f>
        <v>1</v>
      </c>
      <c r="Q108" s="16" t="n">
        <f aca="false">IFERROR(IF(ISNUMBER(INDEX(Parameters!$B$5:$B$23,MATCH(E108,Parameters!$A$5:$A$23,0))),INDEX(Parameters!$B$5:$B$23,MATCH(E108,Parameters!$A$5:$A$23,0)),""),"")</f>
        <v>1</v>
      </c>
      <c r="R108" s="16" t="n">
        <f aca="false">IF(F108="","",IFERROR(MIN(Parameters!$B$33,MAX(0,Parameters!$B$32-VALUE(LEFT(F108,4))))/Parameters!$B$33,""))</f>
        <v>0.2</v>
      </c>
      <c r="S108" s="16" t="n">
        <f aca="false">IF(ISNUMBER(H108),H108,IF(G108="",IF(ISNUMBER(Parameters!$B$34),Parameters!$B$34,""),""))</f>
        <v>1</v>
      </c>
      <c r="T108" s="16" t="n">
        <f aca="false">IFERROR(IF(ISNUMBER(INDEX(Parameters!$B$5:$B$23,MATCH(I108,Parameters!$A$5:$A$23,0))),INDEX(Parameters!$B$5:$B$23,MATCH(I108,Parameters!$A$5:$A$23,0)),""),"")</f>
        <v>0</v>
      </c>
      <c r="U108" s="16" t="n">
        <f aca="false">IFERROR(IF(ISNUMBER(INDEX(Parameters!$B$5:$B$23,MATCH(L108,Parameters!$A$5:$A$23,0))),INDEX(Parameters!$B$5:$B$23,MATCH(L108,Parameters!$A$5:$A$23,0)),""),"")</f>
        <v>1</v>
      </c>
      <c r="V108" s="16" t="str">
        <f aca="false">IFERROR(IF(ISNUMBER(INDEX(Parameters!$B$5:$B$23,MATCH(J108,Parameters!$A$5:$A$23,0))),INDEX(Parameters!$B$5:$B$23,MATCH(J108,Parameters!$A$5:$A$23,0)),""),"")</f>
        <v/>
      </c>
      <c r="W108" s="16" t="str">
        <f aca="false">IF(K108&lt;&gt;"",1,IF(COUNTIF(Parameters!$A$27:$A$28,J108)&gt;0,0,""))</f>
        <v/>
      </c>
      <c r="X108" s="17" t="n">
        <f aca="false">IF(J108="Not applicable",0,1)</f>
        <v>0</v>
      </c>
      <c r="Y108" s="17" t="n">
        <f aca="false">IF(OR(K108&lt;&gt;"",COUNTIF(Parameters!$A$27:$A$28,J108)&gt;0),1,0)</f>
        <v>0</v>
      </c>
      <c r="Z108"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108+(Parameters!$F$12=Parameters!$E$15)*Parameters!$I$12*Y108)=0,"",IF(AND(((Parameters!$F$5=Parameters!$E$15)*Parameters!$I$5*ISNUMBER(P108)+(Parameters!$F$6=Parameters!$E$15)*Parameters!$I$6*ISNUMBER(Q108)+(Parameters!$F$7=Parameters!$E$15)*Parameters!$I$7*ISNUMBER(R108)+(Parameters!$F$8=Parameters!$E$15)*Parameters!$I$8*ISNUMBER(S108)+(Parameters!$F$9=Parameters!$E$15)*Parameters!$I$9*ISNUMBER(T108)+(Parameters!$F$10=Parameters!$E$15)*Parameters!$I$10*ISNUMBER(U108)+(Parameters!$F$11=Parameters!$E$15)*Parameters!$I$11*ISNUMBER(V108)+(Parameters!$F$12=Parameters!$E$15)*Parameters!$I$12*ISNUMBER(W108))&gt;0,((Parameters!$F$5=Parameters!$E$15)*Parameters!$I$5*ISNUMBER(P108)+(Parameters!$F$6=Parameters!$E$15)*Parameters!$I$6*ISNUMBER(Q108)+(Parameters!$F$7=Parameters!$E$15)*Parameters!$I$7*ISNUMBER(R108)+(Parameters!$F$8=Parameters!$E$15)*Parameters!$I$8*ISNUMBER(S108)+(Parameters!$F$9=Parameters!$E$15)*Parameters!$I$9*ISNUMBER(T108)+(Parameters!$F$10=Parameters!$E$15)*Parameters!$I$10*ISNUMBER(U108)+(Parameters!$F$11=Parameters!$E$15)*Parameters!$I$11*ISNUMBER(V108)+(Parameters!$F$12=Parameters!$E$15)*Parameters!$I$12*ISNUMBER(W108))/((Parameters!$F$5=Parameters!$E$15)*Parameters!$I$5*1+(Parameters!$F$6=Parameters!$E$15)*Parameters!$I$6*1+(Parameters!$F$7=Parameters!$E$15)*Parameters!$I$7*1+(Parameters!$F$8=Parameters!$E$15)*Parameters!$I$8*1+(Parameters!$F$9=Parameters!$E$15)*Parameters!$I$9*1+(Parameters!$F$10=Parameters!$E$15)*Parameters!$I$10*1+(Parameters!$F$11=Parameters!$E$15)*Parameters!$I$11*X108+(Parameters!$F$12=Parameters!$E$15)*Parameters!$I$12*Y108)&gt;=Parameters!$B$36),((Parameters!$F$5=Parameters!$E$15)*Parameters!$I$5*N(P108)+(Parameters!$F$6=Parameters!$E$15)*Parameters!$I$6*N(Q108)+(Parameters!$F$7=Parameters!$E$15)*Parameters!$I$7*N(R108)+(Parameters!$F$8=Parameters!$E$15)*Parameters!$I$8*N(S108)+(Parameters!$F$9=Parameters!$E$15)*Parameters!$I$9*N(T108)+(Parameters!$F$10=Parameters!$E$15)*Parameters!$I$10*N(U108)+(Parameters!$F$11=Parameters!$E$15)*Parameters!$I$11*N(V108)+(Parameters!$F$12=Parameters!$E$15)*Parameters!$I$12*N(W108))/((Parameters!$F$5=Parameters!$E$15)*Parameters!$I$5*ISNUMBER(P108)+(Parameters!$F$6=Parameters!$E$15)*Parameters!$I$6*ISNUMBER(Q108)+(Parameters!$F$7=Parameters!$E$15)*Parameters!$I$7*ISNUMBER(R108)+(Parameters!$F$8=Parameters!$E$15)*Parameters!$I$8*ISNUMBER(S108)+(Parameters!$F$9=Parameters!$E$15)*Parameters!$I$9*ISNUMBER(T108)+(Parameters!$F$10=Parameters!$E$15)*Parameters!$I$10*ISNUMBER(U108)+(Parameters!$F$11=Parameters!$E$15)*Parameters!$I$11*ISNUMBER(V108)+(Parameters!$F$12=Parameters!$E$15)*Parameters!$I$12*ISNUMBER(W108)),""))</f>
        <v>0.92</v>
      </c>
      <c r="AA108"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108+(Parameters!$F$12=Parameters!$E$16)*Parameters!$I$12*Y108)=0,"",IF(AND(((Parameters!$F$5=Parameters!$E$16)*Parameters!$I$5*ISNUMBER(P108)+(Parameters!$F$6=Parameters!$E$16)*Parameters!$I$6*ISNUMBER(Q108)+(Parameters!$F$7=Parameters!$E$16)*Parameters!$I$7*ISNUMBER(R108)+(Parameters!$F$8=Parameters!$E$16)*Parameters!$I$8*ISNUMBER(S108)+(Parameters!$F$9=Parameters!$E$16)*Parameters!$I$9*ISNUMBER(T108)+(Parameters!$F$10=Parameters!$E$16)*Parameters!$I$10*ISNUMBER(U108)+(Parameters!$F$11=Parameters!$E$16)*Parameters!$I$11*ISNUMBER(V108)+(Parameters!$F$12=Parameters!$E$16)*Parameters!$I$12*ISNUMBER(W108))&gt;0,((Parameters!$F$5=Parameters!$E$16)*Parameters!$I$5*ISNUMBER(P108)+(Parameters!$F$6=Parameters!$E$16)*Parameters!$I$6*ISNUMBER(Q108)+(Parameters!$F$7=Parameters!$E$16)*Parameters!$I$7*ISNUMBER(R108)+(Parameters!$F$8=Parameters!$E$16)*Parameters!$I$8*ISNUMBER(S108)+(Parameters!$F$9=Parameters!$E$16)*Parameters!$I$9*ISNUMBER(T108)+(Parameters!$F$10=Parameters!$E$16)*Parameters!$I$10*ISNUMBER(U108)+(Parameters!$F$11=Parameters!$E$16)*Parameters!$I$11*ISNUMBER(V108)+(Parameters!$F$12=Parameters!$E$16)*Parameters!$I$12*ISNUMBER(W108))/((Parameters!$F$5=Parameters!$E$16)*Parameters!$I$5*1+(Parameters!$F$6=Parameters!$E$16)*Parameters!$I$6*1+(Parameters!$F$7=Parameters!$E$16)*Parameters!$I$7*1+(Parameters!$F$8=Parameters!$E$16)*Parameters!$I$8*1+(Parameters!$F$9=Parameters!$E$16)*Parameters!$I$9*1+(Parameters!$F$10=Parameters!$E$16)*Parameters!$I$10*1+(Parameters!$F$11=Parameters!$E$16)*Parameters!$I$11*X108+(Parameters!$F$12=Parameters!$E$16)*Parameters!$I$12*Y108)&gt;=Parameters!$B$36),((Parameters!$F$5=Parameters!$E$16)*Parameters!$I$5*N(P108)+(Parameters!$F$6=Parameters!$E$16)*Parameters!$I$6*N(Q108)+(Parameters!$F$7=Parameters!$E$16)*Parameters!$I$7*N(R108)+(Parameters!$F$8=Parameters!$E$16)*Parameters!$I$8*N(S108)+(Parameters!$F$9=Parameters!$E$16)*Parameters!$I$9*N(T108)+(Parameters!$F$10=Parameters!$E$16)*Parameters!$I$10*N(U108)+(Parameters!$F$11=Parameters!$E$16)*Parameters!$I$11*N(V108)+(Parameters!$F$12=Parameters!$E$16)*Parameters!$I$12*N(W108))/((Parameters!$F$5=Parameters!$E$16)*Parameters!$I$5*ISNUMBER(P108)+(Parameters!$F$6=Parameters!$E$16)*Parameters!$I$6*ISNUMBER(Q108)+(Parameters!$F$7=Parameters!$E$16)*Parameters!$I$7*ISNUMBER(R108)+(Parameters!$F$8=Parameters!$E$16)*Parameters!$I$8*ISNUMBER(S108)+(Parameters!$F$9=Parameters!$E$16)*Parameters!$I$9*ISNUMBER(T108)+(Parameters!$F$10=Parameters!$E$16)*Parameters!$I$10*ISNUMBER(U108)+(Parameters!$F$11=Parameters!$E$16)*Parameters!$I$11*ISNUMBER(V108)+(Parameters!$F$12=Parameters!$E$16)*Parameters!$I$12*ISNUMBER(W108)),""))</f>
        <v>0.8</v>
      </c>
      <c r="AB108"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108+(Parameters!$F$12=Parameters!$E$17)*Parameters!$I$12*Y108)=0,"",IF(AND(((Parameters!$F$5=Parameters!$E$17)*Parameters!$I$5*ISNUMBER(P108)+(Parameters!$F$6=Parameters!$E$17)*Parameters!$I$6*ISNUMBER(Q108)+(Parameters!$F$7=Parameters!$E$17)*Parameters!$I$7*ISNUMBER(R108)+(Parameters!$F$8=Parameters!$E$17)*Parameters!$I$8*ISNUMBER(S108)+(Parameters!$F$9=Parameters!$E$17)*Parameters!$I$9*ISNUMBER(T108)+(Parameters!$F$10=Parameters!$E$17)*Parameters!$I$10*ISNUMBER(U108)+(Parameters!$F$11=Parameters!$E$17)*Parameters!$I$11*ISNUMBER(V108)+(Parameters!$F$12=Parameters!$E$17)*Parameters!$I$12*ISNUMBER(W108))&gt;0,((Parameters!$F$5=Parameters!$E$17)*Parameters!$I$5*ISNUMBER(P108)+(Parameters!$F$6=Parameters!$E$17)*Parameters!$I$6*ISNUMBER(Q108)+(Parameters!$F$7=Parameters!$E$17)*Parameters!$I$7*ISNUMBER(R108)+(Parameters!$F$8=Parameters!$E$17)*Parameters!$I$8*ISNUMBER(S108)+(Parameters!$F$9=Parameters!$E$17)*Parameters!$I$9*ISNUMBER(T108)+(Parameters!$F$10=Parameters!$E$17)*Parameters!$I$10*ISNUMBER(U108)+(Parameters!$F$11=Parameters!$E$17)*Parameters!$I$11*ISNUMBER(V108)+(Parameters!$F$12=Parameters!$E$17)*Parameters!$I$12*ISNUMBER(W108))/((Parameters!$F$5=Parameters!$E$17)*Parameters!$I$5*1+(Parameters!$F$6=Parameters!$E$17)*Parameters!$I$6*1+(Parameters!$F$7=Parameters!$E$17)*Parameters!$I$7*1+(Parameters!$F$8=Parameters!$E$17)*Parameters!$I$8*1+(Parameters!$F$9=Parameters!$E$17)*Parameters!$I$9*1+(Parameters!$F$10=Parameters!$E$17)*Parameters!$I$10*1+(Parameters!$F$11=Parameters!$E$17)*Parameters!$I$11*X108+(Parameters!$F$12=Parameters!$E$17)*Parameters!$I$12*Y108)&gt;=Parameters!$B$36),((Parameters!$F$5=Parameters!$E$17)*Parameters!$I$5*N(P108)+(Parameters!$F$6=Parameters!$E$17)*Parameters!$I$6*N(Q108)+(Parameters!$F$7=Parameters!$E$17)*Parameters!$I$7*N(R108)+(Parameters!$F$8=Parameters!$E$17)*Parameters!$I$8*N(S108)+(Parameters!$F$9=Parameters!$E$17)*Parameters!$I$9*N(T108)+(Parameters!$F$10=Parameters!$E$17)*Parameters!$I$10*N(U108)+(Parameters!$F$11=Parameters!$E$17)*Parameters!$I$11*N(V108)+(Parameters!$F$12=Parameters!$E$17)*Parameters!$I$12*N(W108))/((Parameters!$F$5=Parameters!$E$17)*Parameters!$I$5*ISNUMBER(P108)+(Parameters!$F$6=Parameters!$E$17)*Parameters!$I$6*ISNUMBER(Q108)+(Parameters!$F$7=Parameters!$E$17)*Parameters!$I$7*ISNUMBER(R108)+(Parameters!$F$8=Parameters!$E$17)*Parameters!$I$8*ISNUMBER(S108)+(Parameters!$F$9=Parameters!$E$17)*Parameters!$I$9*ISNUMBER(T108)+(Parameters!$F$10=Parameters!$E$17)*Parameters!$I$10*ISNUMBER(U108)+(Parameters!$F$11=Parameters!$E$17)*Parameters!$I$11*ISNUMBER(V108)+(Parameters!$F$12=Parameters!$E$17)*Parameters!$I$12*ISNUMBER(W108)),""))</f>
        <v/>
      </c>
      <c r="AC108" s="17" t="n">
        <f aca="false">Parameters!$I$5*ISNUMBER(P108)+Parameters!$I$6*ISNUMBER(Q108)+Parameters!$I$7*ISNUMBER(R108)+Parameters!$I$8*ISNUMBER(S108)+Parameters!$I$9*ISNUMBER(T108)+Parameters!$I$10*ISNUMBER(U108)+Parameters!$I$11*ISNUMBER(V108)+Parameters!$I$12*ISNUMBER(W108)</f>
        <v>75</v>
      </c>
      <c r="AD108" s="17" t="n">
        <f aca="false">Parameters!$I$5*1+Parameters!$I$6*1+Parameters!$I$7*1+Parameters!$I$8*1+Parameters!$I$9*1+Parameters!$I$10*1+Parameters!$I$11*X108+Parameters!$I$12*Y108</f>
        <v>75</v>
      </c>
      <c r="AE108" s="18" t="n">
        <f aca="false">IF(AD108=0,"",AC108/AD108)</f>
        <v>1</v>
      </c>
      <c r="AF108" s="17" t="str">
        <f aca="false">IF(ISNUMBER(Z108),"M","")&amp;IF(ISNUMBER(AA108),"I","")&amp;IF(ISNUMBER(AB108),"O","")</f>
        <v>MI</v>
      </c>
      <c r="AG108" s="19" t="n">
        <f aca="false">IF(AND(ISNUMBER(AE108),ISNUMBER(Z108)+ISNUMBER(AA108)+ISNUMBER(AB108)&gt;=Parameters!$B$37),IF(AE108&gt;=Parameters!$B$35,100*(Parameters!$F$15*N(Z108)+Parameters!$F$16*N(AA108)+Parameters!$F$17*N(AB108))/(Parameters!$F$15*ISNUMBER(Z108)+Parameters!$F$16*ISNUMBER(AA108)+Parameters!$F$17*ISNUMBER(AB108)),""),"")</f>
        <v>87.5</v>
      </c>
      <c r="AH108" s="17" t="n">
        <f aca="false">IF(ISNUMBER(AG108),RANK(AG108,$AG$2:$AG$113),"")</f>
        <v>40</v>
      </c>
    </row>
    <row r="109" customFormat="false" ht="15" hidden="false" customHeight="false" outlineLevel="0" collapsed="false">
      <c r="A109" s="5" t="s">
        <v>477</v>
      </c>
      <c r="B109" s="5" t="s">
        <v>478</v>
      </c>
      <c r="C109" s="5" t="s">
        <v>479</v>
      </c>
      <c r="D109" s="5" t="s">
        <v>31</v>
      </c>
      <c r="E109" s="5" t="s">
        <v>44</v>
      </c>
      <c r="F109" s="5" t="s">
        <v>211</v>
      </c>
      <c r="G109" s="20" t="s">
        <v>480</v>
      </c>
      <c r="H109" s="8" t="n">
        <v>1</v>
      </c>
      <c r="I109" s="5" t="s">
        <v>57</v>
      </c>
      <c r="J109" s="5" t="s">
        <v>66</v>
      </c>
      <c r="K109" s="15"/>
      <c r="L109" s="5" t="s">
        <v>76</v>
      </c>
      <c r="M109" s="5" t="s">
        <v>141</v>
      </c>
      <c r="N109" s="5" t="s">
        <v>142</v>
      </c>
      <c r="O109" s="5" t="s">
        <v>71</v>
      </c>
      <c r="P109" s="16" t="n">
        <f aca="false">IFERROR(IF(ISNUMBER(INDEX(Parameters!$B$5:$B$23,MATCH(D109,Parameters!$A$5:$A$23,0))),INDEX(Parameters!$B$5:$B$23,MATCH(D109,Parameters!$A$5:$A$23,0)),""),"")</f>
        <v>1</v>
      </c>
      <c r="Q109" s="16" t="n">
        <f aca="false">IFERROR(IF(ISNUMBER(INDEX(Parameters!$B$5:$B$23,MATCH(E109,Parameters!$A$5:$A$23,0))),INDEX(Parameters!$B$5:$B$23,MATCH(E109,Parameters!$A$5:$A$23,0)),""),"")</f>
        <v>1</v>
      </c>
      <c r="R109" s="16" t="n">
        <f aca="false">IF(F109="","",IFERROR(MIN(Parameters!$B$33,MAX(0,Parameters!$B$32-VALUE(LEFT(F109,4))))/Parameters!$B$33,""))</f>
        <v>1</v>
      </c>
      <c r="S109" s="16" t="n">
        <f aca="false">IF(ISNUMBER(H109),H109,IF(G109="",IF(ISNUMBER(Parameters!$B$34),Parameters!$B$34,""),""))</f>
        <v>1</v>
      </c>
      <c r="T109" s="16" t="n">
        <f aca="false">IFERROR(IF(ISNUMBER(INDEX(Parameters!$B$5:$B$23,MATCH(I109,Parameters!$A$5:$A$23,0))),INDEX(Parameters!$B$5:$B$23,MATCH(I109,Parameters!$A$5:$A$23,0)),""),"")</f>
        <v>0</v>
      </c>
      <c r="U109" s="16" t="n">
        <f aca="false">IFERROR(IF(ISNUMBER(INDEX(Parameters!$B$5:$B$23,MATCH(L109,Parameters!$A$5:$A$23,0))),INDEX(Parameters!$B$5:$B$23,MATCH(L109,Parameters!$A$5:$A$23,0)),""),"")</f>
        <v>1</v>
      </c>
      <c r="V109" s="16" t="n">
        <f aca="false">IFERROR(IF(ISNUMBER(INDEX(Parameters!$B$5:$B$23,MATCH(J109,Parameters!$A$5:$A$23,0))),INDEX(Parameters!$B$5:$B$23,MATCH(J109,Parameters!$A$5:$A$23,0)),""),"")</f>
        <v>1</v>
      </c>
      <c r="W109" s="16" t="str">
        <f aca="false">IF(K109&lt;&gt;"",1,IF(COUNTIF(Parameters!$A$27:$A$28,J109)&gt;0,0,""))</f>
        <v/>
      </c>
      <c r="X109" s="17" t="n">
        <f aca="false">IF(J109="Not applicable",0,1)</f>
        <v>1</v>
      </c>
      <c r="Y109" s="17" t="n">
        <f aca="false">IF(OR(K109&lt;&gt;"",COUNTIF(Parameters!$A$27:$A$28,J109)&gt;0),1,0)</f>
        <v>0</v>
      </c>
      <c r="Z109"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109+(Parameters!$F$12=Parameters!$E$15)*Parameters!$I$12*Y109)=0,"",IF(AND(((Parameters!$F$5=Parameters!$E$15)*Parameters!$I$5*ISNUMBER(P109)+(Parameters!$F$6=Parameters!$E$15)*Parameters!$I$6*ISNUMBER(Q109)+(Parameters!$F$7=Parameters!$E$15)*Parameters!$I$7*ISNUMBER(R109)+(Parameters!$F$8=Parameters!$E$15)*Parameters!$I$8*ISNUMBER(S109)+(Parameters!$F$9=Parameters!$E$15)*Parameters!$I$9*ISNUMBER(T109)+(Parameters!$F$10=Parameters!$E$15)*Parameters!$I$10*ISNUMBER(U109)+(Parameters!$F$11=Parameters!$E$15)*Parameters!$I$11*ISNUMBER(V109)+(Parameters!$F$12=Parameters!$E$15)*Parameters!$I$12*ISNUMBER(W109))&gt;0,((Parameters!$F$5=Parameters!$E$15)*Parameters!$I$5*ISNUMBER(P109)+(Parameters!$F$6=Parameters!$E$15)*Parameters!$I$6*ISNUMBER(Q109)+(Parameters!$F$7=Parameters!$E$15)*Parameters!$I$7*ISNUMBER(R109)+(Parameters!$F$8=Parameters!$E$15)*Parameters!$I$8*ISNUMBER(S109)+(Parameters!$F$9=Parameters!$E$15)*Parameters!$I$9*ISNUMBER(T109)+(Parameters!$F$10=Parameters!$E$15)*Parameters!$I$10*ISNUMBER(U109)+(Parameters!$F$11=Parameters!$E$15)*Parameters!$I$11*ISNUMBER(V109)+(Parameters!$F$12=Parameters!$E$15)*Parameters!$I$12*ISNUMBER(W109))/((Parameters!$F$5=Parameters!$E$15)*Parameters!$I$5*1+(Parameters!$F$6=Parameters!$E$15)*Parameters!$I$6*1+(Parameters!$F$7=Parameters!$E$15)*Parameters!$I$7*1+(Parameters!$F$8=Parameters!$E$15)*Parameters!$I$8*1+(Parameters!$F$9=Parameters!$E$15)*Parameters!$I$9*1+(Parameters!$F$10=Parameters!$E$15)*Parameters!$I$10*1+(Parameters!$F$11=Parameters!$E$15)*Parameters!$I$11*X109+(Parameters!$F$12=Parameters!$E$15)*Parameters!$I$12*Y109)&gt;=Parameters!$B$36),((Parameters!$F$5=Parameters!$E$15)*Parameters!$I$5*N(P109)+(Parameters!$F$6=Parameters!$E$15)*Parameters!$I$6*N(Q109)+(Parameters!$F$7=Parameters!$E$15)*Parameters!$I$7*N(R109)+(Parameters!$F$8=Parameters!$E$15)*Parameters!$I$8*N(S109)+(Parameters!$F$9=Parameters!$E$15)*Parameters!$I$9*N(T109)+(Parameters!$F$10=Parameters!$E$15)*Parameters!$I$10*N(U109)+(Parameters!$F$11=Parameters!$E$15)*Parameters!$I$11*N(V109)+(Parameters!$F$12=Parameters!$E$15)*Parameters!$I$12*N(W109))/((Parameters!$F$5=Parameters!$E$15)*Parameters!$I$5*ISNUMBER(P109)+(Parameters!$F$6=Parameters!$E$15)*Parameters!$I$6*ISNUMBER(Q109)+(Parameters!$F$7=Parameters!$E$15)*Parameters!$I$7*ISNUMBER(R109)+(Parameters!$F$8=Parameters!$E$15)*Parameters!$I$8*ISNUMBER(S109)+(Parameters!$F$9=Parameters!$E$15)*Parameters!$I$9*ISNUMBER(T109)+(Parameters!$F$10=Parameters!$E$15)*Parameters!$I$10*ISNUMBER(U109)+(Parameters!$F$11=Parameters!$E$15)*Parameters!$I$11*ISNUMBER(V109)+(Parameters!$F$12=Parameters!$E$15)*Parameters!$I$12*ISNUMBER(W109)),""))</f>
        <v>1</v>
      </c>
      <c r="AA109"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109+(Parameters!$F$12=Parameters!$E$16)*Parameters!$I$12*Y109)=0,"",IF(AND(((Parameters!$F$5=Parameters!$E$16)*Parameters!$I$5*ISNUMBER(P109)+(Parameters!$F$6=Parameters!$E$16)*Parameters!$I$6*ISNUMBER(Q109)+(Parameters!$F$7=Parameters!$E$16)*Parameters!$I$7*ISNUMBER(R109)+(Parameters!$F$8=Parameters!$E$16)*Parameters!$I$8*ISNUMBER(S109)+(Parameters!$F$9=Parameters!$E$16)*Parameters!$I$9*ISNUMBER(T109)+(Parameters!$F$10=Parameters!$E$16)*Parameters!$I$10*ISNUMBER(U109)+(Parameters!$F$11=Parameters!$E$16)*Parameters!$I$11*ISNUMBER(V109)+(Parameters!$F$12=Parameters!$E$16)*Parameters!$I$12*ISNUMBER(W109))&gt;0,((Parameters!$F$5=Parameters!$E$16)*Parameters!$I$5*ISNUMBER(P109)+(Parameters!$F$6=Parameters!$E$16)*Parameters!$I$6*ISNUMBER(Q109)+(Parameters!$F$7=Parameters!$E$16)*Parameters!$I$7*ISNUMBER(R109)+(Parameters!$F$8=Parameters!$E$16)*Parameters!$I$8*ISNUMBER(S109)+(Parameters!$F$9=Parameters!$E$16)*Parameters!$I$9*ISNUMBER(T109)+(Parameters!$F$10=Parameters!$E$16)*Parameters!$I$10*ISNUMBER(U109)+(Parameters!$F$11=Parameters!$E$16)*Parameters!$I$11*ISNUMBER(V109)+(Parameters!$F$12=Parameters!$E$16)*Parameters!$I$12*ISNUMBER(W109))/((Parameters!$F$5=Parameters!$E$16)*Parameters!$I$5*1+(Parameters!$F$6=Parameters!$E$16)*Parameters!$I$6*1+(Parameters!$F$7=Parameters!$E$16)*Parameters!$I$7*1+(Parameters!$F$8=Parameters!$E$16)*Parameters!$I$8*1+(Parameters!$F$9=Parameters!$E$16)*Parameters!$I$9*1+(Parameters!$F$10=Parameters!$E$16)*Parameters!$I$10*1+(Parameters!$F$11=Parameters!$E$16)*Parameters!$I$11*X109+(Parameters!$F$12=Parameters!$E$16)*Parameters!$I$12*Y109)&gt;=Parameters!$B$36),((Parameters!$F$5=Parameters!$E$16)*Parameters!$I$5*N(P109)+(Parameters!$F$6=Parameters!$E$16)*Parameters!$I$6*N(Q109)+(Parameters!$F$7=Parameters!$E$16)*Parameters!$I$7*N(R109)+(Parameters!$F$8=Parameters!$E$16)*Parameters!$I$8*N(S109)+(Parameters!$F$9=Parameters!$E$16)*Parameters!$I$9*N(T109)+(Parameters!$F$10=Parameters!$E$16)*Parameters!$I$10*N(U109)+(Parameters!$F$11=Parameters!$E$16)*Parameters!$I$11*N(V109)+(Parameters!$F$12=Parameters!$E$16)*Parameters!$I$12*N(W109))/((Parameters!$F$5=Parameters!$E$16)*Parameters!$I$5*ISNUMBER(P109)+(Parameters!$F$6=Parameters!$E$16)*Parameters!$I$6*ISNUMBER(Q109)+(Parameters!$F$7=Parameters!$E$16)*Parameters!$I$7*ISNUMBER(R109)+(Parameters!$F$8=Parameters!$E$16)*Parameters!$I$8*ISNUMBER(S109)+(Parameters!$F$9=Parameters!$E$16)*Parameters!$I$9*ISNUMBER(T109)+(Parameters!$F$10=Parameters!$E$16)*Parameters!$I$10*ISNUMBER(U109)+(Parameters!$F$11=Parameters!$E$16)*Parameters!$I$11*ISNUMBER(V109)+(Parameters!$F$12=Parameters!$E$16)*Parameters!$I$12*ISNUMBER(W109)),""))</f>
        <v>0.8</v>
      </c>
      <c r="AB109"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109+(Parameters!$F$12=Parameters!$E$17)*Parameters!$I$12*Y109)=0,"",IF(AND(((Parameters!$F$5=Parameters!$E$17)*Parameters!$I$5*ISNUMBER(P109)+(Parameters!$F$6=Parameters!$E$17)*Parameters!$I$6*ISNUMBER(Q109)+(Parameters!$F$7=Parameters!$E$17)*Parameters!$I$7*ISNUMBER(R109)+(Parameters!$F$8=Parameters!$E$17)*Parameters!$I$8*ISNUMBER(S109)+(Parameters!$F$9=Parameters!$E$17)*Parameters!$I$9*ISNUMBER(T109)+(Parameters!$F$10=Parameters!$E$17)*Parameters!$I$10*ISNUMBER(U109)+(Parameters!$F$11=Parameters!$E$17)*Parameters!$I$11*ISNUMBER(V109)+(Parameters!$F$12=Parameters!$E$17)*Parameters!$I$12*ISNUMBER(W109))&gt;0,((Parameters!$F$5=Parameters!$E$17)*Parameters!$I$5*ISNUMBER(P109)+(Parameters!$F$6=Parameters!$E$17)*Parameters!$I$6*ISNUMBER(Q109)+(Parameters!$F$7=Parameters!$E$17)*Parameters!$I$7*ISNUMBER(R109)+(Parameters!$F$8=Parameters!$E$17)*Parameters!$I$8*ISNUMBER(S109)+(Parameters!$F$9=Parameters!$E$17)*Parameters!$I$9*ISNUMBER(T109)+(Parameters!$F$10=Parameters!$E$17)*Parameters!$I$10*ISNUMBER(U109)+(Parameters!$F$11=Parameters!$E$17)*Parameters!$I$11*ISNUMBER(V109)+(Parameters!$F$12=Parameters!$E$17)*Parameters!$I$12*ISNUMBER(W109))/((Parameters!$F$5=Parameters!$E$17)*Parameters!$I$5*1+(Parameters!$F$6=Parameters!$E$17)*Parameters!$I$6*1+(Parameters!$F$7=Parameters!$E$17)*Parameters!$I$7*1+(Parameters!$F$8=Parameters!$E$17)*Parameters!$I$8*1+(Parameters!$F$9=Parameters!$E$17)*Parameters!$I$9*1+(Parameters!$F$10=Parameters!$E$17)*Parameters!$I$10*1+(Parameters!$F$11=Parameters!$E$17)*Parameters!$I$11*X109+(Parameters!$F$12=Parameters!$E$17)*Parameters!$I$12*Y109)&gt;=Parameters!$B$36),((Parameters!$F$5=Parameters!$E$17)*Parameters!$I$5*N(P109)+(Parameters!$F$6=Parameters!$E$17)*Parameters!$I$6*N(Q109)+(Parameters!$F$7=Parameters!$E$17)*Parameters!$I$7*N(R109)+(Parameters!$F$8=Parameters!$E$17)*Parameters!$I$8*N(S109)+(Parameters!$F$9=Parameters!$E$17)*Parameters!$I$9*N(T109)+(Parameters!$F$10=Parameters!$E$17)*Parameters!$I$10*N(U109)+(Parameters!$F$11=Parameters!$E$17)*Parameters!$I$11*N(V109)+(Parameters!$F$12=Parameters!$E$17)*Parameters!$I$12*N(W109))/((Parameters!$F$5=Parameters!$E$17)*Parameters!$I$5*ISNUMBER(P109)+(Parameters!$F$6=Parameters!$E$17)*Parameters!$I$6*ISNUMBER(Q109)+(Parameters!$F$7=Parameters!$E$17)*Parameters!$I$7*ISNUMBER(R109)+(Parameters!$F$8=Parameters!$E$17)*Parameters!$I$8*ISNUMBER(S109)+(Parameters!$F$9=Parameters!$E$17)*Parameters!$I$9*ISNUMBER(T109)+(Parameters!$F$10=Parameters!$E$17)*Parameters!$I$10*ISNUMBER(U109)+(Parameters!$F$11=Parameters!$E$17)*Parameters!$I$11*ISNUMBER(V109)+(Parameters!$F$12=Parameters!$E$17)*Parameters!$I$12*ISNUMBER(W109)),""))</f>
        <v>1</v>
      </c>
      <c r="AC109" s="17" t="n">
        <f aca="false">Parameters!$I$5*ISNUMBER(P109)+Parameters!$I$6*ISNUMBER(Q109)+Parameters!$I$7*ISNUMBER(R109)+Parameters!$I$8*ISNUMBER(S109)+Parameters!$I$9*ISNUMBER(T109)+Parameters!$I$10*ISNUMBER(U109)+Parameters!$I$11*ISNUMBER(V109)+Parameters!$I$12*ISNUMBER(W109)</f>
        <v>85</v>
      </c>
      <c r="AD109" s="17" t="n">
        <f aca="false">Parameters!$I$5*1+Parameters!$I$6*1+Parameters!$I$7*1+Parameters!$I$8*1+Parameters!$I$9*1+Parameters!$I$10*1+Parameters!$I$11*X109+Parameters!$I$12*Y109</f>
        <v>85</v>
      </c>
      <c r="AE109" s="18" t="n">
        <f aca="false">IF(AD109=0,"",AC109/AD109)</f>
        <v>1</v>
      </c>
      <c r="AF109" s="17" t="str">
        <f aca="false">IF(ISNUMBER(Z109),"M","")&amp;IF(ISNUMBER(AA109),"I","")&amp;IF(ISNUMBER(AB109),"O","")</f>
        <v>MIO</v>
      </c>
      <c r="AG109" s="19" t="n">
        <f aca="false">IF(AND(ISNUMBER(AE109),ISNUMBER(Z109)+ISNUMBER(AA109)+ISNUMBER(AB109)&gt;=Parameters!$B$37),IF(AE109&gt;=Parameters!$B$35,100*(Parameters!$F$15*N(Z109)+Parameters!$F$16*N(AA109)+Parameters!$F$17*N(AB109))/(Parameters!$F$15*ISNUMBER(Z109)+Parameters!$F$16*ISNUMBER(AA109)+Parameters!$F$17*ISNUMBER(AB109)),""),"")</f>
        <v>94</v>
      </c>
      <c r="AH109" s="17" t="n">
        <f aca="false">IF(ISNUMBER(AG109),RANK(AG109,$AG$2:$AG$113),"")</f>
        <v>5</v>
      </c>
    </row>
    <row r="110" customFormat="false" ht="15" hidden="false" customHeight="false" outlineLevel="0" collapsed="false">
      <c r="A110" s="5" t="s">
        <v>481</v>
      </c>
      <c r="B110" s="5" t="s">
        <v>282</v>
      </c>
      <c r="C110" s="5" t="s">
        <v>482</v>
      </c>
      <c r="D110" s="5" t="s">
        <v>31</v>
      </c>
      <c r="E110" s="5" t="s">
        <v>44</v>
      </c>
      <c r="F110" s="5" t="s">
        <v>165</v>
      </c>
      <c r="G110" s="20" t="s">
        <v>483</v>
      </c>
      <c r="H110" s="8" t="n">
        <v>1</v>
      </c>
      <c r="I110" s="5" t="s">
        <v>57</v>
      </c>
      <c r="J110" s="5" t="s">
        <v>68</v>
      </c>
      <c r="K110" s="15" t="s">
        <v>484</v>
      </c>
      <c r="L110" s="5" t="s">
        <v>81</v>
      </c>
      <c r="M110" s="5" t="s">
        <v>136</v>
      </c>
      <c r="N110" s="5" t="s">
        <v>142</v>
      </c>
      <c r="O110" s="5" t="s">
        <v>71</v>
      </c>
      <c r="P110" s="16" t="n">
        <f aca="false">IFERROR(IF(ISNUMBER(INDEX(Parameters!$B$5:$B$23,MATCH(D110,Parameters!$A$5:$A$23,0))),INDEX(Parameters!$B$5:$B$23,MATCH(D110,Parameters!$A$5:$A$23,0)),""),"")</f>
        <v>1</v>
      </c>
      <c r="Q110" s="16" t="n">
        <f aca="false">IFERROR(IF(ISNUMBER(INDEX(Parameters!$B$5:$B$23,MATCH(E110,Parameters!$A$5:$A$23,0))),INDEX(Parameters!$B$5:$B$23,MATCH(E110,Parameters!$A$5:$A$23,0)),""),"")</f>
        <v>1</v>
      </c>
      <c r="R110" s="16" t="n">
        <f aca="false">IF(F110="","",IFERROR(MIN(Parameters!$B$33,MAX(0,Parameters!$B$32-VALUE(LEFT(F110,4))))/Parameters!$B$33,""))</f>
        <v>1</v>
      </c>
      <c r="S110" s="16" t="n">
        <f aca="false">IF(ISNUMBER(H110),H110,IF(G110="",IF(ISNUMBER(Parameters!$B$34),Parameters!$B$34,""),""))</f>
        <v>1</v>
      </c>
      <c r="T110" s="16" t="n">
        <f aca="false">IFERROR(IF(ISNUMBER(INDEX(Parameters!$B$5:$B$23,MATCH(I110,Parameters!$A$5:$A$23,0))),INDEX(Parameters!$B$5:$B$23,MATCH(I110,Parameters!$A$5:$A$23,0)),""),"")</f>
        <v>0</v>
      </c>
      <c r="U110" s="16" t="n">
        <f aca="false">IFERROR(IF(ISNUMBER(INDEX(Parameters!$B$5:$B$23,MATCH(L110,Parameters!$A$5:$A$23,0))),INDEX(Parameters!$B$5:$B$23,MATCH(L110,Parameters!$A$5:$A$23,0)),""),"")</f>
        <v>1</v>
      </c>
      <c r="V110" s="16" t="n">
        <f aca="false">IFERROR(IF(ISNUMBER(INDEX(Parameters!$B$5:$B$23,MATCH(J110,Parameters!$A$5:$A$23,0))),INDEX(Parameters!$B$5:$B$23,MATCH(J110,Parameters!$A$5:$A$23,0)),""),"")</f>
        <v>1</v>
      </c>
      <c r="W110" s="16" t="n">
        <f aca="false">IF(K110&lt;&gt;"",1,IF(COUNTIF(Parameters!$A$27:$A$28,J110)&gt;0,0,""))</f>
        <v>1</v>
      </c>
      <c r="X110" s="17" t="n">
        <f aca="false">IF(J110="Not applicable",0,1)</f>
        <v>1</v>
      </c>
      <c r="Y110" s="17" t="n">
        <f aca="false">IF(OR(K110&lt;&gt;"",COUNTIF(Parameters!$A$27:$A$28,J110)&gt;0),1,0)</f>
        <v>1</v>
      </c>
      <c r="Z110"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110+(Parameters!$F$12=Parameters!$E$15)*Parameters!$I$12*Y110)=0,"",IF(AND(((Parameters!$F$5=Parameters!$E$15)*Parameters!$I$5*ISNUMBER(P110)+(Parameters!$F$6=Parameters!$E$15)*Parameters!$I$6*ISNUMBER(Q110)+(Parameters!$F$7=Parameters!$E$15)*Parameters!$I$7*ISNUMBER(R110)+(Parameters!$F$8=Parameters!$E$15)*Parameters!$I$8*ISNUMBER(S110)+(Parameters!$F$9=Parameters!$E$15)*Parameters!$I$9*ISNUMBER(T110)+(Parameters!$F$10=Parameters!$E$15)*Parameters!$I$10*ISNUMBER(U110)+(Parameters!$F$11=Parameters!$E$15)*Parameters!$I$11*ISNUMBER(V110)+(Parameters!$F$12=Parameters!$E$15)*Parameters!$I$12*ISNUMBER(W110))&gt;0,((Parameters!$F$5=Parameters!$E$15)*Parameters!$I$5*ISNUMBER(P110)+(Parameters!$F$6=Parameters!$E$15)*Parameters!$I$6*ISNUMBER(Q110)+(Parameters!$F$7=Parameters!$E$15)*Parameters!$I$7*ISNUMBER(R110)+(Parameters!$F$8=Parameters!$E$15)*Parameters!$I$8*ISNUMBER(S110)+(Parameters!$F$9=Parameters!$E$15)*Parameters!$I$9*ISNUMBER(T110)+(Parameters!$F$10=Parameters!$E$15)*Parameters!$I$10*ISNUMBER(U110)+(Parameters!$F$11=Parameters!$E$15)*Parameters!$I$11*ISNUMBER(V110)+(Parameters!$F$12=Parameters!$E$15)*Parameters!$I$12*ISNUMBER(W110))/((Parameters!$F$5=Parameters!$E$15)*Parameters!$I$5*1+(Parameters!$F$6=Parameters!$E$15)*Parameters!$I$6*1+(Parameters!$F$7=Parameters!$E$15)*Parameters!$I$7*1+(Parameters!$F$8=Parameters!$E$15)*Parameters!$I$8*1+(Parameters!$F$9=Parameters!$E$15)*Parameters!$I$9*1+(Parameters!$F$10=Parameters!$E$15)*Parameters!$I$10*1+(Parameters!$F$11=Parameters!$E$15)*Parameters!$I$11*X110+(Parameters!$F$12=Parameters!$E$15)*Parameters!$I$12*Y110)&gt;=Parameters!$B$36),((Parameters!$F$5=Parameters!$E$15)*Parameters!$I$5*N(P110)+(Parameters!$F$6=Parameters!$E$15)*Parameters!$I$6*N(Q110)+(Parameters!$F$7=Parameters!$E$15)*Parameters!$I$7*N(R110)+(Parameters!$F$8=Parameters!$E$15)*Parameters!$I$8*N(S110)+(Parameters!$F$9=Parameters!$E$15)*Parameters!$I$9*N(T110)+(Parameters!$F$10=Parameters!$E$15)*Parameters!$I$10*N(U110)+(Parameters!$F$11=Parameters!$E$15)*Parameters!$I$11*N(V110)+(Parameters!$F$12=Parameters!$E$15)*Parameters!$I$12*N(W110))/((Parameters!$F$5=Parameters!$E$15)*Parameters!$I$5*ISNUMBER(P110)+(Parameters!$F$6=Parameters!$E$15)*Parameters!$I$6*ISNUMBER(Q110)+(Parameters!$F$7=Parameters!$E$15)*Parameters!$I$7*ISNUMBER(R110)+(Parameters!$F$8=Parameters!$E$15)*Parameters!$I$8*ISNUMBER(S110)+(Parameters!$F$9=Parameters!$E$15)*Parameters!$I$9*ISNUMBER(T110)+(Parameters!$F$10=Parameters!$E$15)*Parameters!$I$10*ISNUMBER(U110)+(Parameters!$F$11=Parameters!$E$15)*Parameters!$I$11*ISNUMBER(V110)+(Parameters!$F$12=Parameters!$E$15)*Parameters!$I$12*ISNUMBER(W110)),""))</f>
        <v>1</v>
      </c>
      <c r="AA110"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110+(Parameters!$F$12=Parameters!$E$16)*Parameters!$I$12*Y110)=0,"",IF(AND(((Parameters!$F$5=Parameters!$E$16)*Parameters!$I$5*ISNUMBER(P110)+(Parameters!$F$6=Parameters!$E$16)*Parameters!$I$6*ISNUMBER(Q110)+(Parameters!$F$7=Parameters!$E$16)*Parameters!$I$7*ISNUMBER(R110)+(Parameters!$F$8=Parameters!$E$16)*Parameters!$I$8*ISNUMBER(S110)+(Parameters!$F$9=Parameters!$E$16)*Parameters!$I$9*ISNUMBER(T110)+(Parameters!$F$10=Parameters!$E$16)*Parameters!$I$10*ISNUMBER(U110)+(Parameters!$F$11=Parameters!$E$16)*Parameters!$I$11*ISNUMBER(V110)+(Parameters!$F$12=Parameters!$E$16)*Parameters!$I$12*ISNUMBER(W110))&gt;0,((Parameters!$F$5=Parameters!$E$16)*Parameters!$I$5*ISNUMBER(P110)+(Parameters!$F$6=Parameters!$E$16)*Parameters!$I$6*ISNUMBER(Q110)+(Parameters!$F$7=Parameters!$E$16)*Parameters!$I$7*ISNUMBER(R110)+(Parameters!$F$8=Parameters!$E$16)*Parameters!$I$8*ISNUMBER(S110)+(Parameters!$F$9=Parameters!$E$16)*Parameters!$I$9*ISNUMBER(T110)+(Parameters!$F$10=Parameters!$E$16)*Parameters!$I$10*ISNUMBER(U110)+(Parameters!$F$11=Parameters!$E$16)*Parameters!$I$11*ISNUMBER(V110)+(Parameters!$F$12=Parameters!$E$16)*Parameters!$I$12*ISNUMBER(W110))/((Parameters!$F$5=Parameters!$E$16)*Parameters!$I$5*1+(Parameters!$F$6=Parameters!$E$16)*Parameters!$I$6*1+(Parameters!$F$7=Parameters!$E$16)*Parameters!$I$7*1+(Parameters!$F$8=Parameters!$E$16)*Parameters!$I$8*1+(Parameters!$F$9=Parameters!$E$16)*Parameters!$I$9*1+(Parameters!$F$10=Parameters!$E$16)*Parameters!$I$10*1+(Parameters!$F$11=Parameters!$E$16)*Parameters!$I$11*X110+(Parameters!$F$12=Parameters!$E$16)*Parameters!$I$12*Y110)&gt;=Parameters!$B$36),((Parameters!$F$5=Parameters!$E$16)*Parameters!$I$5*N(P110)+(Parameters!$F$6=Parameters!$E$16)*Parameters!$I$6*N(Q110)+(Parameters!$F$7=Parameters!$E$16)*Parameters!$I$7*N(R110)+(Parameters!$F$8=Parameters!$E$16)*Parameters!$I$8*N(S110)+(Parameters!$F$9=Parameters!$E$16)*Parameters!$I$9*N(T110)+(Parameters!$F$10=Parameters!$E$16)*Parameters!$I$10*N(U110)+(Parameters!$F$11=Parameters!$E$16)*Parameters!$I$11*N(V110)+(Parameters!$F$12=Parameters!$E$16)*Parameters!$I$12*N(W110))/((Parameters!$F$5=Parameters!$E$16)*Parameters!$I$5*ISNUMBER(P110)+(Parameters!$F$6=Parameters!$E$16)*Parameters!$I$6*ISNUMBER(Q110)+(Parameters!$F$7=Parameters!$E$16)*Parameters!$I$7*ISNUMBER(R110)+(Parameters!$F$8=Parameters!$E$16)*Parameters!$I$8*ISNUMBER(S110)+(Parameters!$F$9=Parameters!$E$16)*Parameters!$I$9*ISNUMBER(T110)+(Parameters!$F$10=Parameters!$E$16)*Parameters!$I$10*ISNUMBER(U110)+(Parameters!$F$11=Parameters!$E$16)*Parameters!$I$11*ISNUMBER(V110)+(Parameters!$F$12=Parameters!$E$16)*Parameters!$I$12*ISNUMBER(W110)),""))</f>
        <v>0.8</v>
      </c>
      <c r="AB110"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110+(Parameters!$F$12=Parameters!$E$17)*Parameters!$I$12*Y110)=0,"",IF(AND(((Parameters!$F$5=Parameters!$E$17)*Parameters!$I$5*ISNUMBER(P110)+(Parameters!$F$6=Parameters!$E$17)*Parameters!$I$6*ISNUMBER(Q110)+(Parameters!$F$7=Parameters!$E$17)*Parameters!$I$7*ISNUMBER(R110)+(Parameters!$F$8=Parameters!$E$17)*Parameters!$I$8*ISNUMBER(S110)+(Parameters!$F$9=Parameters!$E$17)*Parameters!$I$9*ISNUMBER(T110)+(Parameters!$F$10=Parameters!$E$17)*Parameters!$I$10*ISNUMBER(U110)+(Parameters!$F$11=Parameters!$E$17)*Parameters!$I$11*ISNUMBER(V110)+(Parameters!$F$12=Parameters!$E$17)*Parameters!$I$12*ISNUMBER(W110))&gt;0,((Parameters!$F$5=Parameters!$E$17)*Parameters!$I$5*ISNUMBER(P110)+(Parameters!$F$6=Parameters!$E$17)*Parameters!$I$6*ISNUMBER(Q110)+(Parameters!$F$7=Parameters!$E$17)*Parameters!$I$7*ISNUMBER(R110)+(Parameters!$F$8=Parameters!$E$17)*Parameters!$I$8*ISNUMBER(S110)+(Parameters!$F$9=Parameters!$E$17)*Parameters!$I$9*ISNUMBER(T110)+(Parameters!$F$10=Parameters!$E$17)*Parameters!$I$10*ISNUMBER(U110)+(Parameters!$F$11=Parameters!$E$17)*Parameters!$I$11*ISNUMBER(V110)+(Parameters!$F$12=Parameters!$E$17)*Parameters!$I$12*ISNUMBER(W110))/((Parameters!$F$5=Parameters!$E$17)*Parameters!$I$5*1+(Parameters!$F$6=Parameters!$E$17)*Parameters!$I$6*1+(Parameters!$F$7=Parameters!$E$17)*Parameters!$I$7*1+(Parameters!$F$8=Parameters!$E$17)*Parameters!$I$8*1+(Parameters!$F$9=Parameters!$E$17)*Parameters!$I$9*1+(Parameters!$F$10=Parameters!$E$17)*Parameters!$I$10*1+(Parameters!$F$11=Parameters!$E$17)*Parameters!$I$11*X110+(Parameters!$F$12=Parameters!$E$17)*Parameters!$I$12*Y110)&gt;=Parameters!$B$36),((Parameters!$F$5=Parameters!$E$17)*Parameters!$I$5*N(P110)+(Parameters!$F$6=Parameters!$E$17)*Parameters!$I$6*N(Q110)+(Parameters!$F$7=Parameters!$E$17)*Parameters!$I$7*N(R110)+(Parameters!$F$8=Parameters!$E$17)*Parameters!$I$8*N(S110)+(Parameters!$F$9=Parameters!$E$17)*Parameters!$I$9*N(T110)+(Parameters!$F$10=Parameters!$E$17)*Parameters!$I$10*N(U110)+(Parameters!$F$11=Parameters!$E$17)*Parameters!$I$11*N(V110)+(Parameters!$F$12=Parameters!$E$17)*Parameters!$I$12*N(W110))/((Parameters!$F$5=Parameters!$E$17)*Parameters!$I$5*ISNUMBER(P110)+(Parameters!$F$6=Parameters!$E$17)*Parameters!$I$6*ISNUMBER(Q110)+(Parameters!$F$7=Parameters!$E$17)*Parameters!$I$7*ISNUMBER(R110)+(Parameters!$F$8=Parameters!$E$17)*Parameters!$I$8*ISNUMBER(S110)+(Parameters!$F$9=Parameters!$E$17)*Parameters!$I$9*ISNUMBER(T110)+(Parameters!$F$10=Parameters!$E$17)*Parameters!$I$10*ISNUMBER(U110)+(Parameters!$F$11=Parameters!$E$17)*Parameters!$I$11*ISNUMBER(V110)+(Parameters!$F$12=Parameters!$E$17)*Parameters!$I$12*ISNUMBER(W110)),""))</f>
        <v>1</v>
      </c>
      <c r="AC110" s="17" t="n">
        <f aca="false">Parameters!$I$5*ISNUMBER(P110)+Parameters!$I$6*ISNUMBER(Q110)+Parameters!$I$7*ISNUMBER(R110)+Parameters!$I$8*ISNUMBER(S110)+Parameters!$I$9*ISNUMBER(T110)+Parameters!$I$10*ISNUMBER(U110)+Parameters!$I$11*ISNUMBER(V110)+Parameters!$I$12*ISNUMBER(W110)</f>
        <v>95</v>
      </c>
      <c r="AD110" s="17" t="n">
        <f aca="false">Parameters!$I$5*1+Parameters!$I$6*1+Parameters!$I$7*1+Parameters!$I$8*1+Parameters!$I$9*1+Parameters!$I$10*1+Parameters!$I$11*X110+Parameters!$I$12*Y110</f>
        <v>95</v>
      </c>
      <c r="AE110" s="18" t="n">
        <f aca="false">IF(AD110=0,"",AC110/AD110)</f>
        <v>1</v>
      </c>
      <c r="AF110" s="17" t="str">
        <f aca="false">IF(ISNUMBER(Z110),"M","")&amp;IF(ISNUMBER(AA110),"I","")&amp;IF(ISNUMBER(AB110),"O","")</f>
        <v>MIO</v>
      </c>
      <c r="AG110" s="19" t="n">
        <f aca="false">IF(AND(ISNUMBER(AE110),ISNUMBER(Z110)+ISNUMBER(AA110)+ISNUMBER(AB110)&gt;=Parameters!$B$37),IF(AE110&gt;=Parameters!$B$35,100*(Parameters!$F$15*N(Z110)+Parameters!$F$16*N(AA110)+Parameters!$F$17*N(AB110))/(Parameters!$F$15*ISNUMBER(Z110)+Parameters!$F$16*ISNUMBER(AA110)+Parameters!$F$17*ISNUMBER(AB110)),""),"")</f>
        <v>94</v>
      </c>
      <c r="AH110" s="17" t="n">
        <f aca="false">IF(ISNUMBER(AG110),RANK(AG110,$AG$2:$AG$113),"")</f>
        <v>5</v>
      </c>
    </row>
    <row r="111" customFormat="false" ht="15" hidden="false" customHeight="false" outlineLevel="0" collapsed="false">
      <c r="A111" s="5" t="s">
        <v>485</v>
      </c>
      <c r="B111" s="5" t="s">
        <v>486</v>
      </c>
      <c r="C111" s="5" t="s">
        <v>226</v>
      </c>
      <c r="D111" s="5" t="s">
        <v>31</v>
      </c>
      <c r="E111" s="5" t="s">
        <v>44</v>
      </c>
      <c r="F111" s="5" t="s">
        <v>182</v>
      </c>
      <c r="G111" s="15"/>
      <c r="H111" s="8"/>
      <c r="I111" s="5" t="s">
        <v>57</v>
      </c>
      <c r="J111" s="5" t="s">
        <v>68</v>
      </c>
      <c r="K111" s="15"/>
      <c r="L111" s="5" t="s">
        <v>76</v>
      </c>
      <c r="M111" s="5" t="s">
        <v>136</v>
      </c>
      <c r="N111" s="5"/>
      <c r="O111" s="5"/>
      <c r="P111" s="16" t="n">
        <f aca="false">IFERROR(IF(ISNUMBER(INDEX(Parameters!$B$5:$B$23,MATCH(D111,Parameters!$A$5:$A$23,0))),INDEX(Parameters!$B$5:$B$23,MATCH(D111,Parameters!$A$5:$A$23,0)),""),"")</f>
        <v>1</v>
      </c>
      <c r="Q111" s="16" t="n">
        <f aca="false">IFERROR(IF(ISNUMBER(INDEX(Parameters!$B$5:$B$23,MATCH(E111,Parameters!$A$5:$A$23,0))),INDEX(Parameters!$B$5:$B$23,MATCH(E111,Parameters!$A$5:$A$23,0)),""),"")</f>
        <v>1</v>
      </c>
      <c r="R111" s="16" t="n">
        <f aca="false">IF(F111="","",IFERROR(MIN(Parameters!$B$33,MAX(0,Parameters!$B$32-VALUE(LEFT(F111,4))))/Parameters!$B$33,""))</f>
        <v>1</v>
      </c>
      <c r="S111" s="16" t="str">
        <f aca="false">IF(ISNUMBER(H111),H111,IF(G111="",IF(ISNUMBER(Parameters!$B$34),Parameters!$B$34,""),""))</f>
        <v/>
      </c>
      <c r="T111" s="16" t="n">
        <f aca="false">IFERROR(IF(ISNUMBER(INDEX(Parameters!$B$5:$B$23,MATCH(I111,Parameters!$A$5:$A$23,0))),INDEX(Parameters!$B$5:$B$23,MATCH(I111,Parameters!$A$5:$A$23,0)),""),"")</f>
        <v>0</v>
      </c>
      <c r="U111" s="16" t="n">
        <f aca="false">IFERROR(IF(ISNUMBER(INDEX(Parameters!$B$5:$B$23,MATCH(L111,Parameters!$A$5:$A$23,0))),INDEX(Parameters!$B$5:$B$23,MATCH(L111,Parameters!$A$5:$A$23,0)),""),"")</f>
        <v>1</v>
      </c>
      <c r="V111" s="16" t="n">
        <f aca="false">IFERROR(IF(ISNUMBER(INDEX(Parameters!$B$5:$B$23,MATCH(J111,Parameters!$A$5:$A$23,0))),INDEX(Parameters!$B$5:$B$23,MATCH(J111,Parameters!$A$5:$A$23,0)),""),"")</f>
        <v>1</v>
      </c>
      <c r="W111" s="16" t="n">
        <f aca="false">IF(K111&lt;&gt;"",1,IF(COUNTIF(Parameters!$A$27:$A$28,J111)&gt;0,0,""))</f>
        <v>0</v>
      </c>
      <c r="X111" s="17" t="n">
        <f aca="false">IF(J111="Not applicable",0,1)</f>
        <v>1</v>
      </c>
      <c r="Y111" s="17" t="n">
        <f aca="false">IF(OR(K111&lt;&gt;"",COUNTIF(Parameters!$A$27:$A$28,J111)&gt;0),1,0)</f>
        <v>1</v>
      </c>
      <c r="Z111"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111+(Parameters!$F$12=Parameters!$E$15)*Parameters!$I$12*Y111)=0,"",IF(AND(((Parameters!$F$5=Parameters!$E$15)*Parameters!$I$5*ISNUMBER(P111)+(Parameters!$F$6=Parameters!$E$15)*Parameters!$I$6*ISNUMBER(Q111)+(Parameters!$F$7=Parameters!$E$15)*Parameters!$I$7*ISNUMBER(R111)+(Parameters!$F$8=Parameters!$E$15)*Parameters!$I$8*ISNUMBER(S111)+(Parameters!$F$9=Parameters!$E$15)*Parameters!$I$9*ISNUMBER(T111)+(Parameters!$F$10=Parameters!$E$15)*Parameters!$I$10*ISNUMBER(U111)+(Parameters!$F$11=Parameters!$E$15)*Parameters!$I$11*ISNUMBER(V111)+(Parameters!$F$12=Parameters!$E$15)*Parameters!$I$12*ISNUMBER(W111))&gt;0,((Parameters!$F$5=Parameters!$E$15)*Parameters!$I$5*ISNUMBER(P111)+(Parameters!$F$6=Parameters!$E$15)*Parameters!$I$6*ISNUMBER(Q111)+(Parameters!$F$7=Parameters!$E$15)*Parameters!$I$7*ISNUMBER(R111)+(Parameters!$F$8=Parameters!$E$15)*Parameters!$I$8*ISNUMBER(S111)+(Parameters!$F$9=Parameters!$E$15)*Parameters!$I$9*ISNUMBER(T111)+(Parameters!$F$10=Parameters!$E$15)*Parameters!$I$10*ISNUMBER(U111)+(Parameters!$F$11=Parameters!$E$15)*Parameters!$I$11*ISNUMBER(V111)+(Parameters!$F$12=Parameters!$E$15)*Parameters!$I$12*ISNUMBER(W111))/((Parameters!$F$5=Parameters!$E$15)*Parameters!$I$5*1+(Parameters!$F$6=Parameters!$E$15)*Parameters!$I$6*1+(Parameters!$F$7=Parameters!$E$15)*Parameters!$I$7*1+(Parameters!$F$8=Parameters!$E$15)*Parameters!$I$8*1+(Parameters!$F$9=Parameters!$E$15)*Parameters!$I$9*1+(Parameters!$F$10=Parameters!$E$15)*Parameters!$I$10*1+(Parameters!$F$11=Parameters!$E$15)*Parameters!$I$11*X111+(Parameters!$F$12=Parameters!$E$15)*Parameters!$I$12*Y111)&gt;=Parameters!$B$36),((Parameters!$F$5=Parameters!$E$15)*Parameters!$I$5*N(P111)+(Parameters!$F$6=Parameters!$E$15)*Parameters!$I$6*N(Q111)+(Parameters!$F$7=Parameters!$E$15)*Parameters!$I$7*N(R111)+(Parameters!$F$8=Parameters!$E$15)*Parameters!$I$8*N(S111)+(Parameters!$F$9=Parameters!$E$15)*Parameters!$I$9*N(T111)+(Parameters!$F$10=Parameters!$E$15)*Parameters!$I$10*N(U111)+(Parameters!$F$11=Parameters!$E$15)*Parameters!$I$11*N(V111)+(Parameters!$F$12=Parameters!$E$15)*Parameters!$I$12*N(W111))/((Parameters!$F$5=Parameters!$E$15)*Parameters!$I$5*ISNUMBER(P111)+(Parameters!$F$6=Parameters!$E$15)*Parameters!$I$6*ISNUMBER(Q111)+(Parameters!$F$7=Parameters!$E$15)*Parameters!$I$7*ISNUMBER(R111)+(Parameters!$F$8=Parameters!$E$15)*Parameters!$I$8*ISNUMBER(S111)+(Parameters!$F$9=Parameters!$E$15)*Parameters!$I$9*ISNUMBER(T111)+(Parameters!$F$10=Parameters!$E$15)*Parameters!$I$10*ISNUMBER(U111)+(Parameters!$F$11=Parameters!$E$15)*Parameters!$I$11*ISNUMBER(V111)+(Parameters!$F$12=Parameters!$E$15)*Parameters!$I$12*ISNUMBER(W111)),""))</f>
        <v>1</v>
      </c>
      <c r="AA111"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111+(Parameters!$F$12=Parameters!$E$16)*Parameters!$I$12*Y111)=0,"",IF(AND(((Parameters!$F$5=Parameters!$E$16)*Parameters!$I$5*ISNUMBER(P111)+(Parameters!$F$6=Parameters!$E$16)*Parameters!$I$6*ISNUMBER(Q111)+(Parameters!$F$7=Parameters!$E$16)*Parameters!$I$7*ISNUMBER(R111)+(Parameters!$F$8=Parameters!$E$16)*Parameters!$I$8*ISNUMBER(S111)+(Parameters!$F$9=Parameters!$E$16)*Parameters!$I$9*ISNUMBER(T111)+(Parameters!$F$10=Parameters!$E$16)*Parameters!$I$10*ISNUMBER(U111)+(Parameters!$F$11=Parameters!$E$16)*Parameters!$I$11*ISNUMBER(V111)+(Parameters!$F$12=Parameters!$E$16)*Parameters!$I$12*ISNUMBER(W111))&gt;0,((Parameters!$F$5=Parameters!$E$16)*Parameters!$I$5*ISNUMBER(P111)+(Parameters!$F$6=Parameters!$E$16)*Parameters!$I$6*ISNUMBER(Q111)+(Parameters!$F$7=Parameters!$E$16)*Parameters!$I$7*ISNUMBER(R111)+(Parameters!$F$8=Parameters!$E$16)*Parameters!$I$8*ISNUMBER(S111)+(Parameters!$F$9=Parameters!$E$16)*Parameters!$I$9*ISNUMBER(T111)+(Parameters!$F$10=Parameters!$E$16)*Parameters!$I$10*ISNUMBER(U111)+(Parameters!$F$11=Parameters!$E$16)*Parameters!$I$11*ISNUMBER(V111)+(Parameters!$F$12=Parameters!$E$16)*Parameters!$I$12*ISNUMBER(W111))/((Parameters!$F$5=Parameters!$E$16)*Parameters!$I$5*1+(Parameters!$F$6=Parameters!$E$16)*Parameters!$I$6*1+(Parameters!$F$7=Parameters!$E$16)*Parameters!$I$7*1+(Parameters!$F$8=Parameters!$E$16)*Parameters!$I$8*1+(Parameters!$F$9=Parameters!$E$16)*Parameters!$I$9*1+(Parameters!$F$10=Parameters!$E$16)*Parameters!$I$10*1+(Parameters!$F$11=Parameters!$E$16)*Parameters!$I$11*X111+(Parameters!$F$12=Parameters!$E$16)*Parameters!$I$12*Y111)&gt;=Parameters!$B$36),((Parameters!$F$5=Parameters!$E$16)*Parameters!$I$5*N(P111)+(Parameters!$F$6=Parameters!$E$16)*Parameters!$I$6*N(Q111)+(Parameters!$F$7=Parameters!$E$16)*Parameters!$I$7*N(R111)+(Parameters!$F$8=Parameters!$E$16)*Parameters!$I$8*N(S111)+(Parameters!$F$9=Parameters!$E$16)*Parameters!$I$9*N(T111)+(Parameters!$F$10=Parameters!$E$16)*Parameters!$I$10*N(U111)+(Parameters!$F$11=Parameters!$E$16)*Parameters!$I$11*N(V111)+(Parameters!$F$12=Parameters!$E$16)*Parameters!$I$12*N(W111))/((Parameters!$F$5=Parameters!$E$16)*Parameters!$I$5*ISNUMBER(P111)+(Parameters!$F$6=Parameters!$E$16)*Parameters!$I$6*ISNUMBER(Q111)+(Parameters!$F$7=Parameters!$E$16)*Parameters!$I$7*ISNUMBER(R111)+(Parameters!$F$8=Parameters!$E$16)*Parameters!$I$8*ISNUMBER(S111)+(Parameters!$F$9=Parameters!$E$16)*Parameters!$I$9*ISNUMBER(T111)+(Parameters!$F$10=Parameters!$E$16)*Parameters!$I$10*ISNUMBER(U111)+(Parameters!$F$11=Parameters!$E$16)*Parameters!$I$11*ISNUMBER(V111)+(Parameters!$F$12=Parameters!$E$16)*Parameters!$I$12*ISNUMBER(W111)),""))</f>
        <v>0.666666666666667</v>
      </c>
      <c r="AB111"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111+(Parameters!$F$12=Parameters!$E$17)*Parameters!$I$12*Y111)=0,"",IF(AND(((Parameters!$F$5=Parameters!$E$17)*Parameters!$I$5*ISNUMBER(P111)+(Parameters!$F$6=Parameters!$E$17)*Parameters!$I$6*ISNUMBER(Q111)+(Parameters!$F$7=Parameters!$E$17)*Parameters!$I$7*ISNUMBER(R111)+(Parameters!$F$8=Parameters!$E$17)*Parameters!$I$8*ISNUMBER(S111)+(Parameters!$F$9=Parameters!$E$17)*Parameters!$I$9*ISNUMBER(T111)+(Parameters!$F$10=Parameters!$E$17)*Parameters!$I$10*ISNUMBER(U111)+(Parameters!$F$11=Parameters!$E$17)*Parameters!$I$11*ISNUMBER(V111)+(Parameters!$F$12=Parameters!$E$17)*Parameters!$I$12*ISNUMBER(W111))&gt;0,((Parameters!$F$5=Parameters!$E$17)*Parameters!$I$5*ISNUMBER(P111)+(Parameters!$F$6=Parameters!$E$17)*Parameters!$I$6*ISNUMBER(Q111)+(Parameters!$F$7=Parameters!$E$17)*Parameters!$I$7*ISNUMBER(R111)+(Parameters!$F$8=Parameters!$E$17)*Parameters!$I$8*ISNUMBER(S111)+(Parameters!$F$9=Parameters!$E$17)*Parameters!$I$9*ISNUMBER(T111)+(Parameters!$F$10=Parameters!$E$17)*Parameters!$I$10*ISNUMBER(U111)+(Parameters!$F$11=Parameters!$E$17)*Parameters!$I$11*ISNUMBER(V111)+(Parameters!$F$12=Parameters!$E$17)*Parameters!$I$12*ISNUMBER(W111))/((Parameters!$F$5=Parameters!$E$17)*Parameters!$I$5*1+(Parameters!$F$6=Parameters!$E$17)*Parameters!$I$6*1+(Parameters!$F$7=Parameters!$E$17)*Parameters!$I$7*1+(Parameters!$F$8=Parameters!$E$17)*Parameters!$I$8*1+(Parameters!$F$9=Parameters!$E$17)*Parameters!$I$9*1+(Parameters!$F$10=Parameters!$E$17)*Parameters!$I$10*1+(Parameters!$F$11=Parameters!$E$17)*Parameters!$I$11*X111+(Parameters!$F$12=Parameters!$E$17)*Parameters!$I$12*Y111)&gt;=Parameters!$B$36),((Parameters!$F$5=Parameters!$E$17)*Parameters!$I$5*N(P111)+(Parameters!$F$6=Parameters!$E$17)*Parameters!$I$6*N(Q111)+(Parameters!$F$7=Parameters!$E$17)*Parameters!$I$7*N(R111)+(Parameters!$F$8=Parameters!$E$17)*Parameters!$I$8*N(S111)+(Parameters!$F$9=Parameters!$E$17)*Parameters!$I$9*N(T111)+(Parameters!$F$10=Parameters!$E$17)*Parameters!$I$10*N(U111)+(Parameters!$F$11=Parameters!$E$17)*Parameters!$I$11*N(V111)+(Parameters!$F$12=Parameters!$E$17)*Parameters!$I$12*N(W111))/((Parameters!$F$5=Parameters!$E$17)*Parameters!$I$5*ISNUMBER(P111)+(Parameters!$F$6=Parameters!$E$17)*Parameters!$I$6*ISNUMBER(Q111)+(Parameters!$F$7=Parameters!$E$17)*Parameters!$I$7*ISNUMBER(R111)+(Parameters!$F$8=Parameters!$E$17)*Parameters!$I$8*ISNUMBER(S111)+(Parameters!$F$9=Parameters!$E$17)*Parameters!$I$9*ISNUMBER(T111)+(Parameters!$F$10=Parameters!$E$17)*Parameters!$I$10*ISNUMBER(U111)+(Parameters!$F$11=Parameters!$E$17)*Parameters!$I$11*ISNUMBER(V111)+(Parameters!$F$12=Parameters!$E$17)*Parameters!$I$12*ISNUMBER(W111)),""))</f>
        <v>0.5</v>
      </c>
      <c r="AC111" s="17" t="n">
        <f aca="false">Parameters!$I$5*ISNUMBER(P111)+Parameters!$I$6*ISNUMBER(Q111)+Parameters!$I$7*ISNUMBER(R111)+Parameters!$I$8*ISNUMBER(S111)+Parameters!$I$9*ISNUMBER(T111)+Parameters!$I$10*ISNUMBER(U111)+Parameters!$I$11*ISNUMBER(V111)+Parameters!$I$12*ISNUMBER(W111)</f>
        <v>85</v>
      </c>
      <c r="AD111" s="17" t="n">
        <f aca="false">Parameters!$I$5*1+Parameters!$I$6*1+Parameters!$I$7*1+Parameters!$I$8*1+Parameters!$I$9*1+Parameters!$I$10*1+Parameters!$I$11*X111+Parameters!$I$12*Y111</f>
        <v>95</v>
      </c>
      <c r="AE111" s="18" t="n">
        <f aca="false">IF(AD111=0,"",AC111/AD111)</f>
        <v>0.894736842105263</v>
      </c>
      <c r="AF111" s="17" t="str">
        <f aca="false">IF(ISNUMBER(Z111),"M","")&amp;IF(ISNUMBER(AA111),"I","")&amp;IF(ISNUMBER(AB111),"O","")</f>
        <v>MIO</v>
      </c>
      <c r="AG111" s="19" t="n">
        <f aca="false">IF(AND(ISNUMBER(AE111),ISNUMBER(Z111)+ISNUMBER(AA111)+ISNUMBER(AB111)&gt;=Parameters!$B$37),IF(AE111&gt;=Parameters!$B$35,100*(Parameters!$F$15*N(Z111)+Parameters!$F$16*N(AA111)+Parameters!$F$17*N(AB111))/(Parameters!$F$15*ISNUMBER(Z111)+Parameters!$F$16*ISNUMBER(AA111)+Parameters!$F$17*ISNUMBER(AB111)),""),"")</f>
        <v>80</v>
      </c>
      <c r="AH111" s="17" t="n">
        <f aca="false">IF(ISNUMBER(AG111),RANK(AG111,$AG$2:$AG$113),"")</f>
        <v>73</v>
      </c>
    </row>
    <row r="112" customFormat="false" ht="15" hidden="false" customHeight="false" outlineLevel="0" collapsed="false">
      <c r="A112" s="5" t="s">
        <v>487</v>
      </c>
      <c r="B112" s="5" t="s">
        <v>335</v>
      </c>
      <c r="C112" s="5" t="s">
        <v>145</v>
      </c>
      <c r="D112" s="5" t="s">
        <v>31</v>
      </c>
      <c r="E112" s="5" t="s">
        <v>44</v>
      </c>
      <c r="F112" s="5" t="s">
        <v>151</v>
      </c>
      <c r="G112" s="15"/>
      <c r="H112" s="8"/>
      <c r="I112" s="5" t="s">
        <v>57</v>
      </c>
      <c r="J112" s="5" t="s">
        <v>74</v>
      </c>
      <c r="K112" s="15"/>
      <c r="L112" s="5" t="s">
        <v>79</v>
      </c>
      <c r="M112" s="5" t="s">
        <v>136</v>
      </c>
      <c r="N112" s="5"/>
      <c r="O112" s="5"/>
      <c r="P112" s="16" t="n">
        <f aca="false">IFERROR(IF(ISNUMBER(INDEX(Parameters!$B$5:$B$23,MATCH(D112,Parameters!$A$5:$A$23,0))),INDEX(Parameters!$B$5:$B$23,MATCH(D112,Parameters!$A$5:$A$23,0)),""),"")</f>
        <v>1</v>
      </c>
      <c r="Q112" s="16" t="n">
        <f aca="false">IFERROR(IF(ISNUMBER(INDEX(Parameters!$B$5:$B$23,MATCH(E112,Parameters!$A$5:$A$23,0))),INDEX(Parameters!$B$5:$B$23,MATCH(E112,Parameters!$A$5:$A$23,0)),""),"")</f>
        <v>1</v>
      </c>
      <c r="R112" s="16" t="n">
        <f aca="false">IF(F112="","",IFERROR(MIN(Parameters!$B$33,MAX(0,Parameters!$B$32-VALUE(LEFT(F112,4))))/Parameters!$B$33,""))</f>
        <v>0.866666666666667</v>
      </c>
      <c r="S112" s="16" t="str">
        <f aca="false">IF(ISNUMBER(H112),H112,IF(G112="",IF(ISNUMBER(Parameters!$B$34),Parameters!$B$34,""),""))</f>
        <v/>
      </c>
      <c r="T112" s="16" t="n">
        <f aca="false">IFERROR(IF(ISNUMBER(INDEX(Parameters!$B$5:$B$23,MATCH(I112,Parameters!$A$5:$A$23,0))),INDEX(Parameters!$B$5:$B$23,MATCH(I112,Parameters!$A$5:$A$23,0)),""),"")</f>
        <v>0</v>
      </c>
      <c r="U112" s="16" t="n">
        <f aca="false">IFERROR(IF(ISNUMBER(INDEX(Parameters!$B$5:$B$23,MATCH(L112,Parameters!$A$5:$A$23,0))),INDEX(Parameters!$B$5:$B$23,MATCH(L112,Parameters!$A$5:$A$23,0)),""),"")</f>
        <v>1</v>
      </c>
      <c r="V112" s="16" t="str">
        <f aca="false">IFERROR(IF(ISNUMBER(INDEX(Parameters!$B$5:$B$23,MATCH(J112,Parameters!$A$5:$A$23,0))),INDEX(Parameters!$B$5:$B$23,MATCH(J112,Parameters!$A$5:$A$23,0)),""),"")</f>
        <v/>
      </c>
      <c r="W112" s="16" t="str">
        <f aca="false">IF(K112&lt;&gt;"",1,IF(COUNTIF(Parameters!$A$27:$A$28,J112)&gt;0,0,""))</f>
        <v/>
      </c>
      <c r="X112" s="17" t="n">
        <f aca="false">IF(J112="Not applicable",0,1)</f>
        <v>0</v>
      </c>
      <c r="Y112" s="17" t="n">
        <f aca="false">IF(OR(K112&lt;&gt;"",COUNTIF(Parameters!$A$27:$A$28,J112)&gt;0),1,0)</f>
        <v>0</v>
      </c>
      <c r="Z112"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112+(Parameters!$F$12=Parameters!$E$15)*Parameters!$I$12*Y112)=0,"",IF(AND(((Parameters!$F$5=Parameters!$E$15)*Parameters!$I$5*ISNUMBER(P112)+(Parameters!$F$6=Parameters!$E$15)*Parameters!$I$6*ISNUMBER(Q112)+(Parameters!$F$7=Parameters!$E$15)*Parameters!$I$7*ISNUMBER(R112)+(Parameters!$F$8=Parameters!$E$15)*Parameters!$I$8*ISNUMBER(S112)+(Parameters!$F$9=Parameters!$E$15)*Parameters!$I$9*ISNUMBER(T112)+(Parameters!$F$10=Parameters!$E$15)*Parameters!$I$10*ISNUMBER(U112)+(Parameters!$F$11=Parameters!$E$15)*Parameters!$I$11*ISNUMBER(V112)+(Parameters!$F$12=Parameters!$E$15)*Parameters!$I$12*ISNUMBER(W112))&gt;0,((Parameters!$F$5=Parameters!$E$15)*Parameters!$I$5*ISNUMBER(P112)+(Parameters!$F$6=Parameters!$E$15)*Parameters!$I$6*ISNUMBER(Q112)+(Parameters!$F$7=Parameters!$E$15)*Parameters!$I$7*ISNUMBER(R112)+(Parameters!$F$8=Parameters!$E$15)*Parameters!$I$8*ISNUMBER(S112)+(Parameters!$F$9=Parameters!$E$15)*Parameters!$I$9*ISNUMBER(T112)+(Parameters!$F$10=Parameters!$E$15)*Parameters!$I$10*ISNUMBER(U112)+(Parameters!$F$11=Parameters!$E$15)*Parameters!$I$11*ISNUMBER(V112)+(Parameters!$F$12=Parameters!$E$15)*Parameters!$I$12*ISNUMBER(W112))/((Parameters!$F$5=Parameters!$E$15)*Parameters!$I$5*1+(Parameters!$F$6=Parameters!$E$15)*Parameters!$I$6*1+(Parameters!$F$7=Parameters!$E$15)*Parameters!$I$7*1+(Parameters!$F$8=Parameters!$E$15)*Parameters!$I$8*1+(Parameters!$F$9=Parameters!$E$15)*Parameters!$I$9*1+(Parameters!$F$10=Parameters!$E$15)*Parameters!$I$10*1+(Parameters!$F$11=Parameters!$E$15)*Parameters!$I$11*X112+(Parameters!$F$12=Parameters!$E$15)*Parameters!$I$12*Y112)&gt;=Parameters!$B$36),((Parameters!$F$5=Parameters!$E$15)*Parameters!$I$5*N(P112)+(Parameters!$F$6=Parameters!$E$15)*Parameters!$I$6*N(Q112)+(Parameters!$F$7=Parameters!$E$15)*Parameters!$I$7*N(R112)+(Parameters!$F$8=Parameters!$E$15)*Parameters!$I$8*N(S112)+(Parameters!$F$9=Parameters!$E$15)*Parameters!$I$9*N(T112)+(Parameters!$F$10=Parameters!$E$15)*Parameters!$I$10*N(U112)+(Parameters!$F$11=Parameters!$E$15)*Parameters!$I$11*N(V112)+(Parameters!$F$12=Parameters!$E$15)*Parameters!$I$12*N(W112))/((Parameters!$F$5=Parameters!$E$15)*Parameters!$I$5*ISNUMBER(P112)+(Parameters!$F$6=Parameters!$E$15)*Parameters!$I$6*ISNUMBER(Q112)+(Parameters!$F$7=Parameters!$E$15)*Parameters!$I$7*ISNUMBER(R112)+(Parameters!$F$8=Parameters!$E$15)*Parameters!$I$8*ISNUMBER(S112)+(Parameters!$F$9=Parameters!$E$15)*Parameters!$I$9*ISNUMBER(T112)+(Parameters!$F$10=Parameters!$E$15)*Parameters!$I$10*ISNUMBER(U112)+(Parameters!$F$11=Parameters!$E$15)*Parameters!$I$11*ISNUMBER(V112)+(Parameters!$F$12=Parameters!$E$15)*Parameters!$I$12*ISNUMBER(W112)),""))</f>
        <v>0.986666666666667</v>
      </c>
      <c r="AA112"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112+(Parameters!$F$12=Parameters!$E$16)*Parameters!$I$12*Y112)=0,"",IF(AND(((Parameters!$F$5=Parameters!$E$16)*Parameters!$I$5*ISNUMBER(P112)+(Parameters!$F$6=Parameters!$E$16)*Parameters!$I$6*ISNUMBER(Q112)+(Parameters!$F$7=Parameters!$E$16)*Parameters!$I$7*ISNUMBER(R112)+(Parameters!$F$8=Parameters!$E$16)*Parameters!$I$8*ISNUMBER(S112)+(Parameters!$F$9=Parameters!$E$16)*Parameters!$I$9*ISNUMBER(T112)+(Parameters!$F$10=Parameters!$E$16)*Parameters!$I$10*ISNUMBER(U112)+(Parameters!$F$11=Parameters!$E$16)*Parameters!$I$11*ISNUMBER(V112)+(Parameters!$F$12=Parameters!$E$16)*Parameters!$I$12*ISNUMBER(W112))&gt;0,((Parameters!$F$5=Parameters!$E$16)*Parameters!$I$5*ISNUMBER(P112)+(Parameters!$F$6=Parameters!$E$16)*Parameters!$I$6*ISNUMBER(Q112)+(Parameters!$F$7=Parameters!$E$16)*Parameters!$I$7*ISNUMBER(R112)+(Parameters!$F$8=Parameters!$E$16)*Parameters!$I$8*ISNUMBER(S112)+(Parameters!$F$9=Parameters!$E$16)*Parameters!$I$9*ISNUMBER(T112)+(Parameters!$F$10=Parameters!$E$16)*Parameters!$I$10*ISNUMBER(U112)+(Parameters!$F$11=Parameters!$E$16)*Parameters!$I$11*ISNUMBER(V112)+(Parameters!$F$12=Parameters!$E$16)*Parameters!$I$12*ISNUMBER(W112))/((Parameters!$F$5=Parameters!$E$16)*Parameters!$I$5*1+(Parameters!$F$6=Parameters!$E$16)*Parameters!$I$6*1+(Parameters!$F$7=Parameters!$E$16)*Parameters!$I$7*1+(Parameters!$F$8=Parameters!$E$16)*Parameters!$I$8*1+(Parameters!$F$9=Parameters!$E$16)*Parameters!$I$9*1+(Parameters!$F$10=Parameters!$E$16)*Parameters!$I$10*1+(Parameters!$F$11=Parameters!$E$16)*Parameters!$I$11*X112+(Parameters!$F$12=Parameters!$E$16)*Parameters!$I$12*Y112)&gt;=Parameters!$B$36),((Parameters!$F$5=Parameters!$E$16)*Parameters!$I$5*N(P112)+(Parameters!$F$6=Parameters!$E$16)*Parameters!$I$6*N(Q112)+(Parameters!$F$7=Parameters!$E$16)*Parameters!$I$7*N(R112)+(Parameters!$F$8=Parameters!$E$16)*Parameters!$I$8*N(S112)+(Parameters!$F$9=Parameters!$E$16)*Parameters!$I$9*N(T112)+(Parameters!$F$10=Parameters!$E$16)*Parameters!$I$10*N(U112)+(Parameters!$F$11=Parameters!$E$16)*Parameters!$I$11*N(V112)+(Parameters!$F$12=Parameters!$E$16)*Parameters!$I$12*N(W112))/((Parameters!$F$5=Parameters!$E$16)*Parameters!$I$5*ISNUMBER(P112)+(Parameters!$F$6=Parameters!$E$16)*Parameters!$I$6*ISNUMBER(Q112)+(Parameters!$F$7=Parameters!$E$16)*Parameters!$I$7*ISNUMBER(R112)+(Parameters!$F$8=Parameters!$E$16)*Parameters!$I$8*ISNUMBER(S112)+(Parameters!$F$9=Parameters!$E$16)*Parameters!$I$9*ISNUMBER(T112)+(Parameters!$F$10=Parameters!$E$16)*Parameters!$I$10*ISNUMBER(U112)+(Parameters!$F$11=Parameters!$E$16)*Parameters!$I$11*ISNUMBER(V112)+(Parameters!$F$12=Parameters!$E$16)*Parameters!$I$12*ISNUMBER(W112)),""))</f>
        <v>0.666666666666667</v>
      </c>
      <c r="AB112" s="16" t="str">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112+(Parameters!$F$12=Parameters!$E$17)*Parameters!$I$12*Y112)=0,"",IF(AND(((Parameters!$F$5=Parameters!$E$17)*Parameters!$I$5*ISNUMBER(P112)+(Parameters!$F$6=Parameters!$E$17)*Parameters!$I$6*ISNUMBER(Q112)+(Parameters!$F$7=Parameters!$E$17)*Parameters!$I$7*ISNUMBER(R112)+(Parameters!$F$8=Parameters!$E$17)*Parameters!$I$8*ISNUMBER(S112)+(Parameters!$F$9=Parameters!$E$17)*Parameters!$I$9*ISNUMBER(T112)+(Parameters!$F$10=Parameters!$E$17)*Parameters!$I$10*ISNUMBER(U112)+(Parameters!$F$11=Parameters!$E$17)*Parameters!$I$11*ISNUMBER(V112)+(Parameters!$F$12=Parameters!$E$17)*Parameters!$I$12*ISNUMBER(W112))&gt;0,((Parameters!$F$5=Parameters!$E$17)*Parameters!$I$5*ISNUMBER(P112)+(Parameters!$F$6=Parameters!$E$17)*Parameters!$I$6*ISNUMBER(Q112)+(Parameters!$F$7=Parameters!$E$17)*Parameters!$I$7*ISNUMBER(R112)+(Parameters!$F$8=Parameters!$E$17)*Parameters!$I$8*ISNUMBER(S112)+(Parameters!$F$9=Parameters!$E$17)*Parameters!$I$9*ISNUMBER(T112)+(Parameters!$F$10=Parameters!$E$17)*Parameters!$I$10*ISNUMBER(U112)+(Parameters!$F$11=Parameters!$E$17)*Parameters!$I$11*ISNUMBER(V112)+(Parameters!$F$12=Parameters!$E$17)*Parameters!$I$12*ISNUMBER(W112))/((Parameters!$F$5=Parameters!$E$17)*Parameters!$I$5*1+(Parameters!$F$6=Parameters!$E$17)*Parameters!$I$6*1+(Parameters!$F$7=Parameters!$E$17)*Parameters!$I$7*1+(Parameters!$F$8=Parameters!$E$17)*Parameters!$I$8*1+(Parameters!$F$9=Parameters!$E$17)*Parameters!$I$9*1+(Parameters!$F$10=Parameters!$E$17)*Parameters!$I$10*1+(Parameters!$F$11=Parameters!$E$17)*Parameters!$I$11*X112+(Parameters!$F$12=Parameters!$E$17)*Parameters!$I$12*Y112)&gt;=Parameters!$B$36),((Parameters!$F$5=Parameters!$E$17)*Parameters!$I$5*N(P112)+(Parameters!$F$6=Parameters!$E$17)*Parameters!$I$6*N(Q112)+(Parameters!$F$7=Parameters!$E$17)*Parameters!$I$7*N(R112)+(Parameters!$F$8=Parameters!$E$17)*Parameters!$I$8*N(S112)+(Parameters!$F$9=Parameters!$E$17)*Parameters!$I$9*N(T112)+(Parameters!$F$10=Parameters!$E$17)*Parameters!$I$10*N(U112)+(Parameters!$F$11=Parameters!$E$17)*Parameters!$I$11*N(V112)+(Parameters!$F$12=Parameters!$E$17)*Parameters!$I$12*N(W112))/((Parameters!$F$5=Parameters!$E$17)*Parameters!$I$5*ISNUMBER(P112)+(Parameters!$F$6=Parameters!$E$17)*Parameters!$I$6*ISNUMBER(Q112)+(Parameters!$F$7=Parameters!$E$17)*Parameters!$I$7*ISNUMBER(R112)+(Parameters!$F$8=Parameters!$E$17)*Parameters!$I$8*ISNUMBER(S112)+(Parameters!$F$9=Parameters!$E$17)*Parameters!$I$9*ISNUMBER(T112)+(Parameters!$F$10=Parameters!$E$17)*Parameters!$I$10*ISNUMBER(U112)+(Parameters!$F$11=Parameters!$E$17)*Parameters!$I$11*ISNUMBER(V112)+(Parameters!$F$12=Parameters!$E$17)*Parameters!$I$12*ISNUMBER(W112)),""))</f>
        <v/>
      </c>
      <c r="AC112" s="17" t="n">
        <f aca="false">Parameters!$I$5*ISNUMBER(P112)+Parameters!$I$6*ISNUMBER(Q112)+Parameters!$I$7*ISNUMBER(R112)+Parameters!$I$8*ISNUMBER(S112)+Parameters!$I$9*ISNUMBER(T112)+Parameters!$I$10*ISNUMBER(U112)+Parameters!$I$11*ISNUMBER(V112)+Parameters!$I$12*ISNUMBER(W112)</f>
        <v>65</v>
      </c>
      <c r="AD112" s="17" t="n">
        <f aca="false">Parameters!$I$5*1+Parameters!$I$6*1+Parameters!$I$7*1+Parameters!$I$8*1+Parameters!$I$9*1+Parameters!$I$10*1+Parameters!$I$11*X112+Parameters!$I$12*Y112</f>
        <v>75</v>
      </c>
      <c r="AE112" s="18" t="n">
        <f aca="false">IF(AD112=0,"",AC112/AD112)</f>
        <v>0.866666666666667</v>
      </c>
      <c r="AF112" s="17" t="str">
        <f aca="false">IF(ISNUMBER(Z112),"M","")&amp;IF(ISNUMBER(AA112),"I","")&amp;IF(ISNUMBER(AB112),"O","")</f>
        <v>MI</v>
      </c>
      <c r="AG112" s="19" t="n">
        <f aca="false">IF(AND(ISNUMBER(AE112),ISNUMBER(Z112)+ISNUMBER(AA112)+ISNUMBER(AB112)&gt;=Parameters!$B$37),IF(AE112&gt;=Parameters!$B$35,100*(Parameters!$F$15*N(Z112)+Parameters!$F$16*N(AA112)+Parameters!$F$17*N(AB112))/(Parameters!$F$15*ISNUMBER(Z112)+Parameters!$F$16*ISNUMBER(AA112)+Parameters!$F$17*ISNUMBER(AB112)),""),"")</f>
        <v>86.6666666666667</v>
      </c>
      <c r="AH112" s="17" t="n">
        <f aca="false">IF(ISNUMBER(AG112),RANK(AG112,$AG$2:$AG$113),"")</f>
        <v>52</v>
      </c>
    </row>
    <row r="113" customFormat="false" ht="15" hidden="false" customHeight="false" outlineLevel="0" collapsed="false">
      <c r="A113" s="5" t="s">
        <v>488</v>
      </c>
      <c r="B113" s="5" t="s">
        <v>379</v>
      </c>
      <c r="C113" s="5" t="s">
        <v>437</v>
      </c>
      <c r="D113" s="5" t="s">
        <v>31</v>
      </c>
      <c r="E113" s="5" t="s">
        <v>44</v>
      </c>
      <c r="F113" s="5" t="s">
        <v>200</v>
      </c>
      <c r="G113" s="15" t="s">
        <v>183</v>
      </c>
      <c r="H113" s="8" t="n">
        <v>0</v>
      </c>
      <c r="I113" s="5" t="s">
        <v>57</v>
      </c>
      <c r="J113" s="5" t="s">
        <v>66</v>
      </c>
      <c r="K113" s="15"/>
      <c r="L113" s="5" t="s">
        <v>81</v>
      </c>
      <c r="M113" s="5" t="s">
        <v>141</v>
      </c>
      <c r="N113" s="5"/>
      <c r="O113" s="5"/>
      <c r="P113" s="16" t="n">
        <f aca="false">IFERROR(IF(ISNUMBER(INDEX(Parameters!$B$5:$B$23,MATCH(D113,Parameters!$A$5:$A$23,0))),INDEX(Parameters!$B$5:$B$23,MATCH(D113,Parameters!$A$5:$A$23,0)),""),"")</f>
        <v>1</v>
      </c>
      <c r="Q113" s="16" t="n">
        <f aca="false">IFERROR(IF(ISNUMBER(INDEX(Parameters!$B$5:$B$23,MATCH(E113,Parameters!$A$5:$A$23,0))),INDEX(Parameters!$B$5:$B$23,MATCH(E113,Parameters!$A$5:$A$23,0)),""),"")</f>
        <v>1</v>
      </c>
      <c r="R113" s="16" t="n">
        <f aca="false">IF(F113="","",IFERROR(MIN(Parameters!$B$33,MAX(0,Parameters!$B$32-VALUE(LEFT(F113,4))))/Parameters!$B$33,""))</f>
        <v>1</v>
      </c>
      <c r="S113" s="16" t="n">
        <f aca="false">IF(ISNUMBER(H113),H113,IF(G113="",IF(ISNUMBER(Parameters!$B$34),Parameters!$B$34,""),""))</f>
        <v>0</v>
      </c>
      <c r="T113" s="16" t="n">
        <f aca="false">IFERROR(IF(ISNUMBER(INDEX(Parameters!$B$5:$B$23,MATCH(I113,Parameters!$A$5:$A$23,0))),INDEX(Parameters!$B$5:$B$23,MATCH(I113,Parameters!$A$5:$A$23,0)),""),"")</f>
        <v>0</v>
      </c>
      <c r="U113" s="16" t="n">
        <f aca="false">IFERROR(IF(ISNUMBER(INDEX(Parameters!$B$5:$B$23,MATCH(L113,Parameters!$A$5:$A$23,0))),INDEX(Parameters!$B$5:$B$23,MATCH(L113,Parameters!$A$5:$A$23,0)),""),"")</f>
        <v>1</v>
      </c>
      <c r="V113" s="16" t="n">
        <f aca="false">IFERROR(IF(ISNUMBER(INDEX(Parameters!$B$5:$B$23,MATCH(J113,Parameters!$A$5:$A$23,0))),INDEX(Parameters!$B$5:$B$23,MATCH(J113,Parameters!$A$5:$A$23,0)),""),"")</f>
        <v>1</v>
      </c>
      <c r="W113" s="16" t="str">
        <f aca="false">IF(K113&lt;&gt;"",1,IF(COUNTIF(Parameters!$A$27:$A$28,J113)&gt;0,0,""))</f>
        <v/>
      </c>
      <c r="X113" s="17" t="n">
        <f aca="false">IF(J113="Not applicable",0,1)</f>
        <v>1</v>
      </c>
      <c r="Y113" s="17" t="n">
        <f aca="false">IF(OR(K113&lt;&gt;"",COUNTIF(Parameters!$A$27:$A$28,J113)&gt;0),1,0)</f>
        <v>0</v>
      </c>
      <c r="Z113" s="16" t="n">
        <f aca="false">IF(((Parameters!$F$5=Parameters!$E$15)*Parameters!$I$5*1+(Parameters!$F$6=Parameters!$E$15)*Parameters!$I$6*1+(Parameters!$F$7=Parameters!$E$15)*Parameters!$I$7*1+(Parameters!$F$8=Parameters!$E$15)*Parameters!$I$8*1+(Parameters!$F$9=Parameters!$E$15)*Parameters!$I$9*1+(Parameters!$F$10=Parameters!$E$15)*Parameters!$I$10*1+(Parameters!$F$11=Parameters!$E$15)*Parameters!$I$11*X113+(Parameters!$F$12=Parameters!$E$15)*Parameters!$I$12*Y113)=0,"",IF(AND(((Parameters!$F$5=Parameters!$E$15)*Parameters!$I$5*ISNUMBER(P113)+(Parameters!$F$6=Parameters!$E$15)*Parameters!$I$6*ISNUMBER(Q113)+(Parameters!$F$7=Parameters!$E$15)*Parameters!$I$7*ISNUMBER(R113)+(Parameters!$F$8=Parameters!$E$15)*Parameters!$I$8*ISNUMBER(S113)+(Parameters!$F$9=Parameters!$E$15)*Parameters!$I$9*ISNUMBER(T113)+(Parameters!$F$10=Parameters!$E$15)*Parameters!$I$10*ISNUMBER(U113)+(Parameters!$F$11=Parameters!$E$15)*Parameters!$I$11*ISNUMBER(V113)+(Parameters!$F$12=Parameters!$E$15)*Parameters!$I$12*ISNUMBER(W113))&gt;0,((Parameters!$F$5=Parameters!$E$15)*Parameters!$I$5*ISNUMBER(P113)+(Parameters!$F$6=Parameters!$E$15)*Parameters!$I$6*ISNUMBER(Q113)+(Parameters!$F$7=Parameters!$E$15)*Parameters!$I$7*ISNUMBER(R113)+(Parameters!$F$8=Parameters!$E$15)*Parameters!$I$8*ISNUMBER(S113)+(Parameters!$F$9=Parameters!$E$15)*Parameters!$I$9*ISNUMBER(T113)+(Parameters!$F$10=Parameters!$E$15)*Parameters!$I$10*ISNUMBER(U113)+(Parameters!$F$11=Parameters!$E$15)*Parameters!$I$11*ISNUMBER(V113)+(Parameters!$F$12=Parameters!$E$15)*Parameters!$I$12*ISNUMBER(W113))/((Parameters!$F$5=Parameters!$E$15)*Parameters!$I$5*1+(Parameters!$F$6=Parameters!$E$15)*Parameters!$I$6*1+(Parameters!$F$7=Parameters!$E$15)*Parameters!$I$7*1+(Parameters!$F$8=Parameters!$E$15)*Parameters!$I$8*1+(Parameters!$F$9=Parameters!$E$15)*Parameters!$I$9*1+(Parameters!$F$10=Parameters!$E$15)*Parameters!$I$10*1+(Parameters!$F$11=Parameters!$E$15)*Parameters!$I$11*X113+(Parameters!$F$12=Parameters!$E$15)*Parameters!$I$12*Y113)&gt;=Parameters!$B$36),((Parameters!$F$5=Parameters!$E$15)*Parameters!$I$5*N(P113)+(Parameters!$F$6=Parameters!$E$15)*Parameters!$I$6*N(Q113)+(Parameters!$F$7=Parameters!$E$15)*Parameters!$I$7*N(R113)+(Parameters!$F$8=Parameters!$E$15)*Parameters!$I$8*N(S113)+(Parameters!$F$9=Parameters!$E$15)*Parameters!$I$9*N(T113)+(Parameters!$F$10=Parameters!$E$15)*Parameters!$I$10*N(U113)+(Parameters!$F$11=Parameters!$E$15)*Parameters!$I$11*N(V113)+(Parameters!$F$12=Parameters!$E$15)*Parameters!$I$12*N(W113))/((Parameters!$F$5=Parameters!$E$15)*Parameters!$I$5*ISNUMBER(P113)+(Parameters!$F$6=Parameters!$E$15)*Parameters!$I$6*ISNUMBER(Q113)+(Parameters!$F$7=Parameters!$E$15)*Parameters!$I$7*ISNUMBER(R113)+(Parameters!$F$8=Parameters!$E$15)*Parameters!$I$8*ISNUMBER(S113)+(Parameters!$F$9=Parameters!$E$15)*Parameters!$I$9*ISNUMBER(T113)+(Parameters!$F$10=Parameters!$E$15)*Parameters!$I$10*ISNUMBER(U113)+(Parameters!$F$11=Parameters!$E$15)*Parameters!$I$11*ISNUMBER(V113)+(Parameters!$F$12=Parameters!$E$15)*Parameters!$I$12*ISNUMBER(W113)),""))</f>
        <v>1</v>
      </c>
      <c r="AA113" s="16" t="n">
        <f aca="false">IF(((Parameters!$F$5=Parameters!$E$16)*Parameters!$I$5*1+(Parameters!$F$6=Parameters!$E$16)*Parameters!$I$6*1+(Parameters!$F$7=Parameters!$E$16)*Parameters!$I$7*1+(Parameters!$F$8=Parameters!$E$16)*Parameters!$I$8*1+(Parameters!$F$9=Parameters!$E$16)*Parameters!$I$9*1+(Parameters!$F$10=Parameters!$E$16)*Parameters!$I$10*1+(Parameters!$F$11=Parameters!$E$16)*Parameters!$I$11*X113+(Parameters!$F$12=Parameters!$E$16)*Parameters!$I$12*Y113)=0,"",IF(AND(((Parameters!$F$5=Parameters!$E$16)*Parameters!$I$5*ISNUMBER(P113)+(Parameters!$F$6=Parameters!$E$16)*Parameters!$I$6*ISNUMBER(Q113)+(Parameters!$F$7=Parameters!$E$16)*Parameters!$I$7*ISNUMBER(R113)+(Parameters!$F$8=Parameters!$E$16)*Parameters!$I$8*ISNUMBER(S113)+(Parameters!$F$9=Parameters!$E$16)*Parameters!$I$9*ISNUMBER(T113)+(Parameters!$F$10=Parameters!$E$16)*Parameters!$I$10*ISNUMBER(U113)+(Parameters!$F$11=Parameters!$E$16)*Parameters!$I$11*ISNUMBER(V113)+(Parameters!$F$12=Parameters!$E$16)*Parameters!$I$12*ISNUMBER(W113))&gt;0,((Parameters!$F$5=Parameters!$E$16)*Parameters!$I$5*ISNUMBER(P113)+(Parameters!$F$6=Parameters!$E$16)*Parameters!$I$6*ISNUMBER(Q113)+(Parameters!$F$7=Parameters!$E$16)*Parameters!$I$7*ISNUMBER(R113)+(Parameters!$F$8=Parameters!$E$16)*Parameters!$I$8*ISNUMBER(S113)+(Parameters!$F$9=Parameters!$E$16)*Parameters!$I$9*ISNUMBER(T113)+(Parameters!$F$10=Parameters!$E$16)*Parameters!$I$10*ISNUMBER(U113)+(Parameters!$F$11=Parameters!$E$16)*Parameters!$I$11*ISNUMBER(V113)+(Parameters!$F$12=Parameters!$E$16)*Parameters!$I$12*ISNUMBER(W113))/((Parameters!$F$5=Parameters!$E$16)*Parameters!$I$5*1+(Parameters!$F$6=Parameters!$E$16)*Parameters!$I$6*1+(Parameters!$F$7=Parameters!$E$16)*Parameters!$I$7*1+(Parameters!$F$8=Parameters!$E$16)*Parameters!$I$8*1+(Parameters!$F$9=Parameters!$E$16)*Parameters!$I$9*1+(Parameters!$F$10=Parameters!$E$16)*Parameters!$I$10*1+(Parameters!$F$11=Parameters!$E$16)*Parameters!$I$11*X113+(Parameters!$F$12=Parameters!$E$16)*Parameters!$I$12*Y113)&gt;=Parameters!$B$36),((Parameters!$F$5=Parameters!$E$16)*Parameters!$I$5*N(P113)+(Parameters!$F$6=Parameters!$E$16)*Parameters!$I$6*N(Q113)+(Parameters!$F$7=Parameters!$E$16)*Parameters!$I$7*N(R113)+(Parameters!$F$8=Parameters!$E$16)*Parameters!$I$8*N(S113)+(Parameters!$F$9=Parameters!$E$16)*Parameters!$I$9*N(T113)+(Parameters!$F$10=Parameters!$E$16)*Parameters!$I$10*N(U113)+(Parameters!$F$11=Parameters!$E$16)*Parameters!$I$11*N(V113)+(Parameters!$F$12=Parameters!$E$16)*Parameters!$I$12*N(W113))/((Parameters!$F$5=Parameters!$E$16)*Parameters!$I$5*ISNUMBER(P113)+(Parameters!$F$6=Parameters!$E$16)*Parameters!$I$6*ISNUMBER(Q113)+(Parameters!$F$7=Parameters!$E$16)*Parameters!$I$7*ISNUMBER(R113)+(Parameters!$F$8=Parameters!$E$16)*Parameters!$I$8*ISNUMBER(S113)+(Parameters!$F$9=Parameters!$E$16)*Parameters!$I$9*ISNUMBER(T113)+(Parameters!$F$10=Parameters!$E$16)*Parameters!$I$10*ISNUMBER(U113)+(Parameters!$F$11=Parameters!$E$16)*Parameters!$I$11*ISNUMBER(V113)+(Parameters!$F$12=Parameters!$E$16)*Parameters!$I$12*ISNUMBER(W113)),""))</f>
        <v>0.4</v>
      </c>
      <c r="AB113" s="16" t="n">
        <f aca="false">IF(((Parameters!$F$5=Parameters!$E$17)*Parameters!$I$5*1+(Parameters!$F$6=Parameters!$E$17)*Parameters!$I$6*1+(Parameters!$F$7=Parameters!$E$17)*Parameters!$I$7*1+(Parameters!$F$8=Parameters!$E$17)*Parameters!$I$8*1+(Parameters!$F$9=Parameters!$E$17)*Parameters!$I$9*1+(Parameters!$F$10=Parameters!$E$17)*Parameters!$I$10*1+(Parameters!$F$11=Parameters!$E$17)*Parameters!$I$11*X113+(Parameters!$F$12=Parameters!$E$17)*Parameters!$I$12*Y113)=0,"",IF(AND(((Parameters!$F$5=Parameters!$E$17)*Parameters!$I$5*ISNUMBER(P113)+(Parameters!$F$6=Parameters!$E$17)*Parameters!$I$6*ISNUMBER(Q113)+(Parameters!$F$7=Parameters!$E$17)*Parameters!$I$7*ISNUMBER(R113)+(Parameters!$F$8=Parameters!$E$17)*Parameters!$I$8*ISNUMBER(S113)+(Parameters!$F$9=Parameters!$E$17)*Parameters!$I$9*ISNUMBER(T113)+(Parameters!$F$10=Parameters!$E$17)*Parameters!$I$10*ISNUMBER(U113)+(Parameters!$F$11=Parameters!$E$17)*Parameters!$I$11*ISNUMBER(V113)+(Parameters!$F$12=Parameters!$E$17)*Parameters!$I$12*ISNUMBER(W113))&gt;0,((Parameters!$F$5=Parameters!$E$17)*Parameters!$I$5*ISNUMBER(P113)+(Parameters!$F$6=Parameters!$E$17)*Parameters!$I$6*ISNUMBER(Q113)+(Parameters!$F$7=Parameters!$E$17)*Parameters!$I$7*ISNUMBER(R113)+(Parameters!$F$8=Parameters!$E$17)*Parameters!$I$8*ISNUMBER(S113)+(Parameters!$F$9=Parameters!$E$17)*Parameters!$I$9*ISNUMBER(T113)+(Parameters!$F$10=Parameters!$E$17)*Parameters!$I$10*ISNUMBER(U113)+(Parameters!$F$11=Parameters!$E$17)*Parameters!$I$11*ISNUMBER(V113)+(Parameters!$F$12=Parameters!$E$17)*Parameters!$I$12*ISNUMBER(W113))/((Parameters!$F$5=Parameters!$E$17)*Parameters!$I$5*1+(Parameters!$F$6=Parameters!$E$17)*Parameters!$I$6*1+(Parameters!$F$7=Parameters!$E$17)*Parameters!$I$7*1+(Parameters!$F$8=Parameters!$E$17)*Parameters!$I$8*1+(Parameters!$F$9=Parameters!$E$17)*Parameters!$I$9*1+(Parameters!$F$10=Parameters!$E$17)*Parameters!$I$10*1+(Parameters!$F$11=Parameters!$E$17)*Parameters!$I$11*X113+(Parameters!$F$12=Parameters!$E$17)*Parameters!$I$12*Y113)&gt;=Parameters!$B$36),((Parameters!$F$5=Parameters!$E$17)*Parameters!$I$5*N(P113)+(Parameters!$F$6=Parameters!$E$17)*Parameters!$I$6*N(Q113)+(Parameters!$F$7=Parameters!$E$17)*Parameters!$I$7*N(R113)+(Parameters!$F$8=Parameters!$E$17)*Parameters!$I$8*N(S113)+(Parameters!$F$9=Parameters!$E$17)*Parameters!$I$9*N(T113)+(Parameters!$F$10=Parameters!$E$17)*Parameters!$I$10*N(U113)+(Parameters!$F$11=Parameters!$E$17)*Parameters!$I$11*N(V113)+(Parameters!$F$12=Parameters!$E$17)*Parameters!$I$12*N(W113))/((Parameters!$F$5=Parameters!$E$17)*Parameters!$I$5*ISNUMBER(P113)+(Parameters!$F$6=Parameters!$E$17)*Parameters!$I$6*ISNUMBER(Q113)+(Parameters!$F$7=Parameters!$E$17)*Parameters!$I$7*ISNUMBER(R113)+(Parameters!$F$8=Parameters!$E$17)*Parameters!$I$8*ISNUMBER(S113)+(Parameters!$F$9=Parameters!$E$17)*Parameters!$I$9*ISNUMBER(T113)+(Parameters!$F$10=Parameters!$E$17)*Parameters!$I$10*ISNUMBER(U113)+(Parameters!$F$11=Parameters!$E$17)*Parameters!$I$11*ISNUMBER(V113)+(Parameters!$F$12=Parameters!$E$17)*Parameters!$I$12*ISNUMBER(W113)),""))</f>
        <v>1</v>
      </c>
      <c r="AC113" s="17" t="n">
        <f aca="false">Parameters!$I$5*ISNUMBER(P113)+Parameters!$I$6*ISNUMBER(Q113)+Parameters!$I$7*ISNUMBER(R113)+Parameters!$I$8*ISNUMBER(S113)+Parameters!$I$9*ISNUMBER(T113)+Parameters!$I$10*ISNUMBER(U113)+Parameters!$I$11*ISNUMBER(V113)+Parameters!$I$12*ISNUMBER(W113)</f>
        <v>85</v>
      </c>
      <c r="AD113" s="17" t="n">
        <f aca="false">Parameters!$I$5*1+Parameters!$I$6*1+Parameters!$I$7*1+Parameters!$I$8*1+Parameters!$I$9*1+Parameters!$I$10*1+Parameters!$I$11*X113+Parameters!$I$12*Y113</f>
        <v>85</v>
      </c>
      <c r="AE113" s="18" t="n">
        <f aca="false">IF(AD113=0,"",AC113/AD113)</f>
        <v>1</v>
      </c>
      <c r="AF113" s="17" t="str">
        <f aca="false">IF(ISNUMBER(Z113),"M","")&amp;IF(ISNUMBER(AA113),"I","")&amp;IF(ISNUMBER(AB113),"O","")</f>
        <v>MIO</v>
      </c>
      <c r="AG113" s="19" t="n">
        <f aca="false">IF(AND(ISNUMBER(AE113),ISNUMBER(Z113)+ISNUMBER(AA113)+ISNUMBER(AB113)&gt;=Parameters!$B$37),IF(AE113&gt;=Parameters!$B$35,100*(Parameters!$F$15*N(Z113)+Parameters!$F$16*N(AA113)+Parameters!$F$17*N(AB113))/(Parameters!$F$15*ISNUMBER(Z113)+Parameters!$F$16*ISNUMBER(AA113)+Parameters!$F$17*ISNUMBER(AB113)),""),"")</f>
        <v>82</v>
      </c>
      <c r="AH113" s="17" t="n">
        <f aca="false">IF(ISNUMBER(AG113),RANK(AG113,$AG$2:$AG$113),"")</f>
        <v>69</v>
      </c>
    </row>
  </sheetData>
  <autoFilter ref="A1:AH113"/>
  <conditionalFormatting sqref="AG2:AG113">
    <cfRule type="colorScale" priority="2">
      <colorScale>
        <cfvo type="num" val="40"/>
        <cfvo type="num" val="70"/>
        <cfvo type="num" val="10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10" min="2" style="0" width="16"/>
    <col collapsed="false" customWidth="true" hidden="false" outlineLevel="0" max="11" min="11" style="0" width="80"/>
  </cols>
  <sheetData>
    <row r="1" customFormat="false" ht="15" hidden="false" customHeight="false" outlineLevel="0" collapsed="false">
      <c r="A1" s="4" t="s">
        <v>489</v>
      </c>
      <c r="B1" s="5"/>
      <c r="C1" s="5"/>
      <c r="D1" s="5"/>
      <c r="E1" s="5"/>
      <c r="F1" s="5"/>
      <c r="G1" s="5"/>
      <c r="H1" s="5"/>
      <c r="I1" s="5"/>
      <c r="J1" s="5"/>
      <c r="K1" s="5"/>
    </row>
    <row r="2" customFormat="false" ht="15" hidden="false" customHeight="false" outlineLevel="0" collapsed="false">
      <c r="A2" s="5"/>
      <c r="B2" s="5"/>
      <c r="C2" s="5"/>
      <c r="D2" s="5"/>
      <c r="E2" s="5"/>
      <c r="F2" s="5"/>
      <c r="G2" s="5"/>
      <c r="H2" s="5"/>
      <c r="I2" s="5"/>
      <c r="J2" s="5"/>
      <c r="K2" s="5"/>
    </row>
    <row r="3" customFormat="false" ht="45" hidden="false" customHeight="true" outlineLevel="0" collapsed="false">
      <c r="A3" s="6" t="s">
        <v>490</v>
      </c>
      <c r="B3" s="6" t="s">
        <v>491</v>
      </c>
      <c r="C3" s="6" t="s">
        <v>492</v>
      </c>
      <c r="D3" s="6" t="s">
        <v>493</v>
      </c>
      <c r="E3" s="6" t="s">
        <v>494</v>
      </c>
      <c r="F3" s="6" t="s">
        <v>495</v>
      </c>
      <c r="G3" s="6" t="s">
        <v>496</v>
      </c>
      <c r="H3" s="6" t="s">
        <v>497</v>
      </c>
      <c r="I3" s="6" t="s">
        <v>498</v>
      </c>
      <c r="J3" s="6" t="s">
        <v>499</v>
      </c>
      <c r="K3" s="6" t="s">
        <v>500</v>
      </c>
    </row>
    <row r="4" customFormat="false" ht="15" hidden="false" customHeight="false" outlineLevel="0" collapsed="false">
      <c r="A4" s="5" t="s">
        <v>101</v>
      </c>
      <c r="B4" s="5" t="n">
        <f aca="false">Parameters!$I$5</f>
        <v>20</v>
      </c>
      <c r="C4" s="5" t="n">
        <f aca="false">112</f>
        <v>112</v>
      </c>
      <c r="D4" s="5" t="n">
        <f aca="false">COUNT(Scores!$P$2:$P$113)</f>
        <v>112</v>
      </c>
      <c r="E4" s="10" t="n">
        <f aca="false">IF(C4=0,"",D4/C4)</f>
        <v>1</v>
      </c>
      <c r="F4" s="21" t="n">
        <f aca="false">IFERROR(AVERAGE(Scores!$P$2:$P$113),"")</f>
        <v>0.985119047619048</v>
      </c>
      <c r="G4" s="21" t="n">
        <f aca="false">IFERROR(STDEV(Scores!$P$2:$P$113),"")</f>
        <v>0.0738166734703927</v>
      </c>
      <c r="H4" s="10" t="n">
        <f aca="false">IF(D4=0,"",COUNTIF(Scores!$P$2:$P$113,1)/D4)</f>
        <v>0.946428571428571</v>
      </c>
      <c r="I4" s="10" t="n">
        <f aca="false">IF(D4=0,"",COUNTIF(Scores!$P$2:$P$113,0)/D4)</f>
        <v>0</v>
      </c>
      <c r="J4" s="10" t="n">
        <f aca="false">IFERROR(B4*G4/SUMPRODUCT($B$4:$B$11,$G$4:$G$11),"")</f>
        <v>0.0711530849695427</v>
      </c>
      <c r="K4" s="5" t="s">
        <v>501</v>
      </c>
    </row>
    <row r="5" customFormat="false" ht="15" hidden="false" customHeight="false" outlineLevel="0" collapsed="false">
      <c r="A5" s="5" t="s">
        <v>102</v>
      </c>
      <c r="B5" s="5" t="n">
        <f aca="false">Parameters!$I$6</f>
        <v>25</v>
      </c>
      <c r="C5" s="5" t="n">
        <f aca="false">112</f>
        <v>112</v>
      </c>
      <c r="D5" s="5" t="n">
        <f aca="false">COUNT(Scores!$Q$2:$Q$113)</f>
        <v>111</v>
      </c>
      <c r="E5" s="10" t="n">
        <f aca="false">IF(C5=0,"",D5/C5)</f>
        <v>0.991071428571429</v>
      </c>
      <c r="F5" s="21" t="n">
        <f aca="false">IFERROR(AVERAGE(Scores!$Q$2:$Q$113),"")</f>
        <v>0.990990990990991</v>
      </c>
      <c r="G5" s="21" t="n">
        <f aca="false">IFERROR(STDEV(Scores!$Q$2:$Q$113),"")</f>
        <v>0.0668098380746014</v>
      </c>
      <c r="H5" s="10" t="n">
        <f aca="false">IF(D5=0,"",COUNTIF(Scores!$Q$2:$Q$113,1)/D5)</f>
        <v>0.981981981981982</v>
      </c>
      <c r="I5" s="10" t="n">
        <f aca="false">IF(D5=0,"",COUNTIF(Scores!$Q$2:$Q$113,0)/D5)</f>
        <v>0</v>
      </c>
      <c r="J5" s="10" t="n">
        <f aca="false">IFERROR(B5*G5/SUMPRODUCT($B$4:$B$11,$G$4:$G$11),"")</f>
        <v>0.0804988538129903</v>
      </c>
      <c r="K5" s="5" t="s">
        <v>502</v>
      </c>
    </row>
    <row r="6" customFormat="false" ht="15" hidden="false" customHeight="false" outlineLevel="0" collapsed="false">
      <c r="A6" s="5" t="s">
        <v>503</v>
      </c>
      <c r="B6" s="5" t="n">
        <f aca="false">Parameters!$I$7</f>
        <v>5</v>
      </c>
      <c r="C6" s="5" t="n">
        <f aca="false">112</f>
        <v>112</v>
      </c>
      <c r="D6" s="5" t="n">
        <f aca="false">COUNT(Scores!$R$2:$R$113)</f>
        <v>111</v>
      </c>
      <c r="E6" s="10" t="n">
        <f aca="false">IF(C6=0,"",D6/C6)</f>
        <v>0.991071428571429</v>
      </c>
      <c r="F6" s="21" t="n">
        <f aca="false">IFERROR(AVERAGE(Scores!$R$2:$R$113),"")</f>
        <v>0.757957957957958</v>
      </c>
      <c r="G6" s="21" t="n">
        <f aca="false">IFERROR(STDEV(Scores!$R$2:$R$113),"")</f>
        <v>0.275597118914135</v>
      </c>
      <c r="H6" s="10" t="n">
        <f aca="false">IF(D6=0,"",COUNTIF(Scores!$R$2:$R$113,1)/D6)</f>
        <v>0.432432432432432</v>
      </c>
      <c r="I6" s="10" t="n">
        <f aca="false">IF(D6=0,"",COUNTIF(Scores!$R$2:$R$113,0)/D6)</f>
        <v>0</v>
      </c>
      <c r="J6" s="10" t="n">
        <f aca="false">IFERROR(B6*G6/SUMPRODUCT($B$4:$B$11,$G$4:$G$11),"")</f>
        <v>0.0664131296411098</v>
      </c>
      <c r="K6" s="5" t="s">
        <v>504</v>
      </c>
    </row>
    <row r="7" customFormat="false" ht="15" hidden="false" customHeight="false" outlineLevel="0" collapsed="false">
      <c r="A7" s="5" t="s">
        <v>505</v>
      </c>
      <c r="B7" s="5" t="n">
        <f aca="false">Parameters!$I$8</f>
        <v>10</v>
      </c>
      <c r="C7" s="5" t="n">
        <f aca="false">112</f>
        <v>112</v>
      </c>
      <c r="D7" s="5" t="n">
        <f aca="false">COUNT(Scores!$S$2:$S$113)</f>
        <v>59</v>
      </c>
      <c r="E7" s="10" t="n">
        <f aca="false">IF(C7=0,"",D7/C7)</f>
        <v>0.526785714285714</v>
      </c>
      <c r="F7" s="21" t="n">
        <f aca="false">IFERROR(AVERAGE(Scores!$S$2:$S$113),"")</f>
        <v>0.830508474576271</v>
      </c>
      <c r="G7" s="21" t="n">
        <f aca="false">IFERROR(STDEV(Scores!$S$2:$S$113),"")</f>
        <v>0.378406020441343</v>
      </c>
      <c r="H7" s="10" t="n">
        <f aca="false">IF(D7=0,"",COUNTIF(Scores!$S$2:$S$113,1)/D7)</f>
        <v>0.830508474576271</v>
      </c>
      <c r="I7" s="10" t="n">
        <f aca="false">IF(D7=0,"",COUNTIF(Scores!$S$2:$S$113,0)/D7)</f>
        <v>0.169491525423729</v>
      </c>
      <c r="J7" s="10" t="n">
        <f aca="false">IFERROR(B7*G7/SUMPRODUCT($B$4:$B$11,$G$4:$G$11),"")</f>
        <v>0.18237584044104</v>
      </c>
      <c r="K7" s="5" t="s">
        <v>506</v>
      </c>
    </row>
    <row r="8" customFormat="false" ht="15" hidden="false" customHeight="false" outlineLevel="0" collapsed="false">
      <c r="A8" s="5" t="s">
        <v>106</v>
      </c>
      <c r="B8" s="5" t="n">
        <f aca="false">Parameters!$I$9</f>
        <v>5</v>
      </c>
      <c r="C8" s="5" t="n">
        <f aca="false">112</f>
        <v>112</v>
      </c>
      <c r="D8" s="5" t="n">
        <f aca="false">COUNT(Scores!$T$2:$T$113)</f>
        <v>112</v>
      </c>
      <c r="E8" s="10" t="n">
        <f aca="false">IF(C8=0,"",D8/C8)</f>
        <v>1</v>
      </c>
      <c r="F8" s="21" t="n">
        <f aca="false">IFERROR(AVERAGE(Scores!$T$2:$T$113),"")</f>
        <v>0.0625</v>
      </c>
      <c r="G8" s="21" t="n">
        <f aca="false">IFERROR(STDEV(Scores!$T$2:$T$113),"")</f>
        <v>0.243149381289819</v>
      </c>
      <c r="H8" s="10" t="n">
        <f aca="false">IF(D8=0,"",COUNTIF(Scores!$T$2:$T$113,1)/D8)</f>
        <v>0.0625</v>
      </c>
      <c r="I8" s="10" t="n">
        <f aca="false">IF(D8=0,"",COUNTIF(Scores!$T$2:$T$113,0)/D8)</f>
        <v>0.9375</v>
      </c>
      <c r="J8" s="10" t="n">
        <f aca="false">IFERROR(B8*G8/SUMPRODUCT($B$4:$B$11,$G$4:$G$11),"")</f>
        <v>0.0585939049195486</v>
      </c>
      <c r="K8" s="5" t="s">
        <v>507</v>
      </c>
    </row>
    <row r="9" customFormat="false" ht="15" hidden="false" customHeight="false" outlineLevel="0" collapsed="false">
      <c r="A9" s="5" t="s">
        <v>508</v>
      </c>
      <c r="B9" s="5" t="n">
        <f aca="false">Parameters!$I$10</f>
        <v>10</v>
      </c>
      <c r="C9" s="5" t="n">
        <f aca="false">112</f>
        <v>112</v>
      </c>
      <c r="D9" s="5" t="n">
        <f aca="false">COUNT(Scores!$U$2:$U$113)</f>
        <v>106</v>
      </c>
      <c r="E9" s="10" t="n">
        <f aca="false">IF(C9=0,"",D9/C9)</f>
        <v>0.946428571428571</v>
      </c>
      <c r="F9" s="21" t="n">
        <f aca="false">IFERROR(AVERAGE(Scores!$U$2:$U$113),"")</f>
        <v>0.872641509433962</v>
      </c>
      <c r="G9" s="21" t="n">
        <f aca="false">IFERROR(STDEV(Scores!$U$2:$U$113),"")</f>
        <v>0.301277603001087</v>
      </c>
      <c r="H9" s="10" t="n">
        <f aca="false">IF(D9=0,"",COUNTIF(Scores!$U$2:$U$113,1)/D9)</f>
        <v>0.830188679245283</v>
      </c>
      <c r="I9" s="10" t="n">
        <f aca="false">IF(D9=0,"",COUNTIF(Scores!$U$2:$U$113,0)/D9)</f>
        <v>0.0849056603773585</v>
      </c>
      <c r="J9" s="10" t="n">
        <f aca="false">IFERROR(B9*G9/SUMPRODUCT($B$4:$B$11,$G$4:$G$11),"")</f>
        <v>0.145203176179123</v>
      </c>
      <c r="K9" s="5" t="s">
        <v>509</v>
      </c>
    </row>
    <row r="10" customFormat="false" ht="15" hidden="false" customHeight="false" outlineLevel="0" collapsed="false">
      <c r="A10" s="5" t="s">
        <v>510</v>
      </c>
      <c r="B10" s="5" t="n">
        <f aca="false">Parameters!$I$11</f>
        <v>10</v>
      </c>
      <c r="C10" s="5" t="n">
        <f aca="false">SUM(Scores!$X$2:$X$113)</f>
        <v>63</v>
      </c>
      <c r="D10" s="5" t="n">
        <f aca="false">COUNT(Scores!$V$2:$V$113)</f>
        <v>62</v>
      </c>
      <c r="E10" s="10" t="n">
        <f aca="false">IF(C10=0,"",D10/C10)</f>
        <v>0.984126984126984</v>
      </c>
      <c r="F10" s="21" t="n">
        <f aca="false">IFERROR(AVERAGE(Scores!$V$2:$V$113),"")</f>
        <v>0.887096774193548</v>
      </c>
      <c r="G10" s="21" t="n">
        <f aca="false">IFERROR(STDEV(Scores!$V$2:$V$113),"")</f>
        <v>0.319057973542782</v>
      </c>
      <c r="H10" s="10" t="n">
        <f aca="false">IF(D10=0,"",COUNTIF(Scores!$V$2:$V$113,1)/D10)</f>
        <v>0.887096774193548</v>
      </c>
      <c r="I10" s="10" t="n">
        <f aca="false">IF(D10=0,"",COUNTIF(Scores!$V$2:$V$113,0)/D10)</f>
        <v>0.112903225806452</v>
      </c>
      <c r="J10" s="10" t="n">
        <f aca="false">IFERROR(B10*G10/SUMPRODUCT($B$4:$B$11,$G$4:$G$11),"")</f>
        <v>0.153772569491399</v>
      </c>
      <c r="K10" s="5" t="s">
        <v>511</v>
      </c>
    </row>
    <row r="11" customFormat="false" ht="15" hidden="false" customHeight="false" outlineLevel="0" collapsed="false">
      <c r="A11" s="5" t="s">
        <v>108</v>
      </c>
      <c r="B11" s="5" t="n">
        <f aca="false">Parameters!$I$12</f>
        <v>10</v>
      </c>
      <c r="C11" s="5" t="n">
        <f aca="false">SUM(Scores!$Y$2:$Y$113)</f>
        <v>35</v>
      </c>
      <c r="D11" s="5" t="n">
        <f aca="false">COUNT(Scores!$W$2:$W$113)</f>
        <v>35</v>
      </c>
      <c r="E11" s="10" t="n">
        <f aca="false">IF(C11=0,"",D11/C11)</f>
        <v>1</v>
      </c>
      <c r="F11" s="21" t="n">
        <f aca="false">IFERROR(AVERAGE(Scores!$W$2:$W$113),"")</f>
        <v>0.428571428571429</v>
      </c>
      <c r="G11" s="21" t="n">
        <f aca="false">IFERROR(STDEV(Scores!$W$2:$W$113),"")</f>
        <v>0.502096445253434</v>
      </c>
      <c r="H11" s="10" t="n">
        <f aca="false">IF(D11=0,"",COUNTIF(Scores!$W$2:$W$113,1)/D11)</f>
        <v>0.428571428571429</v>
      </c>
      <c r="I11" s="10" t="n">
        <f aca="false">IF(D11=0,"",COUNTIF(Scores!$W$2:$W$113,0)/D11)</f>
        <v>0.571428571428571</v>
      </c>
      <c r="J11" s="10" t="n">
        <f aca="false">IFERROR(B11*G11/SUMPRODUCT($B$4:$B$11,$G$4:$G$11),"")</f>
        <v>0.241989440545247</v>
      </c>
      <c r="K11" s="5" t="s">
        <v>512</v>
      </c>
    </row>
    <row r="12" customFormat="false" ht="15" hidden="false" customHeight="false" outlineLevel="0" collapsed="false">
      <c r="A12" s="5"/>
      <c r="B12" s="5"/>
      <c r="C12" s="5"/>
      <c r="D12" s="5"/>
      <c r="E12" s="5"/>
      <c r="F12" s="5"/>
      <c r="G12" s="5"/>
      <c r="H12" s="5"/>
      <c r="I12" s="5"/>
      <c r="J12" s="5"/>
      <c r="K12" s="5"/>
    </row>
    <row r="13" customFormat="false" ht="15" hidden="false" customHeight="false" outlineLevel="0" collapsed="false">
      <c r="A13" s="5"/>
      <c r="B13" s="5"/>
      <c r="C13" s="5"/>
      <c r="D13" s="5"/>
      <c r="E13" s="5"/>
      <c r="F13" s="5"/>
      <c r="G13" s="5"/>
      <c r="H13" s="5"/>
      <c r="I13" s="5"/>
      <c r="J13" s="5"/>
      <c r="K13" s="5"/>
    </row>
    <row r="14" customFormat="false" ht="15" hidden="false" customHeight="false" outlineLevel="0" collapsed="false">
      <c r="A14" s="11" t="s">
        <v>513</v>
      </c>
      <c r="B14" s="5"/>
      <c r="C14" s="5"/>
      <c r="D14" s="5"/>
      <c r="E14" s="5"/>
      <c r="F14" s="5"/>
      <c r="G14" s="5"/>
      <c r="H14" s="5"/>
      <c r="I14" s="5"/>
      <c r="J14" s="5"/>
      <c r="K14" s="5"/>
    </row>
    <row r="15" customFormat="false" ht="15" hidden="false" customHeight="false" outlineLevel="0" collapsed="false">
      <c r="A15" s="5" t="s">
        <v>514</v>
      </c>
      <c r="B15" s="22" t="n">
        <f aca="false">COUNTA(Scores!$A$2:$A$113)</f>
        <v>112</v>
      </c>
      <c r="C15" s="5"/>
      <c r="D15" s="5"/>
      <c r="E15" s="5"/>
      <c r="F15" s="5"/>
      <c r="G15" s="5"/>
      <c r="H15" s="5"/>
      <c r="I15" s="5"/>
      <c r="J15" s="5"/>
      <c r="K15" s="5"/>
    </row>
    <row r="16" customFormat="false" ht="15" hidden="false" customHeight="false" outlineLevel="0" collapsed="false">
      <c r="A16" s="5" t="s">
        <v>515</v>
      </c>
      <c r="B16" s="22" t="n">
        <f aca="false">COUNT(Scores!$AG$2:$AG$113)</f>
        <v>109</v>
      </c>
      <c r="C16" s="5"/>
      <c r="D16" s="5"/>
      <c r="E16" s="5"/>
      <c r="F16" s="5"/>
      <c r="G16" s="5"/>
      <c r="H16" s="5"/>
      <c r="I16" s="5"/>
      <c r="J16" s="5"/>
      <c r="K16" s="5"/>
    </row>
    <row r="17" customFormat="false" ht="15" hidden="false" customHeight="false" outlineLevel="0" collapsed="false">
      <c r="A17" s="5" t="s">
        <v>516</v>
      </c>
      <c r="B17" s="10" t="n">
        <f aca="false">B16/B15</f>
        <v>0.973214285714286</v>
      </c>
      <c r="C17" s="5"/>
      <c r="D17" s="5"/>
      <c r="E17" s="5"/>
      <c r="F17" s="5"/>
      <c r="G17" s="5"/>
      <c r="H17" s="5"/>
      <c r="I17" s="5"/>
      <c r="J17" s="5"/>
      <c r="K17" s="5"/>
    </row>
    <row r="18" customFormat="false" ht="15" hidden="false" customHeight="false" outlineLevel="0" collapsed="false">
      <c r="A18" s="5" t="s">
        <v>517</v>
      </c>
      <c r="B18" s="10" t="n">
        <f aca="false">AVERAGE(Scores!$AE$2:$AE$113)</f>
        <v>0.931472062509214</v>
      </c>
      <c r="C18" s="5"/>
      <c r="D18" s="5"/>
      <c r="E18" s="5"/>
      <c r="F18" s="5"/>
      <c r="G18" s="5"/>
      <c r="H18" s="5"/>
      <c r="I18" s="5"/>
      <c r="J18" s="5"/>
      <c r="K18" s="5"/>
    </row>
    <row r="19" customFormat="false" ht="15" hidden="false" customHeight="false" outlineLevel="0" collapsed="false">
      <c r="A19" s="5" t="s">
        <v>518</v>
      </c>
      <c r="B19" s="23" t="n">
        <f aca="false">AVERAGE(Scores!$AG$2:$AG$113)</f>
        <v>83.2564802679482</v>
      </c>
      <c r="C19" s="5"/>
      <c r="D19" s="5"/>
      <c r="E19" s="5"/>
      <c r="F19" s="5"/>
      <c r="G19" s="5"/>
      <c r="H19" s="5"/>
      <c r="I19" s="5"/>
      <c r="J19" s="5"/>
      <c r="K19" s="5"/>
    </row>
    <row r="20" customFormat="false" ht="15" hidden="false" customHeight="false" outlineLevel="0" collapsed="false">
      <c r="A20" s="5" t="s">
        <v>519</v>
      </c>
      <c r="B20" s="23" t="n">
        <f aca="false">MEDIAN(Scores!$AG$2:$AG$113)</f>
        <v>86.25</v>
      </c>
      <c r="C20" s="5"/>
      <c r="D20" s="5"/>
      <c r="E20" s="5"/>
      <c r="F20" s="5"/>
      <c r="G20" s="5"/>
      <c r="H20" s="5"/>
      <c r="I20" s="5"/>
      <c r="J20" s="5"/>
      <c r="K20" s="5"/>
    </row>
    <row r="21" customFormat="false" ht="15" hidden="false" customHeight="false" outlineLevel="0" collapsed="false">
      <c r="A21" s="5" t="s">
        <v>520</v>
      </c>
      <c r="B21" s="23" t="n">
        <f aca="false">STDEV(Scores!$AG$2:$AG$113)</f>
        <v>10.3010677673537</v>
      </c>
      <c r="C21" s="5"/>
      <c r="D21" s="5"/>
      <c r="E21" s="5"/>
      <c r="F21" s="5"/>
      <c r="G21" s="5"/>
      <c r="H21" s="5"/>
      <c r="I21" s="5"/>
      <c r="J21" s="5"/>
      <c r="K21" s="5"/>
    </row>
    <row r="22" customFormat="false" ht="15" hidden="false" customHeight="false" outlineLevel="0" collapsed="false">
      <c r="A22" s="5" t="s">
        <v>521</v>
      </c>
      <c r="B22" s="22" t="n">
        <f aca="false">COUNTIF(Scores!$AG$2:$AG$113,"&gt;=99.999")</f>
        <v>2</v>
      </c>
      <c r="C22" s="5"/>
      <c r="D22" s="5"/>
      <c r="E22" s="5"/>
      <c r="F22" s="5"/>
      <c r="G22" s="5"/>
      <c r="H22" s="5"/>
      <c r="I22" s="5"/>
      <c r="J22" s="5"/>
      <c r="K22" s="5"/>
    </row>
    <row r="23" customFormat="false" ht="15" hidden="false" customHeight="false" outlineLevel="0" collapsed="false">
      <c r="A23" s="5" t="s">
        <v>522</v>
      </c>
      <c r="B23" s="22" t="n">
        <f aca="false">COUNT(Scores!$Z$2:$Z$113)</f>
        <v>111</v>
      </c>
      <c r="C23" s="5"/>
      <c r="D23" s="5"/>
      <c r="E23" s="5"/>
      <c r="F23" s="5"/>
      <c r="G23" s="5"/>
      <c r="H23" s="5"/>
      <c r="I23" s="5"/>
      <c r="J23" s="5"/>
      <c r="K23" s="5"/>
    </row>
    <row r="24" customFormat="false" ht="15" hidden="false" customHeight="false" outlineLevel="0" collapsed="false">
      <c r="A24" s="5" t="s">
        <v>523</v>
      </c>
      <c r="B24" s="22" t="n">
        <f aca="false">COUNT(Scores!$AA$2:$AA$113)</f>
        <v>108</v>
      </c>
      <c r="C24" s="5"/>
      <c r="D24" s="5"/>
      <c r="E24" s="5"/>
      <c r="F24" s="5"/>
      <c r="G24" s="5"/>
      <c r="H24" s="5"/>
      <c r="I24" s="5"/>
      <c r="J24" s="5"/>
      <c r="K24" s="5"/>
    </row>
    <row r="25" customFormat="false" ht="15" hidden="false" customHeight="false" outlineLevel="0" collapsed="false">
      <c r="A25" s="5" t="s">
        <v>524</v>
      </c>
      <c r="B25" s="22" t="n">
        <f aca="false">COUNT(Scores!$AB$2:$AB$113)</f>
        <v>63</v>
      </c>
      <c r="C25" s="5"/>
      <c r="D25" s="5"/>
      <c r="E25" s="5"/>
      <c r="F25" s="5"/>
      <c r="G25" s="5"/>
      <c r="H25" s="5"/>
      <c r="I25" s="5"/>
      <c r="J25" s="5"/>
      <c r="K25" s="5"/>
    </row>
    <row r="26" customFormat="false" ht="15" hidden="false" customHeight="false" outlineLevel="0" collapsed="false">
      <c r="A26" s="5"/>
      <c r="B26" s="5"/>
      <c r="C26" s="5"/>
      <c r="D26" s="5"/>
      <c r="E26" s="5"/>
      <c r="F26" s="5"/>
      <c r="G26" s="5"/>
      <c r="H26" s="5"/>
      <c r="I26" s="5"/>
      <c r="J26" s="5"/>
      <c r="K26" s="5"/>
    </row>
    <row r="27" customFormat="false" ht="15" hidden="false" customHeight="false" outlineLevel="0" collapsed="false">
      <c r="A27" s="5"/>
      <c r="B27" s="5"/>
      <c r="C27" s="5"/>
      <c r="D27" s="5"/>
      <c r="E27" s="5"/>
      <c r="F27" s="5"/>
      <c r="G27" s="5"/>
      <c r="H27" s="5"/>
      <c r="I27" s="5"/>
      <c r="J27" s="5"/>
      <c r="K27" s="5"/>
    </row>
    <row r="28" customFormat="false" ht="15" hidden="false" customHeight="false" outlineLevel="0" collapsed="false">
      <c r="A28" s="11" t="s">
        <v>525</v>
      </c>
      <c r="B28" s="5"/>
      <c r="C28" s="5"/>
      <c r="D28" s="5"/>
      <c r="E28" s="5"/>
      <c r="F28" s="5"/>
      <c r="G28" s="5"/>
      <c r="H28" s="5"/>
      <c r="I28" s="5"/>
      <c r="J28" s="5"/>
      <c r="K28" s="5"/>
    </row>
    <row r="29" customFormat="false" ht="15" hidden="false" customHeight="false" outlineLevel="0" collapsed="false">
      <c r="A29" s="24" t="s">
        <v>526</v>
      </c>
      <c r="B29" s="24" t="s">
        <v>527</v>
      </c>
      <c r="C29" s="24" t="s">
        <v>518</v>
      </c>
      <c r="D29" s="5"/>
      <c r="E29" s="5"/>
      <c r="F29" s="5"/>
      <c r="G29" s="5"/>
      <c r="H29" s="5"/>
      <c r="I29" s="5"/>
      <c r="J29" s="5"/>
      <c r="K29" s="5"/>
    </row>
    <row r="30" customFormat="false" ht="15" hidden="false" customHeight="false" outlineLevel="0" collapsed="false">
      <c r="A30" s="5" t="s">
        <v>76</v>
      </c>
      <c r="B30" s="5" t="n">
        <f aca="false">COUNTIF(Scores!$L$2:$L$113,A30)</f>
        <v>37</v>
      </c>
      <c r="C30" s="23" t="n">
        <f aca="false">IFERROR(AVERAGEIF(Scores!$L$2:$L$113,A30,Scores!$AG$2:$AG$113),"")</f>
        <v>86.1051051051051</v>
      </c>
      <c r="D30" s="5"/>
      <c r="E30" s="5"/>
      <c r="F30" s="5"/>
      <c r="G30" s="5"/>
      <c r="H30" s="5"/>
      <c r="I30" s="5"/>
      <c r="J30" s="5"/>
      <c r="K30" s="5"/>
    </row>
    <row r="31" customFormat="false" ht="15" hidden="false" customHeight="false" outlineLevel="0" collapsed="false">
      <c r="A31" s="5" t="s">
        <v>79</v>
      </c>
      <c r="B31" s="5" t="n">
        <f aca="false">COUNTIF(Scores!$L$2:$L$113,A31)</f>
        <v>30</v>
      </c>
      <c r="C31" s="23" t="n">
        <f aca="false">IFERROR(AVERAGEIF(Scores!$L$2:$L$113,A31,Scores!$AG$2:$AG$113),"")</f>
        <v>87.3333333333333</v>
      </c>
      <c r="D31" s="5"/>
      <c r="E31" s="5"/>
      <c r="F31" s="5"/>
      <c r="G31" s="5"/>
      <c r="H31" s="5"/>
      <c r="I31" s="5"/>
      <c r="J31" s="5"/>
      <c r="K31" s="5"/>
    </row>
    <row r="32" customFormat="false" ht="15" hidden="false" customHeight="false" outlineLevel="0" collapsed="false">
      <c r="A32" s="5" t="s">
        <v>81</v>
      </c>
      <c r="B32" s="5" t="n">
        <f aca="false">COUNTIF(Scores!$L$2:$L$113,A32)</f>
        <v>20</v>
      </c>
      <c r="C32" s="23" t="n">
        <f aca="false">IFERROR(AVERAGEIF(Scores!$L$2:$L$113,A32,Scores!$AG$2:$AG$113),"")</f>
        <v>86.1083333333333</v>
      </c>
      <c r="D32" s="5"/>
      <c r="E32" s="5"/>
      <c r="F32" s="5"/>
      <c r="G32" s="5"/>
      <c r="H32" s="5"/>
      <c r="I32" s="5"/>
      <c r="J32" s="5"/>
      <c r="K32" s="5"/>
    </row>
    <row r="33" customFormat="false" ht="15" hidden="false" customHeight="false" outlineLevel="0" collapsed="false">
      <c r="A33" s="5" t="s">
        <v>87</v>
      </c>
      <c r="B33" s="5" t="n">
        <f aca="false">COUNTIF(Scores!$L$2:$L$113,A33)</f>
        <v>9</v>
      </c>
      <c r="C33" s="23" t="n">
        <f aca="false">IFERROR(AVERAGEIF(Scores!$L$2:$L$113,A33,Scores!$AG$2:$AG$113),"")</f>
        <v>61.2746913580247</v>
      </c>
      <c r="D33" s="5"/>
      <c r="E33" s="5"/>
      <c r="F33" s="5"/>
      <c r="G33" s="5"/>
      <c r="H33" s="5"/>
      <c r="I33" s="5"/>
      <c r="J33" s="5"/>
      <c r="K33" s="5"/>
    </row>
    <row r="34" customFormat="false" ht="15" hidden="false" customHeight="false" outlineLevel="0" collapsed="false">
      <c r="A34" s="5" t="s">
        <v>85</v>
      </c>
      <c r="B34" s="5" t="n">
        <f aca="false">COUNTIF(Scores!$L$2:$L$113,A34)</f>
        <v>9</v>
      </c>
      <c r="C34" s="23" t="n">
        <f aca="false">IFERROR(AVERAGEIF(Scores!$L$2:$L$113,A34,Scores!$AG$2:$AG$113),"")</f>
        <v>75.1481481481482</v>
      </c>
      <c r="D34" s="5"/>
      <c r="E34" s="5"/>
      <c r="F34" s="5"/>
      <c r="G34" s="5"/>
      <c r="H34" s="5"/>
      <c r="I34" s="5"/>
      <c r="J34" s="5"/>
      <c r="K34" s="5"/>
    </row>
    <row r="35" customFormat="false" ht="15" hidden="false" customHeight="false" outlineLevel="0" collapsed="false">
      <c r="A35" s="5" t="s">
        <v>157</v>
      </c>
      <c r="B35" s="5" t="n">
        <f aca="false">COUNTIF(Scores!$L$2:$L$113,A35)</f>
        <v>6</v>
      </c>
      <c r="C35" s="23" t="n">
        <f aca="false">IFERROR(AVERAGEIF(Scores!$L$2:$L$113,A35,Scores!$AG$2:$AG$113),"")</f>
        <v>82.1904761904762</v>
      </c>
      <c r="D35" s="5"/>
      <c r="E35" s="5"/>
      <c r="F35" s="5"/>
      <c r="G35" s="5"/>
      <c r="H35" s="5"/>
      <c r="I35" s="5"/>
      <c r="J35" s="5"/>
      <c r="K35" s="5"/>
    </row>
    <row r="36" customFormat="false" ht="15" hidden="false" customHeight="false" outlineLevel="0" collapsed="false">
      <c r="A36" s="5"/>
      <c r="B36" s="5"/>
      <c r="C36" s="5"/>
      <c r="D36" s="5"/>
      <c r="E36" s="5"/>
      <c r="F36" s="5"/>
      <c r="G36" s="5"/>
      <c r="H36" s="5"/>
      <c r="I36" s="5"/>
      <c r="J36" s="5"/>
      <c r="K36" s="5"/>
    </row>
    <row r="37" customFormat="false" ht="15" hidden="false" customHeight="true" outlineLevel="0" collapsed="false">
      <c r="A37" s="13" t="s">
        <v>528</v>
      </c>
      <c r="B37" s="13"/>
      <c r="C37" s="13"/>
      <c r="D37" s="13"/>
      <c r="E37" s="13"/>
      <c r="F37" s="13"/>
      <c r="G37" s="13"/>
      <c r="H37" s="13"/>
      <c r="I37" s="5"/>
      <c r="J37" s="5"/>
      <c r="K37" s="5"/>
    </row>
    <row r="38" customFormat="false" ht="15" hidden="false" customHeight="false" outlineLevel="0" collapsed="false">
      <c r="A38" s="13"/>
      <c r="B38" s="13"/>
      <c r="C38" s="13"/>
      <c r="D38" s="13"/>
      <c r="E38" s="13"/>
      <c r="F38" s="13"/>
      <c r="G38" s="13"/>
      <c r="H38" s="13"/>
      <c r="I38" s="5"/>
      <c r="J38" s="5"/>
      <c r="K38" s="5"/>
    </row>
    <row r="39" customFormat="false" ht="15" hidden="false" customHeight="false" outlineLevel="0" collapsed="false">
      <c r="A39" s="13"/>
      <c r="B39" s="13"/>
      <c r="C39" s="13"/>
      <c r="D39" s="13"/>
      <c r="E39" s="13"/>
      <c r="F39" s="13"/>
      <c r="G39" s="13"/>
      <c r="H39" s="13"/>
      <c r="I39" s="5"/>
      <c r="J39" s="5"/>
      <c r="K39" s="5"/>
    </row>
    <row r="40" customFormat="false" ht="15" hidden="false" customHeight="false" outlineLevel="0" collapsed="false">
      <c r="A40" s="5"/>
      <c r="B40" s="5"/>
      <c r="C40" s="5"/>
      <c r="D40" s="5"/>
      <c r="E40" s="5"/>
      <c r="F40" s="5"/>
      <c r="G40" s="5"/>
      <c r="H40" s="5"/>
      <c r="I40" s="5"/>
      <c r="J40" s="5"/>
      <c r="K40" s="5"/>
    </row>
    <row r="41" customFormat="false" ht="15" hidden="false" customHeight="false" outlineLevel="0" collapsed="false">
      <c r="A41" s="5"/>
      <c r="B41" s="5"/>
      <c r="C41" s="5"/>
      <c r="D41" s="5"/>
      <c r="E41" s="5"/>
      <c r="F41" s="5"/>
      <c r="G41" s="5"/>
      <c r="H41" s="5"/>
      <c r="I41" s="5"/>
      <c r="J41" s="5"/>
      <c r="K41" s="5"/>
    </row>
    <row r="42" customFormat="false" ht="15" hidden="false" customHeight="false" outlineLevel="0" collapsed="false">
      <c r="A42" s="11" t="s">
        <v>529</v>
      </c>
      <c r="B42" s="5"/>
      <c r="C42" s="5"/>
      <c r="D42" s="5"/>
      <c r="E42" s="5"/>
      <c r="F42" s="5"/>
      <c r="G42" s="5"/>
      <c r="H42" s="5"/>
      <c r="I42" s="5"/>
      <c r="J42" s="5"/>
      <c r="K42" s="5"/>
    </row>
    <row r="43" customFormat="false" ht="15" hidden="false" customHeight="false" outlineLevel="0" collapsed="false">
      <c r="A43" s="5"/>
      <c r="B43" s="24" t="s">
        <v>530</v>
      </c>
      <c r="C43" s="24" t="s">
        <v>45</v>
      </c>
      <c r="D43" s="24" t="s">
        <v>531</v>
      </c>
      <c r="E43" s="24" t="s">
        <v>532</v>
      </c>
      <c r="F43" s="24" t="s">
        <v>533</v>
      </c>
      <c r="G43" s="24" t="s">
        <v>84</v>
      </c>
      <c r="H43" s="24" t="s">
        <v>63</v>
      </c>
      <c r="I43" s="24" t="s">
        <v>534</v>
      </c>
      <c r="J43" s="5"/>
      <c r="K43" s="5"/>
    </row>
    <row r="44" customFormat="false" ht="15" hidden="false" customHeight="false" outlineLevel="0" collapsed="false">
      <c r="A44" s="11" t="s">
        <v>530</v>
      </c>
      <c r="B44" s="21" t="n">
        <v>1</v>
      </c>
      <c r="C44" s="21" t="n">
        <v>-0.03</v>
      </c>
      <c r="D44" s="21" t="n">
        <v>0.08</v>
      </c>
      <c r="E44" s="21" t="n">
        <v>-0.06</v>
      </c>
      <c r="F44" s="21" t="n">
        <v>-0.11</v>
      </c>
      <c r="G44" s="21" t="n">
        <v>0.25</v>
      </c>
      <c r="H44" s="21" t="n">
        <v>0.22</v>
      </c>
      <c r="I44" s="5"/>
      <c r="J44" s="5"/>
      <c r="K44" s="5"/>
    </row>
    <row r="45" customFormat="false" ht="15" hidden="false" customHeight="false" outlineLevel="0" collapsed="false">
      <c r="A45" s="11" t="s">
        <v>45</v>
      </c>
      <c r="B45" s="21" t="n">
        <v>-0.03</v>
      </c>
      <c r="C45" s="21" t="n">
        <v>1</v>
      </c>
      <c r="D45" s="21" t="n">
        <v>-0.14</v>
      </c>
      <c r="E45" s="21" t="n">
        <v>-0.08</v>
      </c>
      <c r="F45" s="21" t="n">
        <v>0.04</v>
      </c>
      <c r="G45" s="21" t="n">
        <v>0.34</v>
      </c>
      <c r="H45" s="5"/>
      <c r="I45" s="5"/>
      <c r="J45" s="5"/>
      <c r="K45" s="5"/>
    </row>
    <row r="46" customFormat="false" ht="15" hidden="false" customHeight="false" outlineLevel="0" collapsed="false">
      <c r="A46" s="11" t="s">
        <v>531</v>
      </c>
      <c r="B46" s="21" t="n">
        <v>0.08</v>
      </c>
      <c r="C46" s="21" t="n">
        <v>-0.14</v>
      </c>
      <c r="D46" s="21" t="n">
        <v>1</v>
      </c>
      <c r="E46" s="21" t="n">
        <v>-0.1</v>
      </c>
      <c r="F46" s="21" t="n">
        <v>-0.01</v>
      </c>
      <c r="G46" s="21" t="n">
        <v>-0.07</v>
      </c>
      <c r="H46" s="21" t="n">
        <v>0.15</v>
      </c>
      <c r="I46" s="21" t="n">
        <v>0.08</v>
      </c>
      <c r="J46" s="5"/>
      <c r="K46" s="5"/>
    </row>
    <row r="47" customFormat="false" ht="15" hidden="false" customHeight="false" outlineLevel="0" collapsed="false">
      <c r="A47" s="11" t="s">
        <v>532</v>
      </c>
      <c r="B47" s="21" t="n">
        <v>-0.06</v>
      </c>
      <c r="C47" s="21" t="n">
        <v>-0.08</v>
      </c>
      <c r="D47" s="21" t="n">
        <v>-0.1</v>
      </c>
      <c r="E47" s="21" t="n">
        <v>1</v>
      </c>
      <c r="F47" s="21" t="n">
        <v>0.12</v>
      </c>
      <c r="G47" s="21" t="n">
        <v>0.32</v>
      </c>
      <c r="H47" s="21" t="n">
        <v>-0.22</v>
      </c>
      <c r="I47" s="21" t="n">
        <v>0.04</v>
      </c>
      <c r="J47" s="5"/>
      <c r="K47" s="5"/>
    </row>
    <row r="48" customFormat="false" ht="15" hidden="false" customHeight="false" outlineLevel="0" collapsed="false">
      <c r="A48" s="11" t="s">
        <v>533</v>
      </c>
      <c r="B48" s="21" t="n">
        <v>-0.11</v>
      </c>
      <c r="C48" s="21" t="n">
        <v>0.04</v>
      </c>
      <c r="D48" s="21" t="n">
        <v>-0.01</v>
      </c>
      <c r="E48" s="21" t="n">
        <v>0.12</v>
      </c>
      <c r="F48" s="21" t="n">
        <v>1</v>
      </c>
      <c r="G48" s="21" t="n">
        <v>0.1</v>
      </c>
      <c r="H48" s="21" t="n">
        <v>0.05</v>
      </c>
      <c r="I48" s="21" t="n">
        <v>-0.15</v>
      </c>
      <c r="J48" s="5"/>
      <c r="K48" s="5"/>
    </row>
    <row r="49" customFormat="false" ht="15" hidden="false" customHeight="false" outlineLevel="0" collapsed="false">
      <c r="A49" s="11" t="s">
        <v>84</v>
      </c>
      <c r="B49" s="21" t="n">
        <v>0.25</v>
      </c>
      <c r="C49" s="21" t="n">
        <v>0.34</v>
      </c>
      <c r="D49" s="21" t="n">
        <v>-0.07</v>
      </c>
      <c r="E49" s="21" t="n">
        <v>0.32</v>
      </c>
      <c r="F49" s="21" t="n">
        <v>0.1</v>
      </c>
      <c r="G49" s="21" t="n">
        <v>1</v>
      </c>
      <c r="H49" s="21" t="n">
        <v>0.02</v>
      </c>
      <c r="I49" s="21" t="n">
        <v>-0.05</v>
      </c>
      <c r="J49" s="5"/>
      <c r="K49" s="5"/>
    </row>
    <row r="50" customFormat="false" ht="15" hidden="false" customHeight="false" outlineLevel="0" collapsed="false">
      <c r="A50" s="11" t="s">
        <v>63</v>
      </c>
      <c r="B50" s="21" t="n">
        <v>0.22</v>
      </c>
      <c r="C50" s="5"/>
      <c r="D50" s="21" t="n">
        <v>0.15</v>
      </c>
      <c r="E50" s="21" t="n">
        <v>-0.22</v>
      </c>
      <c r="F50" s="21" t="n">
        <v>0.05</v>
      </c>
      <c r="G50" s="21" t="n">
        <v>0.02</v>
      </c>
      <c r="H50" s="21" t="n">
        <v>1</v>
      </c>
      <c r="I50" s="5"/>
      <c r="J50" s="5"/>
      <c r="K50" s="5"/>
    </row>
    <row r="51" customFormat="false" ht="15" hidden="false" customHeight="false" outlineLevel="0" collapsed="false">
      <c r="A51" s="11" t="s">
        <v>534</v>
      </c>
      <c r="B51" s="5"/>
      <c r="C51" s="5"/>
      <c r="D51" s="21" t="n">
        <v>0.08</v>
      </c>
      <c r="E51" s="21" t="n">
        <v>0.04</v>
      </c>
      <c r="F51" s="21" t="n">
        <v>-0.15</v>
      </c>
      <c r="G51" s="21" t="n">
        <v>-0.05</v>
      </c>
      <c r="H51" s="5"/>
      <c r="I51" s="21" t="n">
        <v>1</v>
      </c>
      <c r="J51" s="5"/>
      <c r="K51" s="5"/>
    </row>
    <row r="52" customFormat="false" ht="15" hidden="false" customHeight="true" outlineLevel="0" collapsed="false">
      <c r="A52" s="13" t="s">
        <v>535</v>
      </c>
      <c r="B52" s="13"/>
      <c r="C52" s="13"/>
      <c r="D52" s="13"/>
      <c r="E52" s="13"/>
      <c r="F52" s="13"/>
      <c r="G52" s="13"/>
      <c r="H52" s="13"/>
      <c r="I52" s="13"/>
      <c r="J52" s="13"/>
      <c r="K52" s="5"/>
    </row>
    <row r="53" customFormat="false" ht="15" hidden="false" customHeight="false" outlineLevel="0" collapsed="false">
      <c r="A53" s="13"/>
      <c r="B53" s="13"/>
      <c r="C53" s="13"/>
      <c r="D53" s="13"/>
      <c r="E53" s="13"/>
      <c r="F53" s="13"/>
      <c r="G53" s="13"/>
      <c r="H53" s="13"/>
      <c r="I53" s="13"/>
      <c r="J53" s="13"/>
      <c r="K53" s="5"/>
    </row>
    <row r="54" customFormat="false" ht="15" hidden="false" customHeight="false" outlineLevel="0" collapsed="false">
      <c r="A54" s="13"/>
      <c r="B54" s="13"/>
      <c r="C54" s="13"/>
      <c r="D54" s="13"/>
      <c r="E54" s="13"/>
      <c r="F54" s="13"/>
      <c r="G54" s="13"/>
      <c r="H54" s="13"/>
      <c r="I54" s="13"/>
      <c r="J54" s="13"/>
      <c r="K54" s="5"/>
    </row>
  </sheetData>
  <mergeCells count="2">
    <mergeCell ref="A37:H39"/>
    <mergeCell ref="A52:J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8"/>
    <col collapsed="false" customWidth="true" hidden="false" outlineLevel="0" max="4" min="4" style="0" width="16"/>
    <col collapsed="false" customWidth="true" hidden="false" outlineLevel="0" max="5" min="5" style="0" width="18"/>
    <col collapsed="false" customWidth="true" hidden="false" outlineLevel="0" max="6" min="6" style="0" width="64"/>
  </cols>
  <sheetData>
    <row r="1" customFormat="false" ht="15" hidden="false" customHeight="false" outlineLevel="0" collapsed="false">
      <c r="A1" s="4" t="s">
        <v>536</v>
      </c>
      <c r="B1" s="5"/>
      <c r="C1" s="5"/>
      <c r="D1" s="5"/>
      <c r="E1" s="5"/>
      <c r="F1" s="5"/>
    </row>
    <row r="2" customFormat="false" ht="15" hidden="false" customHeight="false" outlineLevel="0" collapsed="false">
      <c r="A2" s="5" t="s">
        <v>537</v>
      </c>
      <c r="B2" s="5"/>
      <c r="C2" s="5"/>
      <c r="D2" s="5"/>
      <c r="E2" s="5"/>
      <c r="F2" s="5"/>
    </row>
    <row r="3" customFormat="false" ht="15" hidden="false" customHeight="false" outlineLevel="0" collapsed="false">
      <c r="A3" s="5"/>
      <c r="B3" s="5"/>
      <c r="C3" s="5"/>
      <c r="D3" s="5"/>
      <c r="E3" s="5"/>
      <c r="F3" s="5"/>
    </row>
    <row r="4" customFormat="false" ht="23.85" hidden="false" customHeight="false" outlineLevel="0" collapsed="false">
      <c r="A4" s="6" t="s">
        <v>538</v>
      </c>
      <c r="B4" s="6" t="s">
        <v>539</v>
      </c>
      <c r="C4" s="6" t="s">
        <v>540</v>
      </c>
      <c r="D4" s="6" t="s">
        <v>541</v>
      </c>
      <c r="E4" s="6" t="s">
        <v>542</v>
      </c>
      <c r="F4" s="6" t="s">
        <v>543</v>
      </c>
    </row>
    <row r="5" customFormat="false" ht="15" hidden="false" customHeight="false" outlineLevel="0" collapsed="false">
      <c r="A5" s="5" t="s">
        <v>544</v>
      </c>
      <c r="B5" s="25" t="n">
        <v>1</v>
      </c>
      <c r="C5" s="5" t="n">
        <v>0</v>
      </c>
      <c r="D5" s="5" t="n">
        <v>0</v>
      </c>
      <c r="E5" s="5" t="n">
        <v>0</v>
      </c>
      <c r="F5" s="5" t="s">
        <v>545</v>
      </c>
    </row>
    <row r="6" customFormat="false" ht="15" hidden="false" customHeight="false" outlineLevel="0" collapsed="false">
      <c r="A6" s="5" t="s">
        <v>546</v>
      </c>
      <c r="B6" s="25" t="n">
        <v>0.809</v>
      </c>
      <c r="C6" s="5" t="n">
        <v>4.84</v>
      </c>
      <c r="D6" s="5" t="n">
        <v>20</v>
      </c>
      <c r="E6" s="5" t="n">
        <v>68</v>
      </c>
      <c r="F6" s="5" t="s">
        <v>547</v>
      </c>
    </row>
    <row r="7" customFormat="false" ht="15" hidden="false" customHeight="false" outlineLevel="0" collapsed="false">
      <c r="A7" s="5" t="s">
        <v>548</v>
      </c>
      <c r="B7" s="25" t="n">
        <v>0.896</v>
      </c>
      <c r="C7" s="5" t="n">
        <v>7.09</v>
      </c>
      <c r="D7" s="5" t="n">
        <v>18.6</v>
      </c>
      <c r="E7" s="5" t="n">
        <v>44</v>
      </c>
      <c r="F7" s="5" t="s">
        <v>549</v>
      </c>
    </row>
    <row r="8" customFormat="false" ht="15" hidden="false" customHeight="false" outlineLevel="0" collapsed="false">
      <c r="A8" s="5" t="s">
        <v>550</v>
      </c>
      <c r="B8" s="25" t="n">
        <v>0.983</v>
      </c>
      <c r="C8" s="5" t="n">
        <v>4.25</v>
      </c>
      <c r="D8" s="5" t="n">
        <v>15.1</v>
      </c>
      <c r="E8" s="5" t="n">
        <v>9</v>
      </c>
      <c r="F8" s="5" t="s">
        <v>551</v>
      </c>
    </row>
    <row r="9" customFormat="false" ht="15" hidden="false" customHeight="false" outlineLevel="0" collapsed="false">
      <c r="A9" s="5" t="s">
        <v>552</v>
      </c>
      <c r="B9" s="25" t="n">
        <v>0.957</v>
      </c>
      <c r="C9" s="5" t="n">
        <v>1.19</v>
      </c>
      <c r="D9" s="5" t="n">
        <v>14.3</v>
      </c>
      <c r="E9" s="5" t="n">
        <v>12</v>
      </c>
      <c r="F9" s="5" t="s">
        <v>553</v>
      </c>
    </row>
    <row r="10" customFormat="false" ht="15" hidden="false" customHeight="false" outlineLevel="0" collapsed="false">
      <c r="A10" s="5" t="s">
        <v>554</v>
      </c>
      <c r="B10" s="25" t="n">
        <v>0.814</v>
      </c>
      <c r="C10" s="5" t="n">
        <v>1.94</v>
      </c>
      <c r="D10" s="5" t="n">
        <v>14.3</v>
      </c>
      <c r="E10" s="5" t="n">
        <v>60</v>
      </c>
      <c r="F10" s="5" t="s">
        <v>555</v>
      </c>
    </row>
    <row r="11" customFormat="false" ht="15" hidden="false" customHeight="false" outlineLevel="0" collapsed="false">
      <c r="A11" s="5" t="s">
        <v>556</v>
      </c>
      <c r="B11" s="25" t="n">
        <v>0.616</v>
      </c>
      <c r="C11" s="5" t="n">
        <v>12.95</v>
      </c>
      <c r="D11" s="5" t="n">
        <v>52.5</v>
      </c>
      <c r="E11" s="5" t="n">
        <v>61</v>
      </c>
      <c r="F11" s="5" t="s">
        <v>557</v>
      </c>
    </row>
    <row r="12" customFormat="false" ht="15" hidden="false" customHeight="false" outlineLevel="0" collapsed="false">
      <c r="A12" s="5" t="s">
        <v>558</v>
      </c>
      <c r="B12" s="25" t="n">
        <v>0.786</v>
      </c>
      <c r="C12" s="5" t="n">
        <v>5.78</v>
      </c>
      <c r="D12" s="5" t="n">
        <v>20</v>
      </c>
      <c r="E12" s="5" t="n">
        <v>70</v>
      </c>
      <c r="F12" s="5" t="s">
        <v>559</v>
      </c>
    </row>
    <row r="13" customFormat="false" ht="15" hidden="false" customHeight="false" outlineLevel="0" collapsed="false">
      <c r="A13" s="5" t="s">
        <v>560</v>
      </c>
      <c r="B13" s="25" t="n">
        <v>0.995</v>
      </c>
      <c r="C13" s="5" t="n">
        <v>0.59</v>
      </c>
      <c r="D13" s="5" t="n">
        <v>12.5</v>
      </c>
      <c r="E13" s="5" t="n">
        <v>2</v>
      </c>
      <c r="F13" s="5" t="s">
        <v>561</v>
      </c>
    </row>
    <row r="14" customFormat="false" ht="15" hidden="false" customHeight="false" outlineLevel="0" collapsed="false">
      <c r="A14" s="5" t="s">
        <v>562</v>
      </c>
      <c r="B14" s="25" t="n">
        <v>0.969</v>
      </c>
      <c r="C14" s="5" t="n">
        <v>1.37</v>
      </c>
      <c r="D14" s="5" t="n">
        <v>5.8</v>
      </c>
      <c r="E14" s="5" t="n">
        <v>31</v>
      </c>
      <c r="F14" s="5" t="s">
        <v>563</v>
      </c>
    </row>
    <row r="15" customFormat="false" ht="15" hidden="false" customHeight="false" outlineLevel="0" collapsed="false">
      <c r="A15" s="5" t="s">
        <v>564</v>
      </c>
      <c r="B15" s="25" t="n">
        <v>0.882</v>
      </c>
      <c r="C15" s="5" t="n">
        <v>7.03</v>
      </c>
      <c r="D15" s="5" t="n">
        <v>12.5</v>
      </c>
      <c r="E15" s="5" t="n">
        <v>64</v>
      </c>
      <c r="F15" s="5" t="s">
        <v>565</v>
      </c>
    </row>
    <row r="16" customFormat="false" ht="15" hidden="false" customHeight="false" outlineLevel="0" collapsed="false">
      <c r="A16" s="5" t="s">
        <v>566</v>
      </c>
      <c r="B16" s="25" t="n">
        <v>0.995</v>
      </c>
      <c r="C16" s="5" t="n">
        <v>0.63</v>
      </c>
      <c r="D16" s="5" t="n">
        <v>2.1</v>
      </c>
      <c r="E16" s="5" t="n">
        <v>2</v>
      </c>
      <c r="F16" s="5" t="s">
        <v>567</v>
      </c>
    </row>
    <row r="17" customFormat="false" ht="15" hidden="false" customHeight="false" outlineLevel="0" collapsed="false">
      <c r="A17" s="5" t="s">
        <v>568</v>
      </c>
      <c r="B17" s="25" t="n">
        <v>0.998</v>
      </c>
      <c r="C17" s="5" t="n">
        <v>0.62</v>
      </c>
      <c r="D17" s="5" t="n">
        <v>1.6</v>
      </c>
      <c r="E17" s="5" t="n">
        <v>1</v>
      </c>
      <c r="F17" s="5" t="s">
        <v>567</v>
      </c>
    </row>
    <row r="18" customFormat="false" ht="15" hidden="false" customHeight="false" outlineLevel="0" collapsed="false">
      <c r="A18" s="5" t="s">
        <v>569</v>
      </c>
      <c r="B18" s="25" t="n">
        <v>0.896</v>
      </c>
      <c r="C18" s="5" t="n">
        <v>3.79</v>
      </c>
      <c r="D18" s="5" t="n">
        <v>25.7</v>
      </c>
      <c r="E18" s="5" t="n">
        <v>61</v>
      </c>
      <c r="F18" s="5" t="s">
        <v>570</v>
      </c>
    </row>
    <row r="19" customFormat="false" ht="15" hidden="false" customHeight="false" outlineLevel="0" collapsed="false">
      <c r="A19" s="5" t="s">
        <v>571</v>
      </c>
      <c r="B19" s="25" t="n">
        <v>0.941</v>
      </c>
      <c r="C19" s="5" t="n">
        <v>1.32</v>
      </c>
      <c r="D19" s="5" t="n">
        <v>5</v>
      </c>
      <c r="E19" s="5" t="n">
        <v>43</v>
      </c>
      <c r="F19" s="5" t="s">
        <v>572</v>
      </c>
    </row>
    <row r="20" customFormat="false" ht="15" hidden="false" customHeight="false" outlineLevel="0" collapsed="false">
      <c r="A20" s="5" t="s">
        <v>573</v>
      </c>
      <c r="B20" s="25" t="n">
        <v>1</v>
      </c>
      <c r="C20" s="5" t="n">
        <v>0.29</v>
      </c>
      <c r="D20" s="5" t="n">
        <v>15.6</v>
      </c>
      <c r="E20" s="5" t="n">
        <v>0</v>
      </c>
      <c r="F20" s="5" t="s">
        <v>574</v>
      </c>
    </row>
    <row r="21" customFormat="false" ht="15" hidden="false" customHeight="false" outlineLevel="0" collapsed="false">
      <c r="A21" s="5" t="s">
        <v>575</v>
      </c>
      <c r="B21" s="25" t="n">
        <v>0.984</v>
      </c>
      <c r="C21" s="5" t="n">
        <v>0.28</v>
      </c>
      <c r="D21" s="5" t="n">
        <v>25.7</v>
      </c>
      <c r="E21" s="5" t="n">
        <v>2</v>
      </c>
      <c r="F21" s="5" t="s">
        <v>576</v>
      </c>
    </row>
    <row r="22" customFormat="false" ht="15" hidden="false" customHeight="false" outlineLevel="0" collapsed="false">
      <c r="A22" s="5"/>
      <c r="B22" s="5"/>
      <c r="C22" s="5"/>
      <c r="D22" s="5"/>
      <c r="E22" s="5"/>
      <c r="F22" s="5"/>
    </row>
    <row r="23" customFormat="false" ht="15" hidden="false" customHeight="false" outlineLevel="0" collapsed="false">
      <c r="A23" s="5"/>
      <c r="B23" s="5"/>
      <c r="C23" s="5"/>
      <c r="D23" s="5"/>
      <c r="E23" s="5"/>
      <c r="F23" s="5"/>
    </row>
    <row r="24" customFormat="false" ht="15" hidden="false" customHeight="false" outlineLevel="0" collapsed="false">
      <c r="A24" s="11" t="s">
        <v>577</v>
      </c>
      <c r="B24" s="5"/>
      <c r="C24" s="5"/>
      <c r="D24" s="5"/>
      <c r="E24" s="5"/>
      <c r="F24" s="5"/>
    </row>
    <row r="25" customFormat="false" ht="15" hidden="false" customHeight="false" outlineLevel="0" collapsed="false">
      <c r="A25" s="5" t="s">
        <v>578</v>
      </c>
      <c r="B25" s="5" t="n">
        <v>0.969</v>
      </c>
      <c r="C25" s="5"/>
      <c r="D25" s="5"/>
      <c r="E25" s="5"/>
      <c r="F25" s="5"/>
    </row>
    <row r="26" customFormat="false" ht="15" hidden="false" customHeight="false" outlineLevel="0" collapsed="false">
      <c r="A26" s="5" t="s">
        <v>579</v>
      </c>
      <c r="B26" s="5" t="n">
        <v>0.866</v>
      </c>
      <c r="C26" s="5"/>
      <c r="D26" s="5"/>
      <c r="E26" s="5"/>
      <c r="F26" s="5"/>
    </row>
    <row r="27" customFormat="false" ht="15" hidden="false" customHeight="false" outlineLevel="0" collapsed="false">
      <c r="A27" s="5" t="s">
        <v>580</v>
      </c>
      <c r="B27" s="5" t="n">
        <v>0.611</v>
      </c>
      <c r="C27" s="5"/>
      <c r="D27" s="5"/>
      <c r="E27" s="5"/>
      <c r="F27" s="5"/>
    </row>
    <row r="28" customFormat="false" ht="15" hidden="false" customHeight="false" outlineLevel="0" collapsed="false">
      <c r="A28" s="5"/>
      <c r="B28" s="5"/>
      <c r="C28" s="5"/>
      <c r="D28" s="5"/>
      <c r="E28" s="5"/>
      <c r="F28" s="5"/>
    </row>
    <row r="29" customFormat="false" ht="15" hidden="false" customHeight="true" outlineLevel="0" collapsed="false">
      <c r="A29" s="13" t="s">
        <v>581</v>
      </c>
      <c r="B29" s="13"/>
      <c r="C29" s="13"/>
      <c r="D29" s="13"/>
      <c r="E29" s="13"/>
      <c r="F29" s="13"/>
    </row>
    <row r="30" customFormat="false" ht="15" hidden="false" customHeight="false" outlineLevel="0" collapsed="false">
      <c r="A30" s="13"/>
      <c r="B30" s="13"/>
      <c r="C30" s="13"/>
      <c r="D30" s="13"/>
      <c r="E30" s="13"/>
      <c r="F30" s="13"/>
    </row>
    <row r="31" customFormat="false" ht="15" hidden="false" customHeight="false" outlineLevel="0" collapsed="false">
      <c r="A31" s="13"/>
      <c r="B31" s="13"/>
      <c r="C31" s="13"/>
      <c r="D31" s="13"/>
      <c r="E31" s="13"/>
      <c r="F31" s="13"/>
    </row>
    <row r="32" customFormat="false" ht="15" hidden="false" customHeight="false" outlineLevel="0" collapsed="false">
      <c r="A32" s="13"/>
      <c r="B32" s="13"/>
      <c r="C32" s="13"/>
      <c r="D32" s="13"/>
      <c r="E32" s="13"/>
      <c r="F32" s="13"/>
    </row>
  </sheetData>
  <mergeCells count="1">
    <mergeCell ref="A29: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2026-10-14T10:52:09Z</dcterms:created>
  <dc:creator>openpyxl</dc:creator>
  <dc:description/>
  <dc:language>en-US</dc:language>
  <cp:lastModifiedBy/>
  <dcterms:modified xsi:type="dcterms:W3CDTF">2026-10-14T10:52:27Z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