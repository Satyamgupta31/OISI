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Verification" sheetId="6" state="visible" r:id="rId6"/>
    <sheet name="Affiliation Coding" sheetId="7" state="visible" r:id="rId7"/>
    <sheet name="Calc" sheetId="8" state="visible" r:id="rId8"/>
    <sheet name="Data" sheetId="9" state="visible" r:id="rId9"/>
    <sheet name="Field Guide" sheetId="10" state="visible" r:id="rId10"/>
  </sheets>
  <definedNames>
    <definedName name="_xlnm._FilterDatabase" localSheetId="0" hidden="1">'Summary'!$A$1:$B$12</definedName>
    <definedName name="_xlnm._FilterDatabase" localSheetId="1" hidden="1">'Scoring'!$A$1:$Q$113</definedName>
    <definedName name="_xlnm._FilterDatabase" localSheetId="2" hidden="1">'Metric Rules'!$A$1:$G$6</definedName>
    <definedName name="_xlnm._FilterDatabase" localSheetId="3" hidden="1">'Methodology'!$A$1:$B$11</definedName>
    <definedName name="_xlnm._FilterDatabase" localSheetId="4" hidden="1">'Parameters'!$A$1:$F$10</definedName>
    <definedName name="_xlnm._FilterDatabase" localSheetId="5" hidden="1">'Verification'!$A$1:$F$113</definedName>
    <definedName name="_xlnm._FilterDatabase" localSheetId="6" hidden="1">'Affiliation Coding'!$A$1:$G$113</definedName>
    <definedName name="_xlnm._FilterDatabase" localSheetId="7" hidden="1">'Calc'!$A$1:$K$113</definedName>
    <definedName name="_xlnm._FilterDatabase" localSheetId="8" hidden="1">'Data'!$A$1:$Z$113</definedName>
    <definedName name="_xlnm._FilterDatabase" localSheetId="9" hidden="1">'Field Guide'!$A$1:$D$19</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OpenAI</author>
  </authors>
  <commentList>
    <comment ref="D2" authorId="0" shapeId="0">
      <text>
        <t>Optional reviewer override. Allowed values: 0, 50, or 100.</t>
      </text>
    </comment>
    <comment ref="D3" authorId="0" shapeId="0">
      <text>
        <t>Optional reviewer override. Allowed values: 0, 50, or 100.</t>
      </text>
    </comment>
    <comment ref="D4" authorId="0" shapeId="0">
      <text>
        <t>Optional reviewer override. Allowed values: 0, 50, or 100.</t>
      </text>
    </comment>
    <comment ref="D5" authorId="0" shapeId="0">
      <text>
        <t>Optional reviewer override. Allowed values: 0, 50, or 100.</t>
      </text>
    </comment>
    <comment ref="D6" authorId="0" shapeId="0">
      <text>
        <t>Optional reviewer override. Allowed values: 0, 50, or 100.</t>
      </text>
    </comment>
    <comment ref="D7" authorId="0" shapeId="0">
      <text>
        <t>Optional reviewer override. Allowed values: 0, 50, or 100.</t>
      </text>
    </comment>
    <comment ref="D8" authorId="0" shapeId="0">
      <text>
        <t>Optional reviewer override. Allowed values: 0, 50, or 100.</t>
      </text>
    </comment>
    <comment ref="D9" authorId="0" shapeId="0">
      <text>
        <t>Optional reviewer override. Allowed values: 0, 50, or 100.</t>
      </text>
    </comment>
    <comment ref="D10" authorId="0" shapeId="0">
      <text>
        <t>Optional reviewer override. Allowed values: 0, 50, or 100.</t>
      </text>
    </comment>
    <comment ref="D11" authorId="0" shapeId="0">
      <text>
        <t>Optional reviewer override. Allowed values: 0, 50, or 100.</t>
      </text>
    </comment>
    <comment ref="D12" authorId="0" shapeId="0">
      <text>
        <t>Optional reviewer override. Allowed values: 0, 50, or 100.</t>
      </text>
    </comment>
    <comment ref="D13" authorId="0" shapeId="0">
      <text>
        <t>Optional reviewer override. Allowed values: 0, 50, or 100.</t>
      </text>
    </comment>
    <comment ref="D14" authorId="0" shapeId="0">
      <text>
        <t>Optional reviewer override. Allowed values: 0, 50, or 100.</t>
      </text>
    </comment>
    <comment ref="D15" authorId="0" shapeId="0">
      <text>
        <t>Optional reviewer override. Allowed values: 0, 50, or 100.</t>
      </text>
    </comment>
    <comment ref="D16" authorId="0" shapeId="0">
      <text>
        <t>Optional reviewer override. Allowed values: 0, 50, or 100.</t>
      </text>
    </comment>
    <comment ref="D17" authorId="0" shapeId="0">
      <text>
        <t>Optional reviewer override. Allowed values: 0, 50, or 100.</t>
      </text>
    </comment>
    <comment ref="D18" authorId="0" shapeId="0">
      <text>
        <t>Optional reviewer override. Allowed values: 0, 50, or 100.</t>
      </text>
    </comment>
    <comment ref="D19" authorId="0" shapeId="0">
      <text>
        <t>Optional reviewer override. Allowed values: 0, 50, or 100.</t>
      </text>
    </comment>
    <comment ref="D20" authorId="0" shapeId="0">
      <text>
        <t>Optional reviewer override. Allowed values: 0, 50, or 100.</t>
      </text>
    </comment>
    <comment ref="D21" authorId="0" shapeId="0">
      <text>
        <t>Optional reviewer override. Allowed values: 0, 50, or 100.</t>
      </text>
    </comment>
    <comment ref="D22" authorId="0" shapeId="0">
      <text>
        <t>Optional reviewer override. Allowed values: 0, 50, or 100.</t>
      </text>
    </comment>
    <comment ref="D23" authorId="0" shapeId="0">
      <text>
        <t>Optional reviewer override. Allowed values: 0, 50, or 100.</t>
      </text>
    </comment>
    <comment ref="D24" authorId="0" shapeId="0">
      <text>
        <t>Optional reviewer override. Allowed values: 0, 50, or 100.</t>
      </text>
    </comment>
    <comment ref="D25" authorId="0" shapeId="0">
      <text>
        <t>Optional reviewer override. Allowed values: 0, 50, or 100.</t>
      </text>
    </comment>
    <comment ref="D26" authorId="0" shapeId="0">
      <text>
        <t>Optional reviewer override. Allowed values: 0, 50, or 100.</t>
      </text>
    </comment>
    <comment ref="D27" authorId="0" shapeId="0">
      <text>
        <t>Optional reviewer override. Allowed values: 0, 50, or 100.</t>
      </text>
    </comment>
    <comment ref="D28" authorId="0" shapeId="0">
      <text>
        <t>Optional reviewer override. Allowed values: 0, 50, or 100.</t>
      </text>
    </comment>
    <comment ref="D29" authorId="0" shapeId="0">
      <text>
        <t>Optional reviewer override. Allowed values: 0, 50, or 100.</t>
      </text>
    </comment>
    <comment ref="D30" authorId="0" shapeId="0">
      <text>
        <t>Optional reviewer override. Allowed values: 0, 50, or 100.</t>
      </text>
    </comment>
    <comment ref="D31" authorId="0" shapeId="0">
      <text>
        <t>Optional reviewer override. Allowed values: 0, 50, or 100.</t>
      </text>
    </comment>
    <comment ref="D32" authorId="0" shapeId="0">
      <text>
        <t>Optional reviewer override. Allowed values: 0, 50, or 100.</t>
      </text>
    </comment>
    <comment ref="D33" authorId="0" shapeId="0">
      <text>
        <t>Optional reviewer override. Allowed values: 0, 50, or 100.</t>
      </text>
    </comment>
    <comment ref="D34" authorId="0" shapeId="0">
      <text>
        <t>Optional reviewer override. Allowed values: 0, 50, or 100.</t>
      </text>
    </comment>
    <comment ref="D35" authorId="0" shapeId="0">
      <text>
        <t>Optional reviewer override. Allowed values: 0, 50, or 100.</t>
      </text>
    </comment>
    <comment ref="D36" authorId="0" shapeId="0">
      <text>
        <t>Optional reviewer override. Allowed values: 0, 50, or 100.</t>
      </text>
    </comment>
    <comment ref="D37" authorId="0" shapeId="0">
      <text>
        <t>Optional reviewer override. Allowed values: 0, 50, or 100.</t>
      </text>
    </comment>
    <comment ref="D38" authorId="0" shapeId="0">
      <text>
        <t>Optional reviewer override. Allowed values: 0, 50, or 100.</t>
      </text>
    </comment>
    <comment ref="D39" authorId="0" shapeId="0">
      <text>
        <t>Optional reviewer override. Allowed values: 0, 50, or 100.</t>
      </text>
    </comment>
    <comment ref="D40" authorId="0" shapeId="0">
      <text>
        <t>Optional reviewer override. Allowed values: 0, 50, or 100.</t>
      </text>
    </comment>
    <comment ref="D41" authorId="0" shapeId="0">
      <text>
        <t>Optional reviewer override. Allowed values: 0, 50, or 100.</t>
      </text>
    </comment>
    <comment ref="D42" authorId="0" shapeId="0">
      <text>
        <t>Optional reviewer override. Allowed values: 0, 50, or 100.</t>
      </text>
    </comment>
    <comment ref="D43" authorId="0" shapeId="0">
      <text>
        <t>Optional reviewer override. Allowed values: 0, 50, or 100.</t>
      </text>
    </comment>
    <comment ref="D44" authorId="0" shapeId="0">
      <text>
        <t>Optional reviewer override. Allowed values: 0, 50, or 100.</t>
      </text>
    </comment>
    <comment ref="D45" authorId="0" shapeId="0">
      <text>
        <t>Optional reviewer override. Allowed values: 0, 50, or 100.</t>
      </text>
    </comment>
    <comment ref="D46" authorId="0" shapeId="0">
      <text>
        <t>Optional reviewer override. Allowed values: 0, 50, or 100.</t>
      </text>
    </comment>
    <comment ref="D47" authorId="0" shapeId="0">
      <text>
        <t>Optional reviewer override. Allowed values: 0, 50, or 100.</t>
      </text>
    </comment>
    <comment ref="D48" authorId="0" shapeId="0">
      <text>
        <t>Optional reviewer override. Allowed values: 0, 50, or 100.</t>
      </text>
    </comment>
    <comment ref="D49" authorId="0" shapeId="0">
      <text>
        <t>Optional reviewer override. Allowed values: 0, 50, or 100.</t>
      </text>
    </comment>
    <comment ref="D50" authorId="0" shapeId="0">
      <text>
        <t>Optional reviewer override. Allowed values: 0, 50, or 100.</t>
      </text>
    </comment>
    <comment ref="D51" authorId="0" shapeId="0">
      <text>
        <t>Optional reviewer override. Allowed values: 0, 50, or 100.</t>
      </text>
    </comment>
    <comment ref="D52" authorId="0" shapeId="0">
      <text>
        <t>Optional reviewer override. Allowed values: 0, 50, or 100.</t>
      </text>
    </comment>
    <comment ref="D53" authorId="0" shapeId="0">
      <text>
        <t>Optional reviewer override. Allowed values: 0, 50, or 100.</t>
      </text>
    </comment>
    <comment ref="D54" authorId="0" shapeId="0">
      <text>
        <t>Optional reviewer override. Allowed values: 0, 50, or 100.</t>
      </text>
    </comment>
    <comment ref="D55" authorId="0" shapeId="0">
      <text>
        <t>Optional reviewer override. Allowed values: 0, 50, or 100.</t>
      </text>
    </comment>
    <comment ref="D56" authorId="0" shapeId="0">
      <text>
        <t>Optional reviewer override. Allowed values: 0, 50, or 100.</t>
      </text>
    </comment>
    <comment ref="D57" authorId="0" shapeId="0">
      <text>
        <t>Optional reviewer override. Allowed values: 0, 50, or 100.</t>
      </text>
    </comment>
    <comment ref="D58" authorId="0" shapeId="0">
      <text>
        <t>Optional reviewer override. Allowed values: 0, 50, or 100.</t>
      </text>
    </comment>
    <comment ref="D59" authorId="0" shapeId="0">
      <text>
        <t>Optional reviewer override. Allowed values: 0, 50, or 100.</t>
      </text>
    </comment>
    <comment ref="D60" authorId="0" shapeId="0">
      <text>
        <t>Optional reviewer override. Allowed values: 0, 50, or 100.</t>
      </text>
    </comment>
    <comment ref="D61" authorId="0" shapeId="0">
      <text>
        <t>Optional reviewer override. Allowed values: 0, 50, or 100.</t>
      </text>
    </comment>
    <comment ref="D62" authorId="0" shapeId="0">
      <text>
        <t>Optional reviewer override. Allowed values: 0, 50, or 100.</t>
      </text>
    </comment>
    <comment ref="D63" authorId="0" shapeId="0">
      <text>
        <t>Optional reviewer override. Allowed values: 0, 50, or 100.</t>
      </text>
    </comment>
    <comment ref="D64" authorId="0" shapeId="0">
      <text>
        <t>Optional reviewer override. Allowed values: 0, 50, or 100.</t>
      </text>
    </comment>
    <comment ref="D65" authorId="0" shapeId="0">
      <text>
        <t>Optional reviewer override. Allowed values: 0, 50, or 100.</t>
      </text>
    </comment>
    <comment ref="D66" authorId="0" shapeId="0">
      <text>
        <t>Optional reviewer override. Allowed values: 0, 50, or 100.</t>
      </text>
    </comment>
    <comment ref="D67" authorId="0" shapeId="0">
      <text>
        <t>Optional reviewer override. Allowed values: 0, 50, or 100.</t>
      </text>
    </comment>
    <comment ref="D68" authorId="0" shapeId="0">
      <text>
        <t>Optional reviewer override. Allowed values: 0, 50, or 100.</t>
      </text>
    </comment>
    <comment ref="D69" authorId="0" shapeId="0">
      <text>
        <t>Optional reviewer override. Allowed values: 0, 50, or 100.</t>
      </text>
    </comment>
    <comment ref="D70" authorId="0" shapeId="0">
      <text>
        <t>Optional reviewer override. Allowed values: 0, 50, or 100.</t>
      </text>
    </comment>
    <comment ref="D71" authorId="0" shapeId="0">
      <text>
        <t>Optional reviewer override. Allowed values: 0, 50, or 100.</t>
      </text>
    </comment>
    <comment ref="D72" authorId="0" shapeId="0">
      <text>
        <t>Optional reviewer override. Allowed values: 0, 50, or 100.</t>
      </text>
    </comment>
    <comment ref="D73" authorId="0" shapeId="0">
      <text>
        <t>Optional reviewer override. Allowed values: 0, 50, or 100.</t>
      </text>
    </comment>
    <comment ref="D74" authorId="0" shapeId="0">
      <text>
        <t>Optional reviewer override. Allowed values: 0, 50, or 100.</t>
      </text>
    </comment>
    <comment ref="D75" authorId="0" shapeId="0">
      <text>
        <t>Optional reviewer override. Allowed values: 0, 50, or 100.</t>
      </text>
    </comment>
    <comment ref="D76" authorId="0" shapeId="0">
      <text>
        <t>Optional reviewer override. Allowed values: 0, 50, or 100.</t>
      </text>
    </comment>
    <comment ref="D77" authorId="0" shapeId="0">
      <text>
        <t>Optional reviewer override. Allowed values: 0, 50, or 100.</t>
      </text>
    </comment>
    <comment ref="D78" authorId="0" shapeId="0">
      <text>
        <t>Optional reviewer override. Allowed values: 0, 50, or 100.</t>
      </text>
    </comment>
    <comment ref="D79" authorId="0" shapeId="0">
      <text>
        <t>Optional reviewer override. Allowed values: 0, 50, or 100.</t>
      </text>
    </comment>
    <comment ref="D80" authorId="0" shapeId="0">
      <text>
        <t>Optional reviewer override. Allowed values: 0, 50, or 100.</t>
      </text>
    </comment>
    <comment ref="D81" authorId="0" shapeId="0">
      <text>
        <t>Optional reviewer override. Allowed values: 0, 50, or 100.</t>
      </text>
    </comment>
    <comment ref="D82" authorId="0" shapeId="0">
      <text>
        <t>Optional reviewer override. Allowed values: 0, 50, or 100.</t>
      </text>
    </comment>
    <comment ref="D83" authorId="0" shapeId="0">
      <text>
        <t>Optional reviewer override. Allowed values: 0, 50, or 100.</t>
      </text>
    </comment>
    <comment ref="D84" authorId="0" shapeId="0">
      <text>
        <t>Optional reviewer override. Allowed values: 0, 50, or 100.</t>
      </text>
    </comment>
    <comment ref="D85" authorId="0" shapeId="0">
      <text>
        <t>Optional reviewer override. Allowed values: 0, 50, or 100.</t>
      </text>
    </comment>
    <comment ref="D86" authorId="0" shapeId="0">
      <text>
        <t>Optional reviewer override. Allowed values: 0, 50, or 100.</t>
      </text>
    </comment>
    <comment ref="D87" authorId="0" shapeId="0">
      <text>
        <t>Optional reviewer override. Allowed values: 0, 50, or 100.</t>
      </text>
    </comment>
    <comment ref="D88" authorId="0" shapeId="0">
      <text>
        <t>Optional reviewer override. Allowed values: 0, 50, or 100.</t>
      </text>
    </comment>
    <comment ref="D89" authorId="0" shapeId="0">
      <text>
        <t>Optional reviewer override. Allowed values: 0, 50, or 100.</t>
      </text>
    </comment>
    <comment ref="D90" authorId="0" shapeId="0">
      <text>
        <t>Optional reviewer override. Allowed values: 0, 50, or 100.</t>
      </text>
    </comment>
    <comment ref="D91" authorId="0" shapeId="0">
      <text>
        <t>Optional reviewer override. Allowed values: 0, 50, or 100.</t>
      </text>
    </comment>
    <comment ref="D92" authorId="0" shapeId="0">
      <text>
        <t>Optional reviewer override. Allowed values: 0, 50, or 100.</t>
      </text>
    </comment>
    <comment ref="D93" authorId="0" shapeId="0">
      <text>
        <t>Optional reviewer override. Allowed values: 0, 50, or 100.</t>
      </text>
    </comment>
    <comment ref="D94" authorId="0" shapeId="0">
      <text>
        <t>Optional reviewer override. Allowed values: 0, 50, or 100.</t>
      </text>
    </comment>
    <comment ref="D95" authorId="0" shapeId="0">
      <text>
        <t>Optional reviewer override. Allowed values: 0, 50, or 100.</t>
      </text>
    </comment>
    <comment ref="D96" authorId="0" shapeId="0">
      <text>
        <t>Optional reviewer override. Allowed values: 0, 50, or 100.</t>
      </text>
    </comment>
    <comment ref="D97" authorId="0" shapeId="0">
      <text>
        <t>Optional reviewer override. Allowed values: 0, 50, or 100.</t>
      </text>
    </comment>
    <comment ref="D98" authorId="0" shapeId="0">
      <text>
        <t>Optional reviewer override. Allowed values: 0, 50, or 100.</t>
      </text>
    </comment>
    <comment ref="D99" authorId="0" shapeId="0">
      <text>
        <t>Optional reviewer override. Allowed values: 0, 50, or 100.</t>
      </text>
    </comment>
    <comment ref="D100" authorId="0" shapeId="0">
      <text>
        <t>Optional reviewer override. Allowed values: 0, 50, or 100.</t>
      </text>
    </comment>
    <comment ref="D101" authorId="0" shapeId="0">
      <text>
        <t>Optional reviewer override. Allowed values: 0, 50, or 100.</t>
      </text>
    </comment>
    <comment ref="D102" authorId="0" shapeId="0">
      <text>
        <t>Optional reviewer override. Allowed values: 0, 50, or 100.</t>
      </text>
    </comment>
    <comment ref="D103" authorId="0" shapeId="0">
      <text>
        <t>Optional reviewer override. Allowed values: 0, 50, or 100.</t>
      </text>
    </comment>
    <comment ref="D104" authorId="0" shapeId="0">
      <text>
        <t>Optional reviewer override. Allowed values: 0, 50, or 100.</t>
      </text>
    </comment>
    <comment ref="D105" authorId="0" shapeId="0">
      <text>
        <t>Optional reviewer override. Allowed values: 0, 50, or 100.</t>
      </text>
    </comment>
    <comment ref="D106" authorId="0" shapeId="0">
      <text>
        <t>Optional reviewer override. Allowed values: 0, 50, or 100.</t>
      </text>
    </comment>
    <comment ref="D107" authorId="0" shapeId="0">
      <text>
        <t>Optional reviewer override. Allowed values: 0, 50, or 100.</t>
      </text>
    </comment>
    <comment ref="D108" authorId="0" shapeId="0">
      <text>
        <t>Optional reviewer override. Allowed values: 0, 50, or 100.</t>
      </text>
    </comment>
    <comment ref="D109" authorId="0" shapeId="0">
      <text>
        <t>Optional reviewer override. Allowed values: 0, 50, or 100.</t>
      </text>
    </comment>
    <comment ref="D110" authorId="0" shapeId="0">
      <text>
        <t>Optional reviewer override. Allowed values: 0, 50, or 100.</t>
      </text>
    </comment>
    <comment ref="D111" authorId="0" shapeId="0">
      <text>
        <t>Optional reviewer override. Allowed values: 0, 50, or 100.</t>
      </text>
    </comment>
    <comment ref="D112" authorId="0" shapeId="0">
      <text>
        <t>Optional reviewer override. Allowed values: 0, 50, or 100.</t>
      </text>
    </comment>
    <comment ref="D113" authorId="0" shapeId="0">
      <text>
        <t>Optional reviewer override. Allowed values: 0, 50,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5" customWidth="1" min="2" max="2"/>
  </cols>
  <sheetData>
    <row r="1" ht="32" customHeight="1">
      <c r="A1" s="1" t="inlineStr">
        <is>
          <t>Organizational Capacity: Final Equal-Weight Results</t>
        </is>
      </c>
      <c r="B1" s="1" t="inlineStr"/>
    </row>
    <row r="2">
      <c r="A2" s="2" t="inlineStr">
        <is>
          <t>Infrastructure entries</t>
        </is>
      </c>
      <c r="B2" s="2" t="n">
        <v>112</v>
      </c>
    </row>
    <row r="3">
      <c r="A3" s="2" t="inlineStr">
        <is>
          <t>Final metrics</t>
        </is>
      </c>
      <c r="B3" s="2" t="inlineStr">
        <is>
          <t>M1, M2, H1, I2, O1</t>
        </is>
      </c>
    </row>
    <row r="4">
      <c r="A4" s="2" t="inlineStr">
        <is>
          <t>Weight per metric</t>
        </is>
      </c>
      <c r="B4" s="2" t="inlineStr">
        <is>
          <t>20.00% (1/5)</t>
        </is>
      </c>
    </row>
    <row r="5">
      <c r="A5" s="2" t="inlineStr">
        <is>
          <t>Coverage / eligibility gate</t>
        </is>
      </c>
      <c r="B5" s="2" t="inlineStr">
        <is>
          <t>None</t>
        </is>
      </c>
    </row>
    <row r="6">
      <c r="A6" s="2" t="inlineStr">
        <is>
          <t>Missing, unknown, N/A</t>
        </is>
      </c>
      <c r="B6" s="2" t="inlineStr">
        <is>
          <t>Scored 0; denominator remains five</t>
        </is>
      </c>
    </row>
    <row r="7">
      <c r="A7" s="2" t="inlineStr">
        <is>
          <t>Mean score</t>
        </is>
      </c>
      <c r="B7" s="2">
        <f>AVERAGE(Scoring!O2:O113)</f>
        <v/>
      </c>
    </row>
    <row r="8">
      <c r="A8" s="2" t="inlineStr">
        <is>
          <t>Median score</t>
        </is>
      </c>
      <c r="B8" s="2">
        <f>MEDIAN(Scoring!O2:O113)</f>
        <v/>
      </c>
    </row>
    <row r="9">
      <c r="A9" s="2" t="inlineStr">
        <is>
          <t>Highest score</t>
        </is>
      </c>
      <c r="B9" s="2">
        <f>MAX(Scoring!O2:O113)</f>
        <v/>
      </c>
    </row>
    <row r="10">
      <c r="A10" s="2" t="inlineStr">
        <is>
          <t>Lowest score</t>
        </is>
      </c>
      <c r="B10" s="2">
        <f>MIN(Scoring!O2:O113)</f>
        <v/>
      </c>
    </row>
    <row r="11">
      <c r="A11" s="2" t="inlineStr">
        <is>
          <t>Important interpretation</t>
        </is>
      </c>
      <c r="B11" s="2" t="inlineStr">
        <is>
          <t>Zero-filled score reflects both reported capacity and missing information. Review metric-level scores and notes before interpreting rank differences.</t>
        </is>
      </c>
    </row>
    <row r="12">
      <c r="A12" s="2" t="inlineStr">
        <is>
          <t>Affiliation review</t>
        </is>
      </c>
      <c r="B12" s="2" t="inlineStr">
        <is>
          <t>Field 058 is free text. Use Verification to enter a corrected I2 score of 0, 50, or 100; scoring formulas update when opened/recalculated in Excel.</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2" customWidth="1" min="3" max="3"/>
    <col width="27" customWidth="1" min="4" max="4"/>
    <col width="23" customWidth="1" min="5" max="5"/>
    <col width="19" customWidth="1" min="6" max="6"/>
    <col width="17" customWidth="1" min="7" max="7"/>
    <col width="55" customWidth="1" min="8" max="8"/>
    <col width="50" customWidth="1" min="9" max="9"/>
    <col width="14" customWidth="1" min="10" max="10"/>
    <col width="14" customWidth="1" min="11" max="11"/>
    <col width="14" customWidth="1" min="12" max="12"/>
    <col width="14" customWidth="1" min="13" max="13"/>
    <col width="14" customWidth="1" min="14" max="14"/>
    <col width="18" customWidth="1" min="15" max="15"/>
    <col width="10" customWidth="1" min="16" max="16"/>
    <col width="62" customWidth="1" min="17" max="17"/>
  </cols>
  <sheetData>
    <row r="1" ht="32" customHeight="1">
      <c r="A1" s="1" t="inlineStr">
        <is>
          <t>Service</t>
        </is>
      </c>
      <c r="B1" s="1" t="inlineStr">
        <is>
          <t>Provider</t>
        </is>
      </c>
      <c r="C1" s="1" t="inlineStr">
        <is>
          <t>Solution category</t>
        </is>
      </c>
      <c r="D1" s="1" t="inlineStr">
        <is>
          <t>079 Readiness</t>
        </is>
      </c>
      <c r="E1" s="1" t="inlineStr">
        <is>
          <t>080 Maintenance</t>
        </is>
      </c>
      <c r="F1" s="1" t="inlineStr">
        <is>
          <t>054 Full-time staff</t>
        </is>
      </c>
      <c r="G1" s="1" t="inlineStr">
        <is>
          <t>055 Volunteers</t>
        </is>
      </c>
      <c r="H1" s="1" t="inlineStr">
        <is>
          <t>058 Affiliations</t>
        </is>
      </c>
      <c r="I1" s="1" t="inlineStr">
        <is>
          <t>076 Service options</t>
        </is>
      </c>
      <c r="J1" s="1" t="inlineStr">
        <is>
          <t>M1</t>
        </is>
      </c>
      <c r="K1" s="1" t="inlineStr">
        <is>
          <t>M2</t>
        </is>
      </c>
      <c r="L1" s="1" t="inlineStr">
        <is>
          <t>H1</t>
        </is>
      </c>
      <c r="M1" s="1" t="inlineStr">
        <is>
          <t>I2</t>
        </is>
      </c>
      <c r="N1" s="1" t="inlineStr">
        <is>
          <t>O1</t>
        </is>
      </c>
      <c r="O1" s="1" t="inlineStr">
        <is>
          <t>Final score / 100</t>
        </is>
      </c>
      <c r="P1" s="1" t="inlineStr">
        <is>
          <t>Rank</t>
        </is>
      </c>
      <c r="Q1" s="1" t="inlineStr">
        <is>
          <t>Data-quality notes</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c r="G2" s="2" t="inlineStr"/>
      <c r="H2" s="2" t="inlineStr"/>
      <c r="I2" s="2" t="inlineStr">
        <is>
          <t>Not applicable</t>
        </is>
      </c>
      <c r="J2" s="3">
        <f>Calc!B2</f>
        <v/>
      </c>
      <c r="K2" s="3">
        <f>Calc!C2</f>
        <v/>
      </c>
      <c r="L2" s="3">
        <f>Calc!F2</f>
        <v/>
      </c>
      <c r="M2" s="3">
        <f>Verification!E2</f>
        <v/>
      </c>
      <c r="N2" s="3">
        <f>Calc!I2</f>
        <v/>
      </c>
      <c r="O2" s="3">
        <f>AVERAGE(J2:N2)</f>
        <v/>
      </c>
      <c r="P2" s="2">
        <f>RANK.EQ(O2,$O$2:$O$113,0)</f>
        <v/>
      </c>
      <c r="Q2" s="2" t="inlineStr">
        <is>
          <t>Full-time staffing missing/unknown scored 0; Volunteer staffing missing/unknown scored 0; Service-delivery field not applicable/unknown scored 0</t>
        </is>
      </c>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1-5</t>
        </is>
      </c>
      <c r="G3" s="2" t="inlineStr"/>
      <c r="H3" s="2" t="inlineStr">
        <is>
          <t>University of Virginia</t>
        </is>
      </c>
      <c r="I3" s="2" t="inlineStr">
        <is>
          <t>Through solution provider only</t>
        </is>
      </c>
      <c r="J3" s="3">
        <f>Calc!B3</f>
        <v/>
      </c>
      <c r="K3" s="3">
        <f>Calc!C3</f>
        <v/>
      </c>
      <c r="L3" s="3">
        <f>Calc!F3</f>
        <v/>
      </c>
      <c r="M3" s="3">
        <f>Verification!E3</f>
        <v/>
      </c>
      <c r="N3" s="3">
        <f>Calc!I3</f>
        <v/>
      </c>
      <c r="O3" s="3">
        <f>AVERAGE(J3:N3)</f>
        <v/>
      </c>
      <c r="P3" s="2">
        <f>RANK.EQ(O3,$O$2:$O$113,0)</f>
        <v/>
      </c>
      <c r="Q3" s="2" t="inlineStr">
        <is>
          <t>Volunteer staffing missing/unknown scored 0; Review affiliation coding; override available</t>
        </is>
      </c>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1-5</t>
        </is>
      </c>
      <c r="G4" s="2" t="inlineStr">
        <is>
          <t>1-5</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Not applicable</t>
        </is>
      </c>
      <c r="J4" s="3">
        <f>Calc!B4</f>
        <v/>
      </c>
      <c r="K4" s="3">
        <f>Calc!C4</f>
        <v/>
      </c>
      <c r="L4" s="3">
        <f>Calc!F4</f>
        <v/>
      </c>
      <c r="M4" s="3">
        <f>Verification!E4</f>
        <v/>
      </c>
      <c r="N4" s="3">
        <f>Calc!I4</f>
        <v/>
      </c>
      <c r="O4" s="3">
        <f>AVERAGE(J4:N4)</f>
        <v/>
      </c>
      <c r="P4" s="2">
        <f>RANK.EQ(O4,$O$2:$O$113,0)</f>
        <v/>
      </c>
      <c r="Q4" s="2" t="inlineStr">
        <is>
          <t>Review affiliation coding; override available; Service-delivery field not applicable/unknown scored 0</t>
        </is>
      </c>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c r="G5" s="2" t="inlineStr"/>
      <c r="H5" s="2" t="inlineStr">
        <is>
          <t>Getty Conservation Institute Farallon Geographics</t>
        </is>
      </c>
      <c r="I5" s="2" t="inlineStr">
        <is>
          <t>Through third party vendor only</t>
        </is>
      </c>
      <c r="J5" s="3">
        <f>Calc!B5</f>
        <v/>
      </c>
      <c r="K5" s="3">
        <f>Calc!C5</f>
        <v/>
      </c>
      <c r="L5" s="3">
        <f>Calc!F5</f>
        <v/>
      </c>
      <c r="M5" s="3">
        <f>Verification!E5</f>
        <v/>
      </c>
      <c r="N5" s="3">
        <f>Calc!I5</f>
        <v/>
      </c>
      <c r="O5" s="3">
        <f>AVERAGE(J5:N5)</f>
        <v/>
      </c>
      <c r="P5" s="2">
        <f>RANK.EQ(O5,$O$2:$O$113,0)</f>
        <v/>
      </c>
      <c r="Q5" s="2" t="inlineStr">
        <is>
          <t>Full-time staffing missing/unknown scored 0; Volunteer staffing missing/unknown scored 0; Review affiliation coding; override available</t>
        </is>
      </c>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c r="G6" s="2" t="inlineStr"/>
      <c r="H6" s="2" t="inlineStr"/>
      <c r="I6" s="2" t="inlineStr">
        <is>
          <t>Through solution provider or third party vendor</t>
        </is>
      </c>
      <c r="J6" s="3">
        <f>Calc!B6</f>
        <v/>
      </c>
      <c r="K6" s="3">
        <f>Calc!C6</f>
        <v/>
      </c>
      <c r="L6" s="3">
        <f>Calc!F6</f>
        <v/>
      </c>
      <c r="M6" s="3">
        <f>Verification!E6</f>
        <v/>
      </c>
      <c r="N6" s="3">
        <f>Calc!I6</f>
        <v/>
      </c>
      <c r="O6" s="3">
        <f>AVERAGE(J6:N6)</f>
        <v/>
      </c>
      <c r="P6" s="2">
        <f>RANK.EQ(O6,$O$2:$O$113,0)</f>
        <v/>
      </c>
      <c r="Q6" s="2" t="inlineStr">
        <is>
          <t>Full-time staffing missing/unknown scored 0; Volunteer staffing missing/unknown scored 0</t>
        </is>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c r="G7" s="2" t="inlineStr"/>
      <c r="H7" s="2" t="inlineStr"/>
      <c r="I7" s="2" t="inlineStr">
        <is>
          <t>Not applicable</t>
        </is>
      </c>
      <c r="J7" s="3">
        <f>Calc!B7</f>
        <v/>
      </c>
      <c r="K7" s="3">
        <f>Calc!C7</f>
        <v/>
      </c>
      <c r="L7" s="3">
        <f>Calc!F7</f>
        <v/>
      </c>
      <c r="M7" s="3">
        <f>Verification!E7</f>
        <v/>
      </c>
      <c r="N7" s="3">
        <f>Calc!I7</f>
        <v/>
      </c>
      <c r="O7" s="3">
        <f>AVERAGE(J7:N7)</f>
        <v/>
      </c>
      <c r="P7" s="2">
        <f>RANK.EQ(O7,$O$2:$O$113,0)</f>
        <v/>
      </c>
      <c r="Q7" s="2" t="inlineStr">
        <is>
          <t>Full-time staffing missing/unknown scored 0; Volunteer staffing missing/unknown scored 0; Service-delivery field not applicable/unknown scored 0</t>
        </is>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More than 20</t>
        </is>
      </c>
      <c r="G8" s="2" t="inlineStr"/>
      <c r="H8" s="2" t="inlineStr">
        <is>
          <t>No Affiliations</t>
        </is>
      </c>
      <c r="I8" s="2" t="inlineStr">
        <is>
          <t>Through solution provider or third party vendor</t>
        </is>
      </c>
      <c r="J8" s="3">
        <f>Calc!B8</f>
        <v/>
      </c>
      <c r="K8" s="3">
        <f>Calc!C8</f>
        <v/>
      </c>
      <c r="L8" s="3">
        <f>Calc!F8</f>
        <v/>
      </c>
      <c r="M8" s="3">
        <f>Verification!E8</f>
        <v/>
      </c>
      <c r="N8" s="3">
        <f>Calc!I8</f>
        <v/>
      </c>
      <c r="O8" s="3">
        <f>AVERAGE(J8:N8)</f>
        <v/>
      </c>
      <c r="P8" s="2">
        <f>RANK.EQ(O8,$O$2:$O$113,0)</f>
        <v/>
      </c>
      <c r="Q8" s="2" t="inlineStr">
        <is>
          <t>Volunteer staffing missing/unknown scored 0; Review affiliation coding; override available</t>
        </is>
      </c>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6-10</t>
        </is>
      </c>
      <c r="G9" s="2" t="inlineStr"/>
      <c r="H9" s="2" t="inlineStr">
        <is>
          <t>New York University and the University of California San Diego are the founding partners and have permanent seats on the Board; Lyrasis is the organizational home</t>
        </is>
      </c>
      <c r="I9" s="2" t="inlineStr">
        <is>
          <t>Through third party vendor only</t>
        </is>
      </c>
      <c r="J9" s="3">
        <f>Calc!B9</f>
        <v/>
      </c>
      <c r="K9" s="3">
        <f>Calc!C9</f>
        <v/>
      </c>
      <c r="L9" s="3">
        <f>Calc!F9</f>
        <v/>
      </c>
      <c r="M9" s="3">
        <f>Verification!E9</f>
        <v/>
      </c>
      <c r="N9" s="3">
        <f>Calc!I9</f>
        <v/>
      </c>
      <c r="O9" s="3">
        <f>AVERAGE(J9:N9)</f>
        <v/>
      </c>
      <c r="P9" s="2">
        <f>RANK.EQ(O9,$O$2:$O$113,0)</f>
        <v/>
      </c>
      <c r="Q9" s="2" t="inlineStr">
        <is>
          <t>Volunteer staffing missing/unknown scored 0; Review affiliation coding; override available</t>
        </is>
      </c>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c r="G10" s="2" t="inlineStr"/>
      <c r="H10" s="2" t="inlineStr">
        <is>
          <t>Athena Research Center (ARC) Communication &amp; Information Technologies Experts (CITE)</t>
        </is>
      </c>
      <c r="I10" s="2" t="inlineStr">
        <is>
          <t>Through solution provider only</t>
        </is>
      </c>
      <c r="J10" s="3">
        <f>Calc!B10</f>
        <v/>
      </c>
      <c r="K10" s="3">
        <f>Calc!C10</f>
        <v/>
      </c>
      <c r="L10" s="3">
        <f>Calc!F10</f>
        <v/>
      </c>
      <c r="M10" s="3">
        <f>Verification!E10</f>
        <v/>
      </c>
      <c r="N10" s="3">
        <f>Calc!I10</f>
        <v/>
      </c>
      <c r="O10" s="3">
        <f>AVERAGE(J10:N10)</f>
        <v/>
      </c>
      <c r="P10" s="2">
        <f>RANK.EQ(O10,$O$2:$O$113,0)</f>
        <v/>
      </c>
      <c r="Q10" s="2" t="inlineStr">
        <is>
          <t>Full-time staffing missing/unknown scored 0; Volunteer staffing missing/unknown scored 0; Review affiliation coding; override available</t>
        </is>
      </c>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c r="G11" s="2" t="inlineStr"/>
      <c r="H11" s="2" t="inlineStr"/>
      <c r="I11" s="2" t="inlineStr">
        <is>
          <t>Not applicable</t>
        </is>
      </c>
      <c r="J11" s="3">
        <f>Calc!B11</f>
        <v/>
      </c>
      <c r="K11" s="3">
        <f>Calc!C11</f>
        <v/>
      </c>
      <c r="L11" s="3">
        <f>Calc!F11</f>
        <v/>
      </c>
      <c r="M11" s="3">
        <f>Verification!E11</f>
        <v/>
      </c>
      <c r="N11" s="3">
        <f>Calc!I11</f>
        <v/>
      </c>
      <c r="O11" s="3">
        <f>AVERAGE(J11:N11)</f>
        <v/>
      </c>
      <c r="P11" s="2">
        <f>RANK.EQ(O11,$O$2:$O$113,0)</f>
        <v/>
      </c>
      <c r="Q11" s="2" t="inlineStr">
        <is>
          <t>Full-time staffing missing/unknown scored 0; Volunteer staffing missing/unknown scored 0; Service-delivery field not applicable/unknown scored 0</t>
        </is>
      </c>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More than 20</t>
        </is>
      </c>
      <c r="G12" s="2" t="inlineStr">
        <is>
          <t>Unknown</t>
        </is>
      </c>
      <c r="H12" s="2" t="inlineStr">
        <is>
          <t>No affiliations</t>
        </is>
      </c>
      <c r="I12" s="2" t="inlineStr">
        <is>
          <t>Through solution provider or third party vendor</t>
        </is>
      </c>
      <c r="J12" s="3">
        <f>Calc!B12</f>
        <v/>
      </c>
      <c r="K12" s="3">
        <f>Calc!C12</f>
        <v/>
      </c>
      <c r="L12" s="3">
        <f>Calc!F12</f>
        <v/>
      </c>
      <c r="M12" s="3">
        <f>Verification!E12</f>
        <v/>
      </c>
      <c r="N12" s="3">
        <f>Calc!I12</f>
        <v/>
      </c>
      <c r="O12" s="3">
        <f>AVERAGE(J12:N12)</f>
        <v/>
      </c>
      <c r="P12" s="2">
        <f>RANK.EQ(O12,$O$2:$O$113,0)</f>
        <v/>
      </c>
      <c r="Q12" s="2" t="inlineStr">
        <is>
          <t>Review affiliation coding; override available</t>
        </is>
      </c>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1-5</t>
        </is>
      </c>
      <c r="G13" s="2" t="inlineStr"/>
      <c r="H13" s="2" t="inlineStr">
        <is>
          <t>Indiana University Libraries</t>
        </is>
      </c>
      <c r="I13" s="2" t="inlineStr">
        <is>
          <t>No services available</t>
        </is>
      </c>
      <c r="J13" s="3">
        <f>Calc!B13</f>
        <v/>
      </c>
      <c r="K13" s="3">
        <f>Calc!C13</f>
        <v/>
      </c>
      <c r="L13" s="3">
        <f>Calc!F13</f>
        <v/>
      </c>
      <c r="M13" s="3">
        <f>Verification!E13</f>
        <v/>
      </c>
      <c r="N13" s="3">
        <f>Calc!I13</f>
        <v/>
      </c>
      <c r="O13" s="3">
        <f>AVERAGE(J13:N13)</f>
        <v/>
      </c>
      <c r="P13" s="2">
        <f>RANK.EQ(O13,$O$2:$O$113,0)</f>
        <v/>
      </c>
      <c r="Q13" s="2" t="inlineStr">
        <is>
          <t>Volunteer staffing missing/unknown scored 0; Review affiliation coding; override available</t>
        </is>
      </c>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1-5</t>
        </is>
      </c>
      <c r="G14" s="2" t="inlineStr"/>
      <c r="H14" s="2" t="inlineStr">
        <is>
          <t>BHL’s fiscal sponsor is the Council on Library and Information Resources (CLIR).</t>
        </is>
      </c>
      <c r="I14" s="2" t="inlineStr">
        <is>
          <t>Not applicable</t>
        </is>
      </c>
      <c r="J14" s="3">
        <f>Calc!B14</f>
        <v/>
      </c>
      <c r="K14" s="3">
        <f>Calc!C14</f>
        <v/>
      </c>
      <c r="L14" s="3">
        <f>Calc!F14</f>
        <v/>
      </c>
      <c r="M14" s="3">
        <f>Verification!E14</f>
        <v/>
      </c>
      <c r="N14" s="3">
        <f>Calc!I14</f>
        <v/>
      </c>
      <c r="O14" s="3">
        <f>AVERAGE(J14:N14)</f>
        <v/>
      </c>
      <c r="P14" s="2">
        <f>RANK.EQ(O14,$O$2:$O$113,0)</f>
        <v/>
      </c>
      <c r="Q14" s="2" t="inlineStr">
        <is>
          <t>Volunteer staffing missing/unknown scored 0; Review affiliation coding; override available; Service-delivery field not applicable/unknown scored 0</t>
        </is>
      </c>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c r="G15" s="2" t="inlineStr"/>
      <c r="H15" s="2" t="inlineStr"/>
      <c r="I15" s="2" t="inlineStr">
        <is>
          <t>Not applicable</t>
        </is>
      </c>
      <c r="J15" s="3">
        <f>Calc!B15</f>
        <v/>
      </c>
      <c r="K15" s="3">
        <f>Calc!C15</f>
        <v/>
      </c>
      <c r="L15" s="3">
        <f>Calc!F15</f>
        <v/>
      </c>
      <c r="M15" s="3">
        <f>Verification!E15</f>
        <v/>
      </c>
      <c r="N15" s="3">
        <f>Calc!I15</f>
        <v/>
      </c>
      <c r="O15" s="3">
        <f>AVERAGE(J15:N15)</f>
        <v/>
      </c>
      <c r="P15" s="2">
        <f>RANK.EQ(O15,$O$2:$O$113,0)</f>
        <v/>
      </c>
      <c r="Q15" s="2" t="inlineStr">
        <is>
          <t>Full-time staffing missing/unknown scored 0; Volunteer staffing missing/unknown scored 0; Service-delivery field not applicable/unknown scored 0</t>
        </is>
      </c>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0</t>
        </is>
      </c>
      <c r="G16" s="2" t="inlineStr">
        <is>
          <t>6-10</t>
        </is>
      </c>
      <c r="H16" s="2" t="inlineStr">
        <is>
          <t>BitCurator Consortium is administratively hosted by the Open Library Foundation.</t>
        </is>
      </c>
      <c r="I16" s="2" t="inlineStr">
        <is>
          <t>No services available</t>
        </is>
      </c>
      <c r="J16" s="3">
        <f>Calc!B16</f>
        <v/>
      </c>
      <c r="K16" s="3">
        <f>Calc!C16</f>
        <v/>
      </c>
      <c r="L16" s="3">
        <f>Calc!F16</f>
        <v/>
      </c>
      <c r="M16" s="3">
        <f>Verification!E16</f>
        <v/>
      </c>
      <c r="N16" s="3">
        <f>Calc!I16</f>
        <v/>
      </c>
      <c r="O16" s="3">
        <f>AVERAGE(J16:N16)</f>
        <v/>
      </c>
      <c r="P16" s="2">
        <f>RANK.EQ(O16,$O$2:$O$113,0)</f>
        <v/>
      </c>
      <c r="Q16" s="2" t="inlineStr">
        <is>
          <t>Review affiliation coding; override available</t>
        </is>
      </c>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6-10</t>
        </is>
      </c>
      <c r="G17" s="2" t="inlineStr"/>
      <c r="H17" s="2" t="inlineStr">
        <is>
          <t>See website</t>
        </is>
      </c>
      <c r="I17" s="2" t="inlineStr">
        <is>
          <t>Through solution provider only</t>
        </is>
      </c>
      <c r="J17" s="3">
        <f>Calc!B17</f>
        <v/>
      </c>
      <c r="K17" s="3">
        <f>Calc!C17</f>
        <v/>
      </c>
      <c r="L17" s="3">
        <f>Calc!F17</f>
        <v/>
      </c>
      <c r="M17" s="3">
        <f>Verification!E17</f>
        <v/>
      </c>
      <c r="N17" s="3">
        <f>Calc!I17</f>
        <v/>
      </c>
      <c r="O17" s="3">
        <f>AVERAGE(J17:N17)</f>
        <v/>
      </c>
      <c r="P17" s="2">
        <f>RANK.EQ(O17,$O$2:$O$113,0)</f>
        <v/>
      </c>
      <c r="Q17" s="2" t="inlineStr">
        <is>
          <t>Volunteer staffing missing/unknown scored 0; Review affiliation coding; override available</t>
        </is>
      </c>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c r="G18" s="2" t="inlineStr"/>
      <c r="H18" s="2" t="inlineStr"/>
      <c r="I18" s="2" t="inlineStr">
        <is>
          <t>Not applicable</t>
        </is>
      </c>
      <c r="J18" s="3">
        <f>Calc!B18</f>
        <v/>
      </c>
      <c r="K18" s="3">
        <f>Calc!C18</f>
        <v/>
      </c>
      <c r="L18" s="3">
        <f>Calc!F18</f>
        <v/>
      </c>
      <c r="M18" s="3">
        <f>Verification!E18</f>
        <v/>
      </c>
      <c r="N18" s="3">
        <f>Calc!I18</f>
        <v/>
      </c>
      <c r="O18" s="3">
        <f>AVERAGE(J18:N18)</f>
        <v/>
      </c>
      <c r="P18" s="2">
        <f>RANK.EQ(O18,$O$2:$O$113,0)</f>
        <v/>
      </c>
      <c r="Q18" s="2" t="inlineStr">
        <is>
          <t>Full-time staffing missing/unknown scored 0; Volunteer staffing missing/unknown scored 0; Service-delivery field not applicable/unknown scored 0</t>
        </is>
      </c>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1-5</t>
        </is>
      </c>
      <c r="G19" s="2" t="inlineStr">
        <is>
          <t>0</t>
        </is>
      </c>
      <c r="H19" s="2" t="inlineStr">
        <is>
          <t>No affiliations have direct involvement in governing or running our products except us. We are members of the International Internet Preservation Consortium (IIPC).</t>
        </is>
      </c>
      <c r="I19" s="2" t="inlineStr">
        <is>
          <t>Through solution provider or third party vendor</t>
        </is>
      </c>
      <c r="J19" s="3">
        <f>Calc!B19</f>
        <v/>
      </c>
      <c r="K19" s="3">
        <f>Calc!C19</f>
        <v/>
      </c>
      <c r="L19" s="3">
        <f>Calc!F19</f>
        <v/>
      </c>
      <c r="M19" s="3">
        <f>Verification!E19</f>
        <v/>
      </c>
      <c r="N19" s="3">
        <f>Calc!I19</f>
        <v/>
      </c>
      <c r="O19" s="3">
        <f>AVERAGE(J19:N19)</f>
        <v/>
      </c>
      <c r="P19" s="2">
        <f>RANK.EQ(O19,$O$2:$O$113,0)</f>
        <v/>
      </c>
      <c r="Q19" s="2" t="inlineStr">
        <is>
          <t>Review affiliation coding; override available</t>
        </is>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1-5</t>
        </is>
      </c>
      <c r="G20" s="2" t="inlineStr">
        <is>
          <t>0</t>
        </is>
      </c>
      <c r="H20" s="2" t="inlineStr">
        <is>
          <t>n/a</t>
        </is>
      </c>
      <c r="I20" s="2" t="inlineStr">
        <is>
          <t>Through solution provider or third party vendor</t>
        </is>
      </c>
      <c r="J20" s="3">
        <f>Calc!B20</f>
        <v/>
      </c>
      <c r="K20" s="3">
        <f>Calc!C20</f>
        <v/>
      </c>
      <c r="L20" s="3">
        <f>Calc!F20</f>
        <v/>
      </c>
      <c r="M20" s="3">
        <f>Verification!E20</f>
        <v/>
      </c>
      <c r="N20" s="3">
        <f>Calc!I20</f>
        <v/>
      </c>
      <c r="O20" s="3">
        <f>AVERAGE(J20:N20)</f>
        <v/>
      </c>
      <c r="P20" s="2">
        <f>RANK.EQ(O20,$O$2:$O$113,0)</f>
        <v/>
      </c>
      <c r="Q20" s="2" t="inlineStr">
        <is>
          <t>Review affiliation coding; override available</t>
        </is>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1-5</t>
        </is>
      </c>
      <c r="G21" s="2" t="inlineStr"/>
      <c r="H21" s="2" t="inlineStr">
        <is>
          <t>Responsible Organisations: https://ird.coar-repositories.org/about?lang=en</t>
        </is>
      </c>
      <c r="I21" s="2" t="inlineStr">
        <is>
          <t>Not applicable</t>
        </is>
      </c>
      <c r="J21" s="3">
        <f>Calc!B21</f>
        <v/>
      </c>
      <c r="K21" s="3">
        <f>Calc!C21</f>
        <v/>
      </c>
      <c r="L21" s="3">
        <f>Calc!F21</f>
        <v/>
      </c>
      <c r="M21" s="3">
        <f>Verification!E21</f>
        <v/>
      </c>
      <c r="N21" s="3">
        <f>Calc!I21</f>
        <v/>
      </c>
      <c r="O21" s="3">
        <f>AVERAGE(J21:N21)</f>
        <v/>
      </c>
      <c r="P21" s="2">
        <f>RANK.EQ(O21,$O$2:$O$113,0)</f>
        <v/>
      </c>
      <c r="Q21" s="2" t="inlineStr">
        <is>
          <t>Volunteer staffing missing/unknown scored 0; Review affiliation coding; override available; Service-delivery field not applicable/unknown scored 0</t>
        </is>
      </c>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c r="G22" s="2" t="inlineStr"/>
      <c r="H22" s="2" t="inlineStr">
        <is>
          <t>No affiliations.</t>
        </is>
      </c>
      <c r="I22" s="2" t="inlineStr">
        <is>
          <t>Through solution provider or third party vendor</t>
        </is>
      </c>
      <c r="J22" s="3">
        <f>Calc!B22</f>
        <v/>
      </c>
      <c r="K22" s="3">
        <f>Calc!C22</f>
        <v/>
      </c>
      <c r="L22" s="3">
        <f>Calc!F22</f>
        <v/>
      </c>
      <c r="M22" s="3">
        <f>Verification!E22</f>
        <v/>
      </c>
      <c r="N22" s="3">
        <f>Calc!I22</f>
        <v/>
      </c>
      <c r="O22" s="3">
        <f>AVERAGE(J22:N22)</f>
        <v/>
      </c>
      <c r="P22" s="2">
        <f>RANK.EQ(O22,$O$2:$O$113,0)</f>
        <v/>
      </c>
      <c r="Q22" s="2" t="inlineStr">
        <is>
          <t>Full-time staffing missing/unknown scored 0; Volunteer staffing missing/unknown scored 0; Review affiliation coding; override available</t>
        </is>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6-10</t>
        </is>
      </c>
      <c r="G23" s="2" t="inlineStr">
        <is>
          <t>0</t>
        </is>
      </c>
      <c r="H23" s="2" t="inlineStr">
        <is>
          <t>No affiliations</t>
        </is>
      </c>
      <c r="I23" s="2" t="inlineStr">
        <is>
          <t>Through solution provider or third party vendor</t>
        </is>
      </c>
      <c r="J23" s="3">
        <f>Calc!B23</f>
        <v/>
      </c>
      <c r="K23" s="3">
        <f>Calc!C23</f>
        <v/>
      </c>
      <c r="L23" s="3">
        <f>Calc!F23</f>
        <v/>
      </c>
      <c r="M23" s="3">
        <f>Verification!E23</f>
        <v/>
      </c>
      <c r="N23" s="3">
        <f>Calc!I23</f>
        <v/>
      </c>
      <c r="O23" s="3">
        <f>AVERAGE(J23:N23)</f>
        <v/>
      </c>
      <c r="P23" s="2">
        <f>RANK.EQ(O23,$O$2:$O$113,0)</f>
        <v/>
      </c>
      <c r="Q23" s="2" t="inlineStr">
        <is>
          <t>Review affiliation coding; override available</t>
        </is>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c r="G24" s="2" t="inlineStr"/>
      <c r="H24" s="2" t="inlineStr"/>
      <c r="I24" s="2" t="inlineStr">
        <is>
          <t>Not applicable</t>
        </is>
      </c>
      <c r="J24" s="3">
        <f>Calc!B24</f>
        <v/>
      </c>
      <c r="K24" s="3">
        <f>Calc!C24</f>
        <v/>
      </c>
      <c r="L24" s="3">
        <f>Calc!F24</f>
        <v/>
      </c>
      <c r="M24" s="3">
        <f>Verification!E24</f>
        <v/>
      </c>
      <c r="N24" s="3">
        <f>Calc!I24</f>
        <v/>
      </c>
      <c r="O24" s="3">
        <f>AVERAGE(J24:N24)</f>
        <v/>
      </c>
      <c r="P24" s="2">
        <f>RANK.EQ(O24,$O$2:$O$113,0)</f>
        <v/>
      </c>
      <c r="Q24" s="2" t="inlineStr">
        <is>
          <t>Full-time staffing missing/unknown scored 0; Volunteer staffing missing/unknown scored 0; Service-delivery field not applicable/unknown scored 0</t>
        </is>
      </c>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c r="G25" s="2" t="inlineStr"/>
      <c r="H25" s="2" t="inlineStr"/>
      <c r="I25" s="2" t="inlineStr">
        <is>
          <t>Not applicable</t>
        </is>
      </c>
      <c r="J25" s="3">
        <f>Calc!B25</f>
        <v/>
      </c>
      <c r="K25" s="3">
        <f>Calc!C25</f>
        <v/>
      </c>
      <c r="L25" s="3">
        <f>Calc!F25</f>
        <v/>
      </c>
      <c r="M25" s="3">
        <f>Verification!E25</f>
        <v/>
      </c>
      <c r="N25" s="3">
        <f>Calc!I25</f>
        <v/>
      </c>
      <c r="O25" s="3">
        <f>AVERAGE(J25:N25)</f>
        <v/>
      </c>
      <c r="P25" s="2">
        <f>RANK.EQ(O25,$O$2:$O$113,0)</f>
        <v/>
      </c>
      <c r="Q25" s="2" t="inlineStr">
        <is>
          <t>Full-time staffing missing/unknown scored 0; Volunteer staffing missing/unknown scored 0; Service-delivery field not applicable/unknown scored 0</t>
        </is>
      </c>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c r="G26" s="2" t="inlineStr"/>
      <c r="H26" s="2" t="inlineStr"/>
      <c r="I26" s="2" t="inlineStr">
        <is>
          <t>Not applicable</t>
        </is>
      </c>
      <c r="J26" s="3">
        <f>Calc!B26</f>
        <v/>
      </c>
      <c r="K26" s="3">
        <f>Calc!C26</f>
        <v/>
      </c>
      <c r="L26" s="3">
        <f>Calc!F26</f>
        <v/>
      </c>
      <c r="M26" s="3">
        <f>Verification!E26</f>
        <v/>
      </c>
      <c r="N26" s="3">
        <f>Calc!I26</f>
        <v/>
      </c>
      <c r="O26" s="3">
        <f>AVERAGE(J26:N26)</f>
        <v/>
      </c>
      <c r="P26" s="2">
        <f>RANK.EQ(O26,$O$2:$O$113,0)</f>
        <v/>
      </c>
      <c r="Q26" s="2" t="inlineStr">
        <is>
          <t>Full-time staffing missing/unknown scored 0; Volunteer staffing missing/unknown scored 0; Service-delivery field not applicable/unknown scored 0</t>
        </is>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c r="G27" s="2" t="inlineStr"/>
      <c r="H27" s="2" t="inlineStr"/>
      <c r="I27" s="2" t="inlineStr">
        <is>
          <t>Not applicable</t>
        </is>
      </c>
      <c r="J27" s="3">
        <f>Calc!B27</f>
        <v/>
      </c>
      <c r="K27" s="3">
        <f>Calc!C27</f>
        <v/>
      </c>
      <c r="L27" s="3">
        <f>Calc!F27</f>
        <v/>
      </c>
      <c r="M27" s="3">
        <f>Verification!E27</f>
        <v/>
      </c>
      <c r="N27" s="3">
        <f>Calc!I27</f>
        <v/>
      </c>
      <c r="O27" s="3">
        <f>AVERAGE(J27:N27)</f>
        <v/>
      </c>
      <c r="P27" s="2">
        <f>RANK.EQ(O27,$O$2:$O$113,0)</f>
        <v/>
      </c>
      <c r="Q27" s="2" t="inlineStr">
        <is>
          <t>Full-time staffing missing/unknown scored 0; Volunteer staffing missing/unknown scored 0; Service-delivery field not applicable/unknown scored 0</t>
        </is>
      </c>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6-10</t>
        </is>
      </c>
      <c r="G28" s="2" t="inlineStr">
        <is>
          <t>More than 20</t>
        </is>
      </c>
      <c r="H28" s="2" t="inlineStr">
        <is>
          <t>D4Science is managed by the Italian National Research Council (CNR). Its headquarters are hosted by CNR's Institute of Information Science and Technologies "A. Faedo" (CNR-ISTI) in Pisa, Tuscany, Italy.</t>
        </is>
      </c>
      <c r="I28" s="2" t="inlineStr">
        <is>
          <t>Through solution provider only</t>
        </is>
      </c>
      <c r="J28" s="3">
        <f>Calc!B28</f>
        <v/>
      </c>
      <c r="K28" s="3">
        <f>Calc!C28</f>
        <v/>
      </c>
      <c r="L28" s="3">
        <f>Calc!F28</f>
        <v/>
      </c>
      <c r="M28" s="3">
        <f>Verification!E28</f>
        <v/>
      </c>
      <c r="N28" s="3">
        <f>Calc!I28</f>
        <v/>
      </c>
      <c r="O28" s="3">
        <f>AVERAGE(J28:N28)</f>
        <v/>
      </c>
      <c r="P28" s="2">
        <f>RANK.EQ(O28,$O$2:$O$113,0)</f>
        <v/>
      </c>
      <c r="Q28" s="2" t="inlineStr">
        <is>
          <t>Review affiliation coding; override available</t>
        </is>
      </c>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1-5</t>
        </is>
      </c>
      <c r="G29" s="2" t="inlineStr"/>
      <c r="H29" s="2" t="inlineStr">
        <is>
          <t>University of Virginia</t>
        </is>
      </c>
      <c r="I29" s="2" t="inlineStr">
        <is>
          <t>No services available</t>
        </is>
      </c>
      <c r="J29" s="3">
        <f>Calc!B29</f>
        <v/>
      </c>
      <c r="K29" s="3">
        <f>Calc!C29</f>
        <v/>
      </c>
      <c r="L29" s="3">
        <f>Calc!F29</f>
        <v/>
      </c>
      <c r="M29" s="3">
        <f>Verification!E29</f>
        <v/>
      </c>
      <c r="N29" s="3">
        <f>Calc!I29</f>
        <v/>
      </c>
      <c r="O29" s="3">
        <f>AVERAGE(J29:N29)</f>
        <v/>
      </c>
      <c r="P29" s="2">
        <f>RANK.EQ(O29,$O$2:$O$113,0)</f>
        <v/>
      </c>
      <c r="Q29" s="2" t="inlineStr">
        <is>
          <t>Volunteer staffing missing/unknown scored 0; Review affiliation coding; override available</t>
        </is>
      </c>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c r="G30" s="2" t="inlineStr"/>
      <c r="H30" s="2" t="inlineStr">
        <is>
          <t>DBIS is operated by the University Library of Regensburg.</t>
        </is>
      </c>
      <c r="I30" s="2" t="inlineStr">
        <is>
          <t>Through solution provider or third party vendor</t>
        </is>
      </c>
      <c r="J30" s="3">
        <f>Calc!B30</f>
        <v/>
      </c>
      <c r="K30" s="3">
        <f>Calc!C30</f>
        <v/>
      </c>
      <c r="L30" s="3">
        <f>Calc!F30</f>
        <v/>
      </c>
      <c r="M30" s="3">
        <f>Verification!E30</f>
        <v/>
      </c>
      <c r="N30" s="3">
        <f>Calc!I30</f>
        <v/>
      </c>
      <c r="O30" s="3">
        <f>AVERAGE(J30:N30)</f>
        <v/>
      </c>
      <c r="P30" s="2">
        <f>RANK.EQ(O30,$O$2:$O$113,0)</f>
        <v/>
      </c>
      <c r="Q30" s="2" t="inlineStr">
        <is>
          <t>Full-time staffing missing/unknown scored 0; Volunteer staffing missing/unknown scored 0; Review affiliation coding; override available</t>
        </is>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c r="G31" s="2" t="inlineStr">
        <is>
          <t>11-20</t>
        </is>
      </c>
      <c r="H31" s="2" t="inlineStr">
        <is>
          <t>DataCite leads the development of the Data Citation Corpus as part of Make Data Count activities.</t>
        </is>
      </c>
      <c r="I31" s="2" t="inlineStr">
        <is>
          <t>Not applicable</t>
        </is>
      </c>
      <c r="J31" s="3">
        <f>Calc!B31</f>
        <v/>
      </c>
      <c r="K31" s="3">
        <f>Calc!C31</f>
        <v/>
      </c>
      <c r="L31" s="3">
        <f>Calc!F31</f>
        <v/>
      </c>
      <c r="M31" s="3">
        <f>Verification!E31</f>
        <v/>
      </c>
      <c r="N31" s="3">
        <f>Calc!I31</f>
        <v/>
      </c>
      <c r="O31" s="3">
        <f>AVERAGE(J31:N31)</f>
        <v/>
      </c>
      <c r="P31" s="2">
        <f>RANK.EQ(O31,$O$2:$O$113,0)</f>
        <v/>
      </c>
      <c r="Q31" s="2" t="inlineStr">
        <is>
          <t>Full-time staffing missing/unknown scored 0; Review affiliation coding; override available; Service-delivery field not applicable/unknown scored 0</t>
        </is>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c r="G32" s="2" t="inlineStr"/>
      <c r="H32" s="2" t="inlineStr"/>
      <c r="I32" s="2" t="inlineStr">
        <is>
          <t>Not applicable</t>
        </is>
      </c>
      <c r="J32" s="3">
        <f>Calc!B32</f>
        <v/>
      </c>
      <c r="K32" s="3">
        <f>Calc!C32</f>
        <v/>
      </c>
      <c r="L32" s="3">
        <f>Calc!F32</f>
        <v/>
      </c>
      <c r="M32" s="3">
        <f>Verification!E32</f>
        <v/>
      </c>
      <c r="N32" s="3">
        <f>Calc!I32</f>
        <v/>
      </c>
      <c r="O32" s="3">
        <f>AVERAGE(J32:N32)</f>
        <v/>
      </c>
      <c r="P32" s="2">
        <f>RANK.EQ(O32,$O$2:$O$113,0)</f>
        <v/>
      </c>
      <c r="Q32" s="2" t="inlineStr">
        <is>
          <t>Full-time staffing missing/unknown scored 0; Volunteer staffing missing/unknown scored 0; Service-delivery field not applicable/unknown scored 0</t>
        </is>
      </c>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c r="G33" s="2" t="inlineStr"/>
      <c r="H33" s="2" t="inlineStr">
        <is>
          <t>Czech Technical University in Prague / ELIXIR-CZ Codevence Solutions</t>
        </is>
      </c>
      <c r="I33" s="2" t="inlineStr">
        <is>
          <t>Through third party vendor only</t>
        </is>
      </c>
      <c r="J33" s="3">
        <f>Calc!B33</f>
        <v/>
      </c>
      <c r="K33" s="3">
        <f>Calc!C33</f>
        <v/>
      </c>
      <c r="L33" s="3">
        <f>Calc!F33</f>
        <v/>
      </c>
      <c r="M33" s="3">
        <f>Verification!E33</f>
        <v/>
      </c>
      <c r="N33" s="3">
        <f>Calc!I33</f>
        <v/>
      </c>
      <c r="O33" s="3">
        <f>AVERAGE(J33:N33)</f>
        <v/>
      </c>
      <c r="P33" s="2">
        <f>RANK.EQ(O33,$O$2:$O$113,0)</f>
        <v/>
      </c>
      <c r="Q33" s="2" t="inlineStr">
        <is>
          <t>Full-time staffing missing/unknown scored 0; Volunteer staffing missing/unknown scored 0; Review affiliation coding; override available</t>
        </is>
      </c>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c r="G34" s="2" t="inlineStr"/>
      <c r="H34" s="2" t="inlineStr"/>
      <c r="I34" s="2" t="inlineStr">
        <is>
          <t>Through third party vendor only</t>
        </is>
      </c>
      <c r="J34" s="3">
        <f>Calc!B34</f>
        <v/>
      </c>
      <c r="K34" s="3">
        <f>Calc!C34</f>
        <v/>
      </c>
      <c r="L34" s="3">
        <f>Calc!F34</f>
        <v/>
      </c>
      <c r="M34" s="3">
        <f>Verification!E34</f>
        <v/>
      </c>
      <c r="N34" s="3">
        <f>Calc!I34</f>
        <v/>
      </c>
      <c r="O34" s="3">
        <f>AVERAGE(J34:N34)</f>
        <v/>
      </c>
      <c r="P34" s="2">
        <f>RANK.EQ(O34,$O$2:$O$113,0)</f>
        <v/>
      </c>
      <c r="Q34" s="2" t="inlineStr">
        <is>
          <t>Full-time staffing missing/unknown scored 0; Volunteer staffing missing/unknown scored 0</t>
        </is>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1-5</t>
        </is>
      </c>
      <c r="G35" s="2" t="inlineStr">
        <is>
          <t>1-5</t>
        </is>
      </c>
      <c r="H35" s="2" t="inlineStr">
        <is>
          <t>University of Geneva (https://www.unige.ch/) HEG, HES-SO (https://www.hesge.ch/heg/en) UNIFR (https://www.unifr.ch/home/en/) BFH (https://www.bfh.ch/en/) OLOS (https://olos.swiss/)</t>
        </is>
      </c>
      <c r="I35" s="2" t="inlineStr">
        <is>
          <t>Through third party vendor only</t>
        </is>
      </c>
      <c r="J35" s="3">
        <f>Calc!B35</f>
        <v/>
      </c>
      <c r="K35" s="3">
        <f>Calc!C35</f>
        <v/>
      </c>
      <c r="L35" s="3">
        <f>Calc!F35</f>
        <v/>
      </c>
      <c r="M35" s="3">
        <f>Verification!E35</f>
        <v/>
      </c>
      <c r="N35" s="3">
        <f>Calc!I35</f>
        <v/>
      </c>
      <c r="O35" s="3">
        <f>AVERAGE(J35:N35)</f>
        <v/>
      </c>
      <c r="P35" s="2">
        <f>RANK.EQ(O35,$O$2:$O$113,0)</f>
        <v/>
      </c>
      <c r="Q35" s="2" t="inlineStr">
        <is>
          <t>Review affiliation coding; override available</t>
        </is>
      </c>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1-5</t>
        </is>
      </c>
      <c r="G36" s="2" t="inlineStr">
        <is>
          <t>1-5</t>
        </is>
      </c>
      <c r="H36" s="2" t="inlineStr">
        <is>
          <t>University of Geneva (https://www.unige.ch/)HEG, HES-SO (https://www.hesge.ch/heg/en)UNIFR (https://www.unifr.ch/home/en/)BFH (https://www.bfh.ch/en/)OLOS (https://olos.swiss/)</t>
        </is>
      </c>
      <c r="I36" s="2" t="inlineStr">
        <is>
          <t>Through third party vendor only</t>
        </is>
      </c>
      <c r="J36" s="3">
        <f>Calc!B36</f>
        <v/>
      </c>
      <c r="K36" s="3">
        <f>Calc!C36</f>
        <v/>
      </c>
      <c r="L36" s="3">
        <f>Calc!F36</f>
        <v/>
      </c>
      <c r="M36" s="3">
        <f>Verification!E36</f>
        <v/>
      </c>
      <c r="N36" s="3">
        <f>Calc!I36</f>
        <v/>
      </c>
      <c r="O36" s="3">
        <f>AVERAGE(J36:N36)</f>
        <v/>
      </c>
      <c r="P36" s="2">
        <f>RANK.EQ(O36,$O$2:$O$113,0)</f>
        <v/>
      </c>
      <c r="Q36" s="2" t="inlineStr">
        <is>
          <t>Review affiliation coding; override available</t>
        </is>
      </c>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1-5</t>
        </is>
      </c>
      <c r="G37" s="2" t="inlineStr">
        <is>
          <t>0</t>
        </is>
      </c>
      <c r="H37" s="2" t="inlineStr"/>
      <c r="I37" s="2" t="inlineStr">
        <is>
          <t>Through solution provider only</t>
        </is>
      </c>
      <c r="J37" s="3">
        <f>Calc!B37</f>
        <v/>
      </c>
      <c r="K37" s="3">
        <f>Calc!C37</f>
        <v/>
      </c>
      <c r="L37" s="3">
        <f>Calc!F37</f>
        <v/>
      </c>
      <c r="M37" s="3">
        <f>Verification!E37</f>
        <v/>
      </c>
      <c r="N37" s="3">
        <f>Calc!I37</f>
        <v/>
      </c>
      <c r="O37" s="3">
        <f>AVERAGE(J37:N37)</f>
        <v/>
      </c>
      <c r="P37" s="2">
        <f>RANK.EQ(O37,$O$2:$O$113,0)</f>
        <v/>
      </c>
      <c r="Q37" s="2" t="inlineStr"/>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c r="G38" s="2" t="inlineStr"/>
      <c r="H38" s="2" t="inlineStr"/>
      <c r="I38" s="2" t="inlineStr">
        <is>
          <t>Not applicable</t>
        </is>
      </c>
      <c r="J38" s="3">
        <f>Calc!B38</f>
        <v/>
      </c>
      <c r="K38" s="3">
        <f>Calc!C38</f>
        <v/>
      </c>
      <c r="L38" s="3">
        <f>Calc!F38</f>
        <v/>
      </c>
      <c r="M38" s="3">
        <f>Verification!E38</f>
        <v/>
      </c>
      <c r="N38" s="3">
        <f>Calc!I38</f>
        <v/>
      </c>
      <c r="O38" s="3">
        <f>AVERAGE(J38:N38)</f>
        <v/>
      </c>
      <c r="P38" s="2">
        <f>RANK.EQ(O38,$O$2:$O$113,0)</f>
        <v/>
      </c>
      <c r="Q38" s="2" t="inlineStr">
        <is>
          <t>Full-time staffing missing/unknown scored 0; Volunteer staffing missing/unknown scored 0; Service-delivery field not applicable/unknown scored 0</t>
        </is>
      </c>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c r="G39" s="2" t="inlineStr"/>
      <c r="H39" s="2" t="inlineStr"/>
      <c r="I39" s="2" t="inlineStr">
        <is>
          <t>Unknown</t>
        </is>
      </c>
      <c r="J39" s="3">
        <f>Calc!B39</f>
        <v/>
      </c>
      <c r="K39" s="3">
        <f>Calc!C39</f>
        <v/>
      </c>
      <c r="L39" s="3">
        <f>Calc!F39</f>
        <v/>
      </c>
      <c r="M39" s="3">
        <f>Verification!E39</f>
        <v/>
      </c>
      <c r="N39" s="3">
        <f>Calc!I39</f>
        <v/>
      </c>
      <c r="O39" s="3">
        <f>AVERAGE(J39:N39)</f>
        <v/>
      </c>
      <c r="P39" s="2">
        <f>RANK.EQ(O39,$O$2:$O$113,0)</f>
        <v/>
      </c>
      <c r="Q39" s="2" t="inlineStr">
        <is>
          <t>Full-time staffing missing/unknown scored 0; Volunteer staffing missing/unknown scored 0; Service-delivery field not applicable/unknown scored 0</t>
        </is>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c r="G40" s="2" t="inlineStr"/>
      <c r="H40" s="2" t="inlineStr"/>
      <c r="I40" s="2" t="inlineStr">
        <is>
          <t>Not applicable</t>
        </is>
      </c>
      <c r="J40" s="3">
        <f>Calc!B40</f>
        <v/>
      </c>
      <c r="K40" s="3">
        <f>Calc!C40</f>
        <v/>
      </c>
      <c r="L40" s="3">
        <f>Calc!F40</f>
        <v/>
      </c>
      <c r="M40" s="3">
        <f>Verification!E40</f>
        <v/>
      </c>
      <c r="N40" s="3">
        <f>Calc!I40</f>
        <v/>
      </c>
      <c r="O40" s="3">
        <f>AVERAGE(J40:N40)</f>
        <v/>
      </c>
      <c r="P40" s="2">
        <f>RANK.EQ(O40,$O$2:$O$113,0)</f>
        <v/>
      </c>
      <c r="Q40" s="2" t="inlineStr">
        <is>
          <t>Full-time staffing missing/unknown scored 0; Volunteer staffing missing/unknown scored 0; Service-delivery field not applicable/unknown scored 0</t>
        </is>
      </c>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1-5</t>
        </is>
      </c>
      <c r="G41" s="2" t="inlineStr">
        <is>
          <t>Unknown</t>
        </is>
      </c>
      <c r="H41" s="2" t="inlineStr"/>
      <c r="I41" s="2" t="inlineStr">
        <is>
          <t>Through solution provider or third party vendor</t>
        </is>
      </c>
      <c r="J41" s="3">
        <f>Calc!B41</f>
        <v/>
      </c>
      <c r="K41" s="3">
        <f>Calc!C41</f>
        <v/>
      </c>
      <c r="L41" s="3">
        <f>Calc!F41</f>
        <v/>
      </c>
      <c r="M41" s="3">
        <f>Verification!E41</f>
        <v/>
      </c>
      <c r="N41" s="3">
        <f>Calc!I41</f>
        <v/>
      </c>
      <c r="O41" s="3">
        <f>AVERAGE(J41:N41)</f>
        <v/>
      </c>
      <c r="P41" s="2">
        <f>RANK.EQ(O41,$O$2:$O$113,0)</f>
        <v/>
      </c>
      <c r="Q41" s="2" t="inlineStr"/>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c r="G42" s="2" t="inlineStr"/>
      <c r="H42" s="2" t="inlineStr">
        <is>
          <t>N/A</t>
        </is>
      </c>
      <c r="I42" s="2" t="inlineStr">
        <is>
          <t>Through solution provider only</t>
        </is>
      </c>
      <c r="J42" s="3">
        <f>Calc!B42</f>
        <v/>
      </c>
      <c r="K42" s="3">
        <f>Calc!C42</f>
        <v/>
      </c>
      <c r="L42" s="3">
        <f>Calc!F42</f>
        <v/>
      </c>
      <c r="M42" s="3">
        <f>Verification!E42</f>
        <v/>
      </c>
      <c r="N42" s="3">
        <f>Calc!I42</f>
        <v/>
      </c>
      <c r="O42" s="3">
        <f>AVERAGE(J42:N42)</f>
        <v/>
      </c>
      <c r="P42" s="2">
        <f>RANK.EQ(O42,$O$2:$O$113,0)</f>
        <v/>
      </c>
      <c r="Q42" s="2" t="inlineStr">
        <is>
          <t>Full-time staffing missing/unknown scored 0; Volunteer staffing missing/unknown scored 0; Review affiliation coding; override available</t>
        </is>
      </c>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1-5</t>
        </is>
      </c>
      <c r="G43" s="2" t="inlineStr">
        <is>
          <t>More than 20</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Not applicable</t>
        </is>
      </c>
      <c r="J43" s="3">
        <f>Calc!B43</f>
        <v/>
      </c>
      <c r="K43" s="3">
        <f>Calc!C43</f>
        <v/>
      </c>
      <c r="L43" s="3">
        <f>Calc!F43</f>
        <v/>
      </c>
      <c r="M43" s="3">
        <f>Verification!E43</f>
        <v/>
      </c>
      <c r="N43" s="3">
        <f>Calc!I43</f>
        <v/>
      </c>
      <c r="O43" s="3">
        <f>AVERAGE(J43:N43)</f>
        <v/>
      </c>
      <c r="P43" s="2">
        <f>RANK.EQ(O43,$O$2:$O$113,0)</f>
        <v/>
      </c>
      <c r="Q43" s="2" t="inlineStr">
        <is>
          <t>Review affiliation coding; override available; Service-delivery field not applicable/unknown scored 0</t>
        </is>
      </c>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c r="G44" s="2" t="inlineStr"/>
      <c r="H44" s="2" t="inlineStr">
        <is>
          <t>ECS Partners Ltd</t>
        </is>
      </c>
      <c r="I44" s="2" t="inlineStr">
        <is>
          <t>Through solution provider only</t>
        </is>
      </c>
      <c r="J44" s="3">
        <f>Calc!B44</f>
        <v/>
      </c>
      <c r="K44" s="3">
        <f>Calc!C44</f>
        <v/>
      </c>
      <c r="L44" s="3">
        <f>Calc!F44</f>
        <v/>
      </c>
      <c r="M44" s="3">
        <f>Verification!E44</f>
        <v/>
      </c>
      <c r="N44" s="3">
        <f>Calc!I44</f>
        <v/>
      </c>
      <c r="O44" s="3">
        <f>AVERAGE(J44:N44)</f>
        <v/>
      </c>
      <c r="P44" s="2">
        <f>RANK.EQ(O44,$O$2:$O$113,0)</f>
        <v/>
      </c>
      <c r="Q44" s="2" t="inlineStr">
        <is>
          <t>Full-time staffing missing/unknown scored 0; Volunteer staffing missing/unknown scored 0; Review affiliation coding; override available</t>
        </is>
      </c>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c r="G45" s="2" t="inlineStr"/>
      <c r="H45" s="2" t="inlineStr"/>
      <c r="I45" s="2" t="inlineStr">
        <is>
          <t>Not applicable</t>
        </is>
      </c>
      <c r="J45" s="3">
        <f>Calc!B45</f>
        <v/>
      </c>
      <c r="K45" s="3">
        <f>Calc!C45</f>
        <v/>
      </c>
      <c r="L45" s="3">
        <f>Calc!F45</f>
        <v/>
      </c>
      <c r="M45" s="3">
        <f>Verification!E45</f>
        <v/>
      </c>
      <c r="N45" s="3">
        <f>Calc!I45</f>
        <v/>
      </c>
      <c r="O45" s="3">
        <f>AVERAGE(J45:N45)</f>
        <v/>
      </c>
      <c r="P45" s="2">
        <f>RANK.EQ(O45,$O$2:$O$113,0)</f>
        <v/>
      </c>
      <c r="Q45" s="2" t="inlineStr">
        <is>
          <t>Full-time staffing missing/unknown scored 0; Volunteer staffing missing/unknown scored 0; Service-delivery field not applicable/unknown scored 0</t>
        </is>
      </c>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11-20</t>
        </is>
      </c>
      <c r="G46" s="2" t="inlineStr"/>
      <c r="H46" s="2" t="inlineStr"/>
      <c r="I46" s="2" t="inlineStr">
        <is>
          <t>Not applicable</t>
        </is>
      </c>
      <c r="J46" s="3">
        <f>Calc!B46</f>
        <v/>
      </c>
      <c r="K46" s="3">
        <f>Calc!C46</f>
        <v/>
      </c>
      <c r="L46" s="3">
        <f>Calc!F46</f>
        <v/>
      </c>
      <c r="M46" s="3">
        <f>Verification!E46</f>
        <v/>
      </c>
      <c r="N46" s="3">
        <f>Calc!I46</f>
        <v/>
      </c>
      <c r="O46" s="3">
        <f>AVERAGE(J46:N46)</f>
        <v/>
      </c>
      <c r="P46" s="2">
        <f>RANK.EQ(O46,$O$2:$O$113,0)</f>
        <v/>
      </c>
      <c r="Q46" s="2" t="inlineStr">
        <is>
          <t>Volunteer staffing missing/unknown scored 0; Service-delivery field not applicable/unknown scored 0</t>
        </is>
      </c>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1-5</t>
        </is>
      </c>
      <c r="G47" s="2" t="inlineStr"/>
      <c r="H47" s="2" t="inlineStr">
        <is>
          <t>Codevence Solutions s.r.o.</t>
        </is>
      </c>
      <c r="I47" s="2" t="inlineStr">
        <is>
          <t>Through solution provider only</t>
        </is>
      </c>
      <c r="J47" s="3">
        <f>Calc!B47</f>
        <v/>
      </c>
      <c r="K47" s="3">
        <f>Calc!C47</f>
        <v/>
      </c>
      <c r="L47" s="3">
        <f>Calc!F47</f>
        <v/>
      </c>
      <c r="M47" s="3">
        <f>Verification!E47</f>
        <v/>
      </c>
      <c r="N47" s="3">
        <f>Calc!I47</f>
        <v/>
      </c>
      <c r="O47" s="3">
        <f>AVERAGE(J47:N47)</f>
        <v/>
      </c>
      <c r="P47" s="2">
        <f>RANK.EQ(O47,$O$2:$O$113,0)</f>
        <v/>
      </c>
      <c r="Q47" s="2" t="inlineStr">
        <is>
          <t>Volunteer staffing missing/unknown scored 0; Review affiliation coding; override available</t>
        </is>
      </c>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1-5</t>
        </is>
      </c>
      <c r="G48" s="2" t="inlineStr">
        <is>
          <t>Unknown</t>
        </is>
      </c>
      <c r="H48" s="2" t="inlineStr"/>
      <c r="I48" s="2" t="inlineStr">
        <is>
          <t>Through third party vendor only</t>
        </is>
      </c>
      <c r="J48" s="3">
        <f>Calc!B48</f>
        <v/>
      </c>
      <c r="K48" s="3">
        <f>Calc!C48</f>
        <v/>
      </c>
      <c r="L48" s="3">
        <f>Calc!F48</f>
        <v/>
      </c>
      <c r="M48" s="3">
        <f>Verification!E48</f>
        <v/>
      </c>
      <c r="N48" s="3">
        <f>Calc!I48</f>
        <v/>
      </c>
      <c r="O48" s="3">
        <f>AVERAGE(J48:N48)</f>
        <v/>
      </c>
      <c r="P48" s="2">
        <f>RANK.EQ(O48,$O$2:$O$113,0)</f>
        <v/>
      </c>
      <c r="Q48" s="2" t="inlineStr"/>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6-10</t>
        </is>
      </c>
      <c r="G49" s="2" t="inlineStr"/>
      <c r="H49" s="2" t="inlineStr">
        <is>
          <t>Artefactual</t>
        </is>
      </c>
      <c r="I49" s="2" t="inlineStr">
        <is>
          <t>Not applicable</t>
        </is>
      </c>
      <c r="J49" s="3">
        <f>Calc!B49</f>
        <v/>
      </c>
      <c r="K49" s="3">
        <f>Calc!C49</f>
        <v/>
      </c>
      <c r="L49" s="3">
        <f>Calc!F49</f>
        <v/>
      </c>
      <c r="M49" s="3">
        <f>Verification!E49</f>
        <v/>
      </c>
      <c r="N49" s="3">
        <f>Calc!I49</f>
        <v/>
      </c>
      <c r="O49" s="3">
        <f>AVERAGE(J49:N49)</f>
        <v/>
      </c>
      <c r="P49" s="2">
        <f>RANK.EQ(O49,$O$2:$O$113,0)</f>
        <v/>
      </c>
      <c r="Q49" s="2" t="inlineStr">
        <is>
          <t>Volunteer staffing missing/unknown scored 0; Review affiliation coding; override available; Service-delivery field not applicable/unknown scored 0</t>
        </is>
      </c>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c r="G50" s="2" t="inlineStr"/>
      <c r="H50" s="2" t="inlineStr"/>
      <c r="I50" s="2" t="inlineStr">
        <is>
          <t>Through solution provider only</t>
        </is>
      </c>
      <c r="J50" s="3">
        <f>Calc!B50</f>
        <v/>
      </c>
      <c r="K50" s="3">
        <f>Calc!C50</f>
        <v/>
      </c>
      <c r="L50" s="3">
        <f>Calc!F50</f>
        <v/>
      </c>
      <c r="M50" s="3">
        <f>Verification!E50</f>
        <v/>
      </c>
      <c r="N50" s="3">
        <f>Calc!I50</f>
        <v/>
      </c>
      <c r="O50" s="3">
        <f>AVERAGE(J50:N50)</f>
        <v/>
      </c>
      <c r="P50" s="2">
        <f>RANK.EQ(O50,$O$2:$O$113,0)</f>
        <v/>
      </c>
      <c r="Q50" s="2" t="inlineStr">
        <is>
          <t>Full-time staffing missing/unknown scored 0; Volunteer staffing missing/unknown scored 0</t>
        </is>
      </c>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More than 20</t>
        </is>
      </c>
      <c r="G51" s="2" t="inlineStr">
        <is>
          <t>More than 20</t>
        </is>
      </c>
      <c r="H51" s="2" t="inlineStr">
        <is>
          <t>It's an open source project with many affiliations.</t>
        </is>
      </c>
      <c r="I51" s="2" t="inlineStr">
        <is>
          <t>Through solution provider or third party vendor</t>
        </is>
      </c>
      <c r="J51" s="3">
        <f>Calc!B51</f>
        <v/>
      </c>
      <c r="K51" s="3">
        <f>Calc!C51</f>
        <v/>
      </c>
      <c r="L51" s="3">
        <f>Calc!F51</f>
        <v/>
      </c>
      <c r="M51" s="3">
        <f>Verification!E51</f>
        <v/>
      </c>
      <c r="N51" s="3">
        <f>Calc!I51</f>
        <v/>
      </c>
      <c r="O51" s="3">
        <f>AVERAGE(J51:N51)</f>
        <v/>
      </c>
      <c r="P51" s="2">
        <f>RANK.EQ(O51,$O$2:$O$113,0)</f>
        <v/>
      </c>
      <c r="Q51" s="2" t="inlineStr">
        <is>
          <t>Review affiliation coding; override available</t>
        </is>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0</t>
        </is>
      </c>
      <c r="G52" s="2" t="inlineStr">
        <is>
          <t>More than 20</t>
        </is>
      </c>
      <c r="H52" s="2" t="inlineStr">
        <is>
          <t>https://www.osgeo.org https://www.geosolutionsgroup.com/ https://www.afrigis.co.za/ https://www.geocat.net/ https://camptocamp.com/</t>
        </is>
      </c>
      <c r="I52" s="2" t="inlineStr">
        <is>
          <t>Through third party vendor only</t>
        </is>
      </c>
      <c r="J52" s="3">
        <f>Calc!B52</f>
        <v/>
      </c>
      <c r="K52" s="3">
        <f>Calc!C52</f>
        <v/>
      </c>
      <c r="L52" s="3">
        <f>Calc!F52</f>
        <v/>
      </c>
      <c r="M52" s="3">
        <f>Verification!E52</f>
        <v/>
      </c>
      <c r="N52" s="3">
        <f>Calc!I52</f>
        <v/>
      </c>
      <c r="O52" s="3">
        <f>AVERAGE(J52:N52)</f>
        <v/>
      </c>
      <c r="P52" s="2">
        <f>RANK.EQ(O52,$O$2:$O$113,0)</f>
        <v/>
      </c>
      <c r="Q52" s="2" t="inlineStr">
        <is>
          <t>Review affiliation coding; override available</t>
        </is>
      </c>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1-5</t>
        </is>
      </c>
      <c r="G53" s="2" t="inlineStr">
        <is>
          <t>1-5</t>
        </is>
      </c>
      <c r="H53" s="2" t="inlineStr"/>
      <c r="I53" s="2" t="inlineStr">
        <is>
          <t>Through third party vendor only</t>
        </is>
      </c>
      <c r="J53" s="3">
        <f>Calc!B53</f>
        <v/>
      </c>
      <c r="K53" s="3">
        <f>Calc!C53</f>
        <v/>
      </c>
      <c r="L53" s="3">
        <f>Calc!F53</f>
        <v/>
      </c>
      <c r="M53" s="3">
        <f>Verification!E53</f>
        <v/>
      </c>
      <c r="N53" s="3">
        <f>Calc!I53</f>
        <v/>
      </c>
      <c r="O53" s="3">
        <f>AVERAGE(J53:N53)</f>
        <v/>
      </c>
      <c r="P53" s="2">
        <f>RANK.EQ(O53,$O$2:$O$113,0)</f>
        <v/>
      </c>
      <c r="Q53" s="2" t="inlineStr"/>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1-5</t>
        </is>
      </c>
      <c r="G54" s="2" t="inlineStr">
        <is>
          <t>1-5</t>
        </is>
      </c>
      <c r="H54" s="2" t="inlineStr">
        <is>
          <t>No affiliations</t>
        </is>
      </c>
      <c r="I54" s="2" t="inlineStr">
        <is>
          <t>Through third party vendor only</t>
        </is>
      </c>
      <c r="J54" s="3">
        <f>Calc!B54</f>
        <v/>
      </c>
      <c r="K54" s="3">
        <f>Calc!C54</f>
        <v/>
      </c>
      <c r="L54" s="3">
        <f>Calc!F54</f>
        <v/>
      </c>
      <c r="M54" s="3">
        <f>Verification!E54</f>
        <v/>
      </c>
      <c r="N54" s="3">
        <f>Calc!I54</f>
        <v/>
      </c>
      <c r="O54" s="3">
        <f>AVERAGE(J54:N54)</f>
        <v/>
      </c>
      <c r="P54" s="2">
        <f>RANK.EQ(O54,$O$2:$O$113,0)</f>
        <v/>
      </c>
      <c r="Q54" s="2" t="inlineStr">
        <is>
          <t>Review affiliation coding; override available</t>
        </is>
      </c>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c r="G55" s="2" t="inlineStr"/>
      <c r="H55" s="2" t="inlineStr"/>
      <c r="I55" s="2" t="inlineStr">
        <is>
          <t>Not applicable</t>
        </is>
      </c>
      <c r="J55" s="3">
        <f>Calc!B55</f>
        <v/>
      </c>
      <c r="K55" s="3">
        <f>Calc!C55</f>
        <v/>
      </c>
      <c r="L55" s="3">
        <f>Calc!F55</f>
        <v/>
      </c>
      <c r="M55" s="3">
        <f>Verification!E55</f>
        <v/>
      </c>
      <c r="N55" s="3">
        <f>Calc!I55</f>
        <v/>
      </c>
      <c r="O55" s="3">
        <f>AVERAGE(J55:N55)</f>
        <v/>
      </c>
      <c r="P55" s="2">
        <f>RANK.EQ(O55,$O$2:$O$113,0)</f>
        <v/>
      </c>
      <c r="Q55" s="2" t="inlineStr">
        <is>
          <t>Full-time staffing missing/unknown scored 0; Volunteer staffing missing/unknown scored 0; Service-delivery field not applicable/unknown scored 0</t>
        </is>
      </c>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c r="G56" s="2" t="inlineStr"/>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Through solution provider or third party vendor</t>
        </is>
      </c>
      <c r="J56" s="3">
        <f>Calc!B56</f>
        <v/>
      </c>
      <c r="K56" s="3">
        <f>Calc!C56</f>
        <v/>
      </c>
      <c r="L56" s="3">
        <f>Calc!F56</f>
        <v/>
      </c>
      <c r="M56" s="3">
        <f>Verification!E56</f>
        <v/>
      </c>
      <c r="N56" s="3">
        <f>Calc!I56</f>
        <v/>
      </c>
      <c r="O56" s="3">
        <f>AVERAGE(J56:N56)</f>
        <v/>
      </c>
      <c r="P56" s="2">
        <f>RANK.EQ(O56,$O$2:$O$113,0)</f>
        <v/>
      </c>
      <c r="Q56" s="2" t="inlineStr">
        <is>
          <t>Full-time staffing missing/unknown scored 0; Volunteer staffing missing/unknown scored 0; Review affiliation coding; override available</t>
        </is>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1-5</t>
        </is>
      </c>
      <c r="G57" s="2" t="inlineStr">
        <is>
          <t>11-20</t>
        </is>
      </c>
      <c r="H57" s="2" t="inlineStr">
        <is>
          <t>DataCite e.V. SESAR GFZ Data Services Kiel University IGSN Service Lithodat Pty Ltd Commonwealth Scientific and Industrial Research Organisation Institut Français de Recherche pour l'Exploitation de la Mer</t>
        </is>
      </c>
      <c r="I57" s="2" t="inlineStr">
        <is>
          <t>Through solution provider only</t>
        </is>
      </c>
      <c r="J57" s="3">
        <f>Calc!B57</f>
        <v/>
      </c>
      <c r="K57" s="3">
        <f>Calc!C57</f>
        <v/>
      </c>
      <c r="L57" s="3">
        <f>Calc!F57</f>
        <v/>
      </c>
      <c r="M57" s="3">
        <f>Verification!E57</f>
        <v/>
      </c>
      <c r="N57" s="3">
        <f>Calc!I57</f>
        <v/>
      </c>
      <c r="O57" s="3">
        <f>AVERAGE(J57:N57)</f>
        <v/>
      </c>
      <c r="P57" s="2">
        <f>RANK.EQ(O57,$O$2:$O$113,0)</f>
        <v/>
      </c>
      <c r="Q57" s="2" t="inlineStr">
        <is>
          <t>Review affiliation coding; override available</t>
        </is>
      </c>
    </row>
    <row r="58">
      <c r="A58" s="2" t="inlineStr">
        <is>
          <t>InvenioRDM</t>
        </is>
      </c>
      <c r="B58" s="2" t="inlineStr">
        <is>
          <t>CERN</t>
        </is>
      </c>
      <c r="C58" s="2" t="inlineStr">
        <is>
          <t>Repository software</t>
        </is>
      </c>
      <c r="D58" s="2" t="inlineStr">
        <is>
          <t>System complete and qualified</t>
        </is>
      </c>
      <c r="E58" s="2" t="inlineStr">
        <is>
          <t>Actively Maintained</t>
        </is>
      </c>
      <c r="F58" s="2" t="inlineStr"/>
      <c r="G58" s="2" t="inlineStr"/>
      <c r="H58" s="2" t="inlineStr"/>
      <c r="I58" s="2" t="inlineStr">
        <is>
          <t>No services available</t>
        </is>
      </c>
      <c r="J58" s="3">
        <f>Calc!B58</f>
        <v/>
      </c>
      <c r="K58" s="3">
        <f>Calc!C58</f>
        <v/>
      </c>
      <c r="L58" s="3">
        <f>Calc!F58</f>
        <v/>
      </c>
      <c r="M58" s="3">
        <f>Verification!E58</f>
        <v/>
      </c>
      <c r="N58" s="3">
        <f>Calc!I58</f>
        <v/>
      </c>
      <c r="O58" s="3">
        <f>AVERAGE(J58:N58)</f>
        <v/>
      </c>
      <c r="P58" s="2">
        <f>RANK.EQ(O58,$O$2:$O$113,0)</f>
        <v/>
      </c>
      <c r="Q58" s="2" t="inlineStr">
        <is>
          <t>Full-time staffing missing/unknown scored 0; Volunteer staffing missing/unknown scored 0</t>
        </is>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6-10</t>
        </is>
      </c>
      <c r="G59" s="2" t="inlineStr">
        <is>
          <t>0</t>
        </is>
      </c>
      <c r="H59" s="2" t="inlineStr">
        <is>
          <t>Executive Board Members (Premier Level)</t>
        </is>
      </c>
      <c r="I59" s="2" t="inlineStr">
        <is>
          <t>Through solution provider or third party vendor</t>
        </is>
      </c>
      <c r="J59" s="3">
        <f>Calc!B59</f>
        <v/>
      </c>
      <c r="K59" s="3">
        <f>Calc!C59</f>
        <v/>
      </c>
      <c r="L59" s="3">
        <f>Calc!F59</f>
        <v/>
      </c>
      <c r="M59" s="3">
        <f>Verification!E59</f>
        <v/>
      </c>
      <c r="N59" s="3">
        <f>Calc!I59</f>
        <v/>
      </c>
      <c r="O59" s="3">
        <f>AVERAGE(J59:N59)</f>
        <v/>
      </c>
      <c r="P59" s="2">
        <f>RANK.EQ(O59,$O$2:$O$113,0)</f>
        <v/>
      </c>
      <c r="Q59" s="2" t="inlineStr">
        <is>
          <t>Review affiliation coding; override available</t>
        </is>
      </c>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c r="G60" s="2" t="inlineStr"/>
      <c r="H60" s="2" t="inlineStr"/>
      <c r="I60" s="2" t="inlineStr">
        <is>
          <t>Through third party vendor only</t>
        </is>
      </c>
      <c r="J60" s="3">
        <f>Calc!B60</f>
        <v/>
      </c>
      <c r="K60" s="3">
        <f>Calc!C60</f>
        <v/>
      </c>
      <c r="L60" s="3">
        <f>Calc!F60</f>
        <v/>
      </c>
      <c r="M60" s="3">
        <f>Verification!E60</f>
        <v/>
      </c>
      <c r="N60" s="3">
        <f>Calc!I60</f>
        <v/>
      </c>
      <c r="O60" s="3">
        <f>AVERAGE(J60:N60)</f>
        <v/>
      </c>
      <c r="P60" s="2">
        <f>RANK.EQ(O60,$O$2:$O$113,0)</f>
        <v/>
      </c>
      <c r="Q60" s="2" t="inlineStr">
        <is>
          <t>Full-time staffing missing/unknown scored 0; Volunteer staffing missing/unknown scored 0</t>
        </is>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c r="G61" s="2" t="inlineStr"/>
      <c r="H61" s="2" t="inlineStr"/>
      <c r="I61" s="2" t="inlineStr">
        <is>
          <t>Through solution provider only</t>
        </is>
      </c>
      <c r="J61" s="3">
        <f>Calc!B61</f>
        <v/>
      </c>
      <c r="K61" s="3">
        <f>Calc!C61</f>
        <v/>
      </c>
      <c r="L61" s="3">
        <f>Calc!F61</f>
        <v/>
      </c>
      <c r="M61" s="3">
        <f>Verification!E61</f>
        <v/>
      </c>
      <c r="N61" s="3">
        <f>Calc!I61</f>
        <v/>
      </c>
      <c r="O61" s="3">
        <f>AVERAGE(J61:N61)</f>
        <v/>
      </c>
      <c r="P61" s="2">
        <f>RANK.EQ(O61,$O$2:$O$113,0)</f>
        <v/>
      </c>
      <c r="Q61" s="2" t="inlineStr">
        <is>
          <t>Full-time staffing missing/unknown scored 0; Volunteer staffing missing/unknown scored 0</t>
        </is>
      </c>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1-5</t>
        </is>
      </c>
      <c r="G62" s="2" t="inlineStr">
        <is>
          <t>0</t>
        </is>
      </c>
      <c r="H62" s="2" t="inlineStr">
        <is>
          <t>OPF Membership</t>
        </is>
      </c>
      <c r="I62" s="2" t="inlineStr">
        <is>
          <t>No services available</t>
        </is>
      </c>
      <c r="J62" s="3">
        <f>Calc!B62</f>
        <v/>
      </c>
      <c r="K62" s="3">
        <f>Calc!C62</f>
        <v/>
      </c>
      <c r="L62" s="3">
        <f>Calc!F62</f>
        <v/>
      </c>
      <c r="M62" s="3">
        <f>Verification!E62</f>
        <v/>
      </c>
      <c r="N62" s="3">
        <f>Calc!I62</f>
        <v/>
      </c>
      <c r="O62" s="3">
        <f>AVERAGE(J62:N62)</f>
        <v/>
      </c>
      <c r="P62" s="2">
        <f>RANK.EQ(O62,$O$2:$O$113,0)</f>
        <v/>
      </c>
      <c r="Q62" s="2" t="inlineStr">
        <is>
          <t>Review affiliation coding; override available</t>
        </is>
      </c>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c r="G63" s="2" t="inlineStr"/>
      <c r="H63" s="2" t="inlineStr"/>
      <c r="I63" s="2" t="inlineStr">
        <is>
          <t>Not applicable</t>
        </is>
      </c>
      <c r="J63" s="3">
        <f>Calc!B63</f>
        <v/>
      </c>
      <c r="K63" s="3">
        <f>Calc!C63</f>
        <v/>
      </c>
      <c r="L63" s="3">
        <f>Calc!F63</f>
        <v/>
      </c>
      <c r="M63" s="3">
        <f>Verification!E63</f>
        <v/>
      </c>
      <c r="N63" s="3">
        <f>Calc!I63</f>
        <v/>
      </c>
      <c r="O63" s="3">
        <f>AVERAGE(J63:N63)</f>
        <v/>
      </c>
      <c r="P63" s="2">
        <f>RANK.EQ(O63,$O$2:$O$113,0)</f>
        <v/>
      </c>
      <c r="Q63" s="2" t="inlineStr">
        <is>
          <t>Full-time staffing missing/unknown scored 0; Volunteer staffing missing/unknown scored 0; Service-delivery field not applicable/unknown scored 0</t>
        </is>
      </c>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c r="G64" s="2" t="inlineStr"/>
      <c r="H64" s="2" t="inlineStr"/>
      <c r="I64" s="2" t="inlineStr">
        <is>
          <t>Through third party vendor only</t>
        </is>
      </c>
      <c r="J64" s="3">
        <f>Calc!B64</f>
        <v/>
      </c>
      <c r="K64" s="3">
        <f>Calc!C64</f>
        <v/>
      </c>
      <c r="L64" s="3">
        <f>Calc!F64</f>
        <v/>
      </c>
      <c r="M64" s="3">
        <f>Verification!E64</f>
        <v/>
      </c>
      <c r="N64" s="3">
        <f>Calc!I64</f>
        <v/>
      </c>
      <c r="O64" s="3">
        <f>AVERAGE(J64:N64)</f>
        <v/>
      </c>
      <c r="P64" s="2">
        <f>RANK.EQ(O64,$O$2:$O$113,0)</f>
        <v/>
      </c>
      <c r="Q64" s="2" t="inlineStr">
        <is>
          <t>Full-time staffing missing/unknown scored 0; Volunteer staffing missing/unknown scored 0</t>
        </is>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c r="G65" s="2" t="inlineStr"/>
      <c r="H65" s="2" t="inlineStr"/>
      <c r="I65" s="2" t="inlineStr">
        <is>
          <t>Through solution provider or third party vendor</t>
        </is>
      </c>
      <c r="J65" s="3">
        <f>Calc!B65</f>
        <v/>
      </c>
      <c r="K65" s="3">
        <f>Calc!C65</f>
        <v/>
      </c>
      <c r="L65" s="3">
        <f>Calc!F65</f>
        <v/>
      </c>
      <c r="M65" s="3">
        <f>Verification!E65</f>
        <v/>
      </c>
      <c r="N65" s="3">
        <f>Calc!I65</f>
        <v/>
      </c>
      <c r="O65" s="3">
        <f>AVERAGE(J65:N65)</f>
        <v/>
      </c>
      <c r="P65" s="2">
        <f>RANK.EQ(O65,$O$2:$O$113,0)</f>
        <v/>
      </c>
      <c r="Q65" s="2" t="inlineStr">
        <is>
          <t>Full-time staffing missing/unknown scored 0; Volunteer staffing missing/unknown scored 0</t>
        </is>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0</t>
        </is>
      </c>
      <c r="G66" s="2" t="inlineStr">
        <is>
          <t>1-5</t>
        </is>
      </c>
      <c r="H66" s="2" t="inlineStr">
        <is>
          <t>Library of Congress provides hosting support for the METS schema; the METS editorial board functions as an independent community group.</t>
        </is>
      </c>
      <c r="I66" s="2" t="inlineStr">
        <is>
          <t>Not applicable</t>
        </is>
      </c>
      <c r="J66" s="3">
        <f>Calc!B66</f>
        <v/>
      </c>
      <c r="K66" s="3">
        <f>Calc!C66</f>
        <v/>
      </c>
      <c r="L66" s="3">
        <f>Calc!F66</f>
        <v/>
      </c>
      <c r="M66" s="3">
        <f>Verification!E66</f>
        <v/>
      </c>
      <c r="N66" s="3">
        <f>Calc!I66</f>
        <v/>
      </c>
      <c r="O66" s="3">
        <f>AVERAGE(J66:N66)</f>
        <v/>
      </c>
      <c r="P66" s="2">
        <f>RANK.EQ(O66,$O$2:$O$113,0)</f>
        <v/>
      </c>
      <c r="Q66" s="2" t="inlineStr">
        <is>
          <t>Review affiliation coding; override available; Service-delivery field not applicable/unknown scored 0</t>
        </is>
      </c>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c r="G67" s="2" t="inlineStr"/>
      <c r="H67" s="2" t="inlineStr"/>
      <c r="I67" s="2" t="inlineStr">
        <is>
          <t>Not applicable</t>
        </is>
      </c>
      <c r="J67" s="3">
        <f>Calc!B67</f>
        <v/>
      </c>
      <c r="K67" s="3">
        <f>Calc!C67</f>
        <v/>
      </c>
      <c r="L67" s="3">
        <f>Calc!F67</f>
        <v/>
      </c>
      <c r="M67" s="3">
        <f>Verification!E67</f>
        <v/>
      </c>
      <c r="N67" s="3">
        <f>Calc!I67</f>
        <v/>
      </c>
      <c r="O67" s="3">
        <f>AVERAGE(J67:N67)</f>
        <v/>
      </c>
      <c r="P67" s="2">
        <f>RANK.EQ(O67,$O$2:$O$113,0)</f>
        <v/>
      </c>
      <c r="Q67" s="2" t="inlineStr">
        <is>
          <t>Full-time staffing missing/unknown scored 0; Volunteer staffing missing/unknown scored 0; Service-delivery field not applicable/unknown scored 0</t>
        </is>
      </c>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c r="G68" s="2" t="inlineStr"/>
      <c r="H68" s="2" t="inlineStr"/>
      <c r="I68" s="2" t="inlineStr">
        <is>
          <t>Through third party vendor only</t>
        </is>
      </c>
      <c r="J68" s="3">
        <f>Calc!B68</f>
        <v/>
      </c>
      <c r="K68" s="3">
        <f>Calc!C68</f>
        <v/>
      </c>
      <c r="L68" s="3">
        <f>Calc!F68</f>
        <v/>
      </c>
      <c r="M68" s="3">
        <f>Verification!E68</f>
        <v/>
      </c>
      <c r="N68" s="3">
        <f>Calc!I68</f>
        <v/>
      </c>
      <c r="O68" s="3">
        <f>AVERAGE(J68:N68)</f>
        <v/>
      </c>
      <c r="P68" s="2">
        <f>RANK.EQ(O68,$O$2:$O$113,0)</f>
        <v/>
      </c>
      <c r="Q68" s="2" t="inlineStr">
        <is>
          <t>Full-time staffing missing/unknown scored 0; Volunteer staffing missing/unknown scored 0</t>
        </is>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1-5</t>
        </is>
      </c>
      <c r="G69" s="2" t="inlineStr">
        <is>
          <t>6-10</t>
        </is>
      </c>
      <c r="H69" s="2" t="inlineStr">
        <is>
          <t>Regional Computer Center, Hamburg University</t>
        </is>
      </c>
      <c r="I69" s="2" t="inlineStr">
        <is>
          <t>Through solution provider only</t>
        </is>
      </c>
      <c r="J69" s="3">
        <f>Calc!B69</f>
        <v/>
      </c>
      <c r="K69" s="3">
        <f>Calc!C69</f>
        <v/>
      </c>
      <c r="L69" s="3">
        <f>Calc!F69</f>
        <v/>
      </c>
      <c r="M69" s="3">
        <f>Verification!E69</f>
        <v/>
      </c>
      <c r="N69" s="3">
        <f>Calc!I69</f>
        <v/>
      </c>
      <c r="O69" s="3">
        <f>AVERAGE(J69:N69)</f>
        <v/>
      </c>
      <c r="P69" s="2">
        <f>RANK.EQ(O69,$O$2:$O$113,0)</f>
        <v/>
      </c>
      <c r="Q69" s="2" t="inlineStr">
        <is>
          <t>Review affiliation coding; override available</t>
        </is>
      </c>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1-5</t>
        </is>
      </c>
      <c r="G70" s="2" t="inlineStr">
        <is>
          <t>6-10</t>
        </is>
      </c>
      <c r="H70" s="2" t="inlineStr">
        <is>
          <t>NumFOCUS; UC Berkeley; Quansight; NVIDIA</t>
        </is>
      </c>
      <c r="I70" s="2" t="inlineStr">
        <is>
          <t>Not applicable</t>
        </is>
      </c>
      <c r="J70" s="3">
        <f>Calc!B70</f>
        <v/>
      </c>
      <c r="K70" s="3">
        <f>Calc!C70</f>
        <v/>
      </c>
      <c r="L70" s="3">
        <f>Calc!F70</f>
        <v/>
      </c>
      <c r="M70" s="3">
        <f>Verification!E70</f>
        <v/>
      </c>
      <c r="N70" s="3">
        <f>Calc!I70</f>
        <v/>
      </c>
      <c r="O70" s="3">
        <f>AVERAGE(J70:N70)</f>
        <v/>
      </c>
      <c r="P70" s="2">
        <f>RANK.EQ(O70,$O$2:$O$113,0)</f>
        <v/>
      </c>
      <c r="Q70" s="2" t="inlineStr">
        <is>
          <t>Review affiliation coding; override available; Service-delivery field not applicable/unknown scored 0</t>
        </is>
      </c>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6-10</t>
        </is>
      </c>
      <c r="G71" s="2" t="inlineStr">
        <is>
          <t>0</t>
        </is>
      </c>
      <c r="H71" s="2" t="inlineStr">
        <is>
          <t>Code for Science &amp; Society (fiscal sponsor of OA.Works)</t>
        </is>
      </c>
      <c r="I71" s="2" t="inlineStr">
        <is>
          <t>Through solution provider only</t>
        </is>
      </c>
      <c r="J71" s="3">
        <f>Calc!B71</f>
        <v/>
      </c>
      <c r="K71" s="3">
        <f>Calc!C71</f>
        <v/>
      </c>
      <c r="L71" s="3">
        <f>Calc!F71</f>
        <v/>
      </c>
      <c r="M71" s="3">
        <f>Verification!E71</f>
        <v/>
      </c>
      <c r="N71" s="3">
        <f>Calc!I71</f>
        <v/>
      </c>
      <c r="O71" s="3">
        <f>AVERAGE(J71:N71)</f>
        <v/>
      </c>
      <c r="P71" s="2">
        <f>RANK.EQ(O71,$O$2:$O$113,0)</f>
        <v/>
      </c>
      <c r="Q71" s="2" t="inlineStr">
        <is>
          <t>Review affiliation coding; override available</t>
        </is>
      </c>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c r="G72" s="2" t="inlineStr"/>
      <c r="H72" s="2" t="inlineStr"/>
      <c r="I72" s="2" t="inlineStr">
        <is>
          <t>Not applicable</t>
        </is>
      </c>
      <c r="J72" s="3">
        <f>Calc!B72</f>
        <v/>
      </c>
      <c r="K72" s="3">
        <f>Calc!C72</f>
        <v/>
      </c>
      <c r="L72" s="3">
        <f>Calc!F72</f>
        <v/>
      </c>
      <c r="M72" s="3">
        <f>Verification!E72</f>
        <v/>
      </c>
      <c r="N72" s="3">
        <f>Calc!I72</f>
        <v/>
      </c>
      <c r="O72" s="3">
        <f>AVERAGE(J72:N72)</f>
        <v/>
      </c>
      <c r="P72" s="2">
        <f>RANK.EQ(O72,$O$2:$O$113,0)</f>
        <v/>
      </c>
      <c r="Q72" s="2" t="inlineStr">
        <is>
          <t>Full-time staffing missing/unknown scored 0; Volunteer staffing missing/unknown scored 0; Service-delivery field not applicable/unknown scored 0</t>
        </is>
      </c>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c r="G73" s="2" t="inlineStr"/>
      <c r="H73" s="2" t="inlineStr"/>
      <c r="I73" s="2" t="inlineStr">
        <is>
          <t>Through solution provider only</t>
        </is>
      </c>
      <c r="J73" s="3">
        <f>Calc!B73</f>
        <v/>
      </c>
      <c r="K73" s="3">
        <f>Calc!C73</f>
        <v/>
      </c>
      <c r="L73" s="3">
        <f>Calc!F73</f>
        <v/>
      </c>
      <c r="M73" s="3">
        <f>Verification!E73</f>
        <v/>
      </c>
      <c r="N73" s="3">
        <f>Calc!I73</f>
        <v/>
      </c>
      <c r="O73" s="3">
        <f>AVERAGE(J73:N73)</f>
        <v/>
      </c>
      <c r="P73" s="2">
        <f>RANK.EQ(O73,$O$2:$O$113,0)</f>
        <v/>
      </c>
      <c r="Q73" s="2" t="inlineStr">
        <is>
          <t>Full-time staffing missing/unknown scored 0; Volunteer staffing missing/unknown scored 0</t>
        </is>
      </c>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c r="G74" s="2" t="inlineStr"/>
      <c r="H74" s="2" t="inlineStr">
        <is>
          <t>Athena Research Centre (ARC) The National Research Council of Italy Institute of Information Science and Technologies (ISTI-CNR) Interdisciplinary Centre for Mathematical and Computational Modelling at University of Warsaw (ICM)</t>
        </is>
      </c>
      <c r="I74" s="2" t="inlineStr">
        <is>
          <t>Not applicable</t>
        </is>
      </c>
      <c r="J74" s="3">
        <f>Calc!B74</f>
        <v/>
      </c>
      <c r="K74" s="3">
        <f>Calc!C74</f>
        <v/>
      </c>
      <c r="L74" s="3">
        <f>Calc!F74</f>
        <v/>
      </c>
      <c r="M74" s="3">
        <f>Verification!E74</f>
        <v/>
      </c>
      <c r="N74" s="3">
        <f>Calc!I74</f>
        <v/>
      </c>
      <c r="O74" s="3">
        <f>AVERAGE(J74:N74)</f>
        <v/>
      </c>
      <c r="P74" s="2">
        <f>RANK.EQ(O74,$O$2:$O$113,0)</f>
        <v/>
      </c>
      <c r="Q74" s="2" t="inlineStr">
        <is>
          <t>Full-time staffing missing/unknown scored 0; Volunteer staffing missing/unknown scored 0; Review affiliation coding; override available; Service-delivery field not applicable/unknown scored 0</t>
        </is>
      </c>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c r="G75" s="2" t="inlineStr"/>
      <c r="H75" s="2" t="inlineStr"/>
      <c r="I75" s="2" t="inlineStr">
        <is>
          <t>Not applicable</t>
        </is>
      </c>
      <c r="J75" s="3">
        <f>Calc!B75</f>
        <v/>
      </c>
      <c r="K75" s="3">
        <f>Calc!C75</f>
        <v/>
      </c>
      <c r="L75" s="3">
        <f>Calc!F75</f>
        <v/>
      </c>
      <c r="M75" s="3">
        <f>Verification!E75</f>
        <v/>
      </c>
      <c r="N75" s="3">
        <f>Calc!I75</f>
        <v/>
      </c>
      <c r="O75" s="3">
        <f>AVERAGE(J75:N75)</f>
        <v/>
      </c>
      <c r="P75" s="2">
        <f>RANK.EQ(O75,$O$2:$O$113,0)</f>
        <v/>
      </c>
      <c r="Q75" s="2" t="inlineStr">
        <is>
          <t>Full-time staffing missing/unknown scored 0; Volunteer staffing missing/unknown scored 0; Service-delivery field not applicable/unknown scored 0</t>
        </is>
      </c>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1-5</t>
        </is>
      </c>
      <c r="G76" s="2" t="inlineStr">
        <is>
          <t>0</t>
        </is>
      </c>
      <c r="H76" s="2" t="inlineStr">
        <is>
          <t>OpenAPC is located at Bielefeld University Library. The project was set up in collaboration with the DINI working group Electronic Publishing. Since 2021 it is part of OpenAIRE Nexus.</t>
        </is>
      </c>
      <c r="I76" s="2" t="inlineStr">
        <is>
          <t>Not applicable</t>
        </is>
      </c>
      <c r="J76" s="3">
        <f>Calc!B76</f>
        <v/>
      </c>
      <c r="K76" s="3">
        <f>Calc!C76</f>
        <v/>
      </c>
      <c r="L76" s="3">
        <f>Calc!F76</f>
        <v/>
      </c>
      <c r="M76" s="3">
        <f>Verification!E76</f>
        <v/>
      </c>
      <c r="N76" s="3">
        <f>Calc!I76</f>
        <v/>
      </c>
      <c r="O76" s="3">
        <f>AVERAGE(J76:N76)</f>
        <v/>
      </c>
      <c r="P76" s="2">
        <f>RANK.EQ(O76,$O$2:$O$113,0)</f>
        <v/>
      </c>
      <c r="Q76" s="2" t="inlineStr">
        <is>
          <t>Review affiliation coding; override available; Service-delivery field not applicable/unknown scored 0</t>
        </is>
      </c>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6-10</t>
        </is>
      </c>
      <c r="G77" s="2" t="inlineStr">
        <is>
          <t>1-5</t>
        </is>
      </c>
      <c r="H77" s="2" t="inlineStr">
        <is>
          <t>Research Centre for Open Scholarly Metadata, University of Bologna</t>
        </is>
      </c>
      <c r="I77" s="2" t="inlineStr">
        <is>
          <t>Not applicable</t>
        </is>
      </c>
      <c r="J77" s="3">
        <f>Calc!B77</f>
        <v/>
      </c>
      <c r="K77" s="3">
        <f>Calc!C77</f>
        <v/>
      </c>
      <c r="L77" s="3">
        <f>Calc!F77</f>
        <v/>
      </c>
      <c r="M77" s="3">
        <f>Verification!E77</f>
        <v/>
      </c>
      <c r="N77" s="3">
        <f>Calc!I77</f>
        <v/>
      </c>
      <c r="O77" s="3">
        <f>AVERAGE(J77:N77)</f>
        <v/>
      </c>
      <c r="P77" s="2">
        <f>RANK.EQ(O77,$O$2:$O$113,0)</f>
        <v/>
      </c>
      <c r="Q77" s="2" t="inlineStr">
        <is>
          <t>Review affiliation coding; override available; Service-delivery field not applicable/unknown scored 0</t>
        </is>
      </c>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c r="G78" s="2" t="inlineStr"/>
      <c r="H78" s="2" t="inlineStr">
        <is>
          <t>Bielefeld University Library, the German Electron Synchrotron DESY (Hamburg) and University Library of Regensburg</t>
        </is>
      </c>
      <c r="I78" s="2" t="inlineStr">
        <is>
          <t>Not applicable</t>
        </is>
      </c>
      <c r="J78" s="3">
        <f>Calc!B78</f>
        <v/>
      </c>
      <c r="K78" s="3">
        <f>Calc!C78</f>
        <v/>
      </c>
      <c r="L78" s="3">
        <f>Calc!F78</f>
        <v/>
      </c>
      <c r="M78" s="3">
        <f>Verification!E78</f>
        <v/>
      </c>
      <c r="N78" s="3">
        <f>Calc!I78</f>
        <v/>
      </c>
      <c r="O78" s="3">
        <f>AVERAGE(J78:N78)</f>
        <v/>
      </c>
      <c r="P78" s="2">
        <f>RANK.EQ(O78,$O$2:$O$113,0)</f>
        <v/>
      </c>
      <c r="Q78" s="2" t="inlineStr">
        <is>
          <t>Full-time staffing missing/unknown scored 0; Volunteer staffing missing/unknown scored 0; Review affiliation coding; override available; Service-delivery field not applicable/unknown scored 0</t>
        </is>
      </c>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11-20</t>
        </is>
      </c>
      <c r="G79" s="2" t="inlineStr">
        <is>
          <t>More than 20</t>
        </is>
      </c>
      <c r="H79" s="2" t="inlineStr">
        <is>
          <t>Digital Public Goods Alliance, Open Knowledge Brazil, Open Knowledge Nepal, Escuela de Datos help disseminate the tool.</t>
        </is>
      </c>
      <c r="I79" s="2" t="inlineStr">
        <is>
          <t>Not applicable</t>
        </is>
      </c>
      <c r="J79" s="3">
        <f>Calc!B79</f>
        <v/>
      </c>
      <c r="K79" s="3">
        <f>Calc!C79</f>
        <v/>
      </c>
      <c r="L79" s="3">
        <f>Calc!F79</f>
        <v/>
      </c>
      <c r="M79" s="3">
        <f>Verification!E79</f>
        <v/>
      </c>
      <c r="N79" s="3">
        <f>Calc!I79</f>
        <v/>
      </c>
      <c r="O79" s="3">
        <f>AVERAGE(J79:N79)</f>
        <v/>
      </c>
      <c r="P79" s="2">
        <f>RANK.EQ(O79,$O$2:$O$113,0)</f>
        <v/>
      </c>
      <c r="Q79" s="2" t="inlineStr">
        <is>
          <t>Review affiliation coding; override available; Service-delivery field not applicable/unknown scored 0</t>
        </is>
      </c>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inlineStr"/>
      <c r="G80" s="2" t="inlineStr"/>
      <c r="H80" s="2" t="inlineStr"/>
      <c r="I80" s="2" t="inlineStr">
        <is>
          <t>Not applicable</t>
        </is>
      </c>
      <c r="J80" s="3">
        <f>Calc!B80</f>
        <v/>
      </c>
      <c r="K80" s="3">
        <f>Calc!C80</f>
        <v/>
      </c>
      <c r="L80" s="3">
        <f>Calc!F80</f>
        <v/>
      </c>
      <c r="M80" s="3">
        <f>Verification!E80</f>
        <v/>
      </c>
      <c r="N80" s="3">
        <f>Calc!I80</f>
        <v/>
      </c>
      <c r="O80" s="3">
        <f>AVERAGE(J80:N80)</f>
        <v/>
      </c>
      <c r="P80" s="2">
        <f>RANK.EQ(O80,$O$2:$O$113,0)</f>
        <v/>
      </c>
      <c r="Q80" s="2" t="inlineStr">
        <is>
          <t>Full-time staffing missing/unknown scored 0; Volunteer staffing missing/unknown scored 0; Service-delivery field not applicable/unknown scored 0</t>
        </is>
      </c>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c r="G81" s="2" t="inlineStr"/>
      <c r="H81" s="2" t="inlineStr"/>
      <c r="I81" s="2" t="inlineStr">
        <is>
          <t>Through solution provider or third party vendor</t>
        </is>
      </c>
      <c r="J81" s="3">
        <f>Calc!B81</f>
        <v/>
      </c>
      <c r="K81" s="3">
        <f>Calc!C81</f>
        <v/>
      </c>
      <c r="L81" s="3">
        <f>Calc!F81</f>
        <v/>
      </c>
      <c r="M81" s="3">
        <f>Verification!E81</f>
        <v/>
      </c>
      <c r="N81" s="3">
        <f>Calc!I81</f>
        <v/>
      </c>
      <c r="O81" s="3">
        <f>AVERAGE(J81:N81)</f>
        <v/>
      </c>
      <c r="P81" s="2">
        <f>RANK.EQ(O81,$O$2:$O$113,0)</f>
        <v/>
      </c>
      <c r="Q81" s="2" t="inlineStr">
        <is>
          <t>Full-time staffing missing/unknown scored 0; Volunteer staffing missing/unknown scored 0</t>
        </is>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c r="G82" s="2" t="inlineStr"/>
      <c r="H82" s="2" t="inlineStr"/>
      <c r="I82" s="2" t="inlineStr">
        <is>
          <t>Through solution provider or third party vendor</t>
        </is>
      </c>
      <c r="J82" s="3">
        <f>Calc!B82</f>
        <v/>
      </c>
      <c r="K82" s="3">
        <f>Calc!C82</f>
        <v/>
      </c>
      <c r="L82" s="3">
        <f>Calc!F82</f>
        <v/>
      </c>
      <c r="M82" s="3">
        <f>Verification!E82</f>
        <v/>
      </c>
      <c r="N82" s="3">
        <f>Calc!I82</f>
        <v/>
      </c>
      <c r="O82" s="3">
        <f>AVERAGE(J82:N82)</f>
        <v/>
      </c>
      <c r="P82" s="2">
        <f>RANK.EQ(O82,$O$2:$O$113,0)</f>
        <v/>
      </c>
      <c r="Q82" s="2" t="inlineStr">
        <is>
          <t>Full-time staffing missing/unknown scored 0; Volunteer staffing missing/unknown scored 0</t>
        </is>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c r="G83" s="2" t="inlineStr"/>
      <c r="H83" s="2" t="inlineStr"/>
      <c r="I83" s="2" t="inlineStr">
        <is>
          <t>Through solution provider or third party vendor</t>
        </is>
      </c>
      <c r="J83" s="3">
        <f>Calc!B83</f>
        <v/>
      </c>
      <c r="K83" s="3">
        <f>Calc!C83</f>
        <v/>
      </c>
      <c r="L83" s="3">
        <f>Calc!F83</f>
        <v/>
      </c>
      <c r="M83" s="3">
        <f>Verification!E83</f>
        <v/>
      </c>
      <c r="N83" s="3">
        <f>Calc!I83</f>
        <v/>
      </c>
      <c r="O83" s="3">
        <f>AVERAGE(J83:N83)</f>
        <v/>
      </c>
      <c r="P83" s="2">
        <f>RANK.EQ(O83,$O$2:$O$113,0)</f>
        <v/>
      </c>
      <c r="Q83" s="2" t="inlineStr">
        <is>
          <t>Full-time staffing missing/unknown scored 0; Volunteer staffing missing/unknown scored 0</t>
        </is>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6-10</t>
        </is>
      </c>
      <c r="G84" s="2" t="inlineStr">
        <is>
          <t>Unknown</t>
        </is>
      </c>
      <c r="H84" s="2" t="inlineStr">
        <is>
          <t>Openverse is part of the WordPress open source project: https://wordpress.org/</t>
        </is>
      </c>
      <c r="I84" s="2" t="inlineStr">
        <is>
          <t>Not applicable</t>
        </is>
      </c>
      <c r="J84" s="3">
        <f>Calc!B84</f>
        <v/>
      </c>
      <c r="K84" s="3">
        <f>Calc!C84</f>
        <v/>
      </c>
      <c r="L84" s="3">
        <f>Calc!F84</f>
        <v/>
      </c>
      <c r="M84" s="3">
        <f>Verification!E84</f>
        <v/>
      </c>
      <c r="N84" s="3">
        <f>Calc!I84</f>
        <v/>
      </c>
      <c r="O84" s="3">
        <f>AVERAGE(J84:N84)</f>
        <v/>
      </c>
      <c r="P84" s="2">
        <f>RANK.EQ(O84,$O$2:$O$113,0)</f>
        <v/>
      </c>
      <c r="Q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c r="G85" s="2" t="inlineStr"/>
      <c r="H85" s="2" t="inlineStr"/>
      <c r="I85" s="2" t="inlineStr">
        <is>
          <t>Not applicable</t>
        </is>
      </c>
      <c r="J85" s="3">
        <f>Calc!B85</f>
        <v/>
      </c>
      <c r="K85" s="3">
        <f>Calc!C85</f>
        <v/>
      </c>
      <c r="L85" s="3">
        <f>Calc!F85</f>
        <v/>
      </c>
      <c r="M85" s="3">
        <f>Verification!E85</f>
        <v/>
      </c>
      <c r="N85" s="3">
        <f>Calc!I85</f>
        <v/>
      </c>
      <c r="O85" s="3">
        <f>AVERAGE(J85:N85)</f>
        <v/>
      </c>
      <c r="P85" s="2">
        <f>RANK.EQ(O85,$O$2:$O$113,0)</f>
        <v/>
      </c>
      <c r="Q85" s="2" t="inlineStr">
        <is>
          <t>Full-time staffing missing/unknown scored 0; Volunteer staffing missing/unknown scored 0; Service-delivery field not applicable/unknown scored 0</t>
        </is>
      </c>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c r="G86" s="2" t="inlineStr"/>
      <c r="H86" s="2" t="inlineStr"/>
      <c r="I86" s="2" t="inlineStr">
        <is>
          <t>Through solution provider only</t>
        </is>
      </c>
      <c r="J86" s="3">
        <f>Calc!B86</f>
        <v/>
      </c>
      <c r="K86" s="3">
        <f>Calc!C86</f>
        <v/>
      </c>
      <c r="L86" s="3">
        <f>Calc!F86</f>
        <v/>
      </c>
      <c r="M86" s="3">
        <f>Verification!E86</f>
        <v/>
      </c>
      <c r="N86" s="3">
        <f>Calc!I86</f>
        <v/>
      </c>
      <c r="O86" s="3">
        <f>AVERAGE(J86:N86)</f>
        <v/>
      </c>
      <c r="P86" s="2">
        <f>RANK.EQ(O86,$O$2:$O$113,0)</f>
        <v/>
      </c>
      <c r="Q86" s="2" t="inlineStr">
        <is>
          <t>Full-time staffing missing/unknown scored 0; Volunteer staffing missing/unknown scored 0</t>
        </is>
      </c>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c r="G87" s="2" t="inlineStr"/>
      <c r="H87" s="2" t="inlineStr"/>
      <c r="I87" s="2" t="inlineStr">
        <is>
          <t>Not applicable</t>
        </is>
      </c>
      <c r="J87" s="3">
        <f>Calc!B87</f>
        <v/>
      </c>
      <c r="K87" s="3">
        <f>Calc!C87</f>
        <v/>
      </c>
      <c r="L87" s="3">
        <f>Calc!F87</f>
        <v/>
      </c>
      <c r="M87" s="3">
        <f>Verification!E87</f>
        <v/>
      </c>
      <c r="N87" s="3">
        <f>Calc!I87</f>
        <v/>
      </c>
      <c r="O87" s="3">
        <f>AVERAGE(J87:N87)</f>
        <v/>
      </c>
      <c r="P87" s="2">
        <f>RANK.EQ(O87,$O$2:$O$113,0)</f>
        <v/>
      </c>
      <c r="Q87" s="2" t="inlineStr">
        <is>
          <t>Full-time staffing missing/unknown scored 0; Volunteer staffing missing/unknown scored 0; Service-delivery field not applicable/unknown scored 0</t>
        </is>
      </c>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c r="G88" s="2" t="inlineStr"/>
      <c r="H88" s="2" t="inlineStr"/>
      <c r="I88" s="2" t="inlineStr">
        <is>
          <t>Not applicable</t>
        </is>
      </c>
      <c r="J88" s="3">
        <f>Calc!B88</f>
        <v/>
      </c>
      <c r="K88" s="3">
        <f>Calc!C88</f>
        <v/>
      </c>
      <c r="L88" s="3">
        <f>Calc!F88</f>
        <v/>
      </c>
      <c r="M88" s="3">
        <f>Verification!E88</f>
        <v/>
      </c>
      <c r="N88" s="3">
        <f>Calc!I88</f>
        <v/>
      </c>
      <c r="O88" s="3">
        <f>AVERAGE(J88:N88)</f>
        <v/>
      </c>
      <c r="P88" s="2">
        <f>RANK.EQ(O88,$O$2:$O$113,0)</f>
        <v/>
      </c>
      <c r="Q88" s="2" t="inlineStr">
        <is>
          <t>Full-time staffing missing/unknown scored 0; Volunteer staffing missing/unknown scored 0; Service-delivery field not applicable/unknown scored 0</t>
        </is>
      </c>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More than 20</t>
        </is>
      </c>
      <c r="G89" s="2" t="inlineStr"/>
      <c r="H89" s="2" t="inlineStr">
        <is>
          <t>See OJS for affiliations.</t>
        </is>
      </c>
      <c r="I89" s="2" t="inlineStr">
        <is>
          <t>Not applicable</t>
        </is>
      </c>
      <c r="J89" s="3">
        <f>Calc!B89</f>
        <v/>
      </c>
      <c r="K89" s="3">
        <f>Calc!C89</f>
        <v/>
      </c>
      <c r="L89" s="3">
        <f>Calc!F89</f>
        <v/>
      </c>
      <c r="M89" s="3">
        <f>Verification!E89</f>
        <v/>
      </c>
      <c r="N89" s="3">
        <f>Calc!I89</f>
        <v/>
      </c>
      <c r="O89" s="3">
        <f>AVERAGE(J89:N89)</f>
        <v/>
      </c>
      <c r="P89" s="2">
        <f>RANK.EQ(O89,$O$2:$O$113,0)</f>
        <v/>
      </c>
      <c r="Q89" s="2" t="inlineStr">
        <is>
          <t>Volunteer staffing missing/unknown scored 0; Review affiliation coding; override available; Service-delivery field not applicable/unknown scored 0</t>
        </is>
      </c>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1-5</t>
        </is>
      </c>
      <c r="G90" s="2" t="inlineStr"/>
      <c r="H90" s="2" t="inlineStr"/>
      <c r="I90" s="2" t="inlineStr">
        <is>
          <t>Not applicable</t>
        </is>
      </c>
      <c r="J90" s="3">
        <f>Calc!B90</f>
        <v/>
      </c>
      <c r="K90" s="3">
        <f>Calc!C90</f>
        <v/>
      </c>
      <c r="L90" s="3">
        <f>Calc!F90</f>
        <v/>
      </c>
      <c r="M90" s="3">
        <f>Verification!E90</f>
        <v/>
      </c>
      <c r="N90" s="3">
        <f>Calc!I90</f>
        <v/>
      </c>
      <c r="O90" s="3">
        <f>AVERAGE(J90:N90)</f>
        <v/>
      </c>
      <c r="P90" s="2">
        <f>RANK.EQ(O90,$O$2:$O$113,0)</f>
        <v/>
      </c>
      <c r="Q90" s="2" t="inlineStr">
        <is>
          <t>Volunteer staffing missing/unknown scored 0; Service-delivery field not applicable/unknown scored 0</t>
        </is>
      </c>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c r="G91" s="2" t="inlineStr"/>
      <c r="H91" s="2" t="inlineStr"/>
      <c r="I91" s="2" t="inlineStr">
        <is>
          <t>Through solution provider only</t>
        </is>
      </c>
      <c r="J91" s="3">
        <f>Calc!B91</f>
        <v/>
      </c>
      <c r="K91" s="3">
        <f>Calc!C91</f>
        <v/>
      </c>
      <c r="L91" s="3">
        <f>Calc!F91</f>
        <v/>
      </c>
      <c r="M91" s="3">
        <f>Verification!E91</f>
        <v/>
      </c>
      <c r="N91" s="3">
        <f>Calc!I91</f>
        <v/>
      </c>
      <c r="O91" s="3">
        <f>AVERAGE(J91:N91)</f>
        <v/>
      </c>
      <c r="P91" s="2">
        <f>RANK.EQ(O91,$O$2:$O$113,0)</f>
        <v/>
      </c>
      <c r="Q91" s="2" t="inlineStr">
        <is>
          <t>Full-time staffing missing/unknown scored 0; Volunteer staffing missing/unknown scored 0</t>
        </is>
      </c>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c r="G92" s="2" t="inlineStr"/>
      <c r="H92" s="2" t="inlineStr"/>
      <c r="I92" s="2" t="inlineStr">
        <is>
          <t>No services available</t>
        </is>
      </c>
      <c r="J92" s="3">
        <f>Calc!B92</f>
        <v/>
      </c>
      <c r="K92" s="3">
        <f>Calc!C92</f>
        <v/>
      </c>
      <c r="L92" s="3">
        <f>Calc!F92</f>
        <v/>
      </c>
      <c r="M92" s="3">
        <f>Verification!E92</f>
        <v/>
      </c>
      <c r="N92" s="3">
        <f>Calc!I92</f>
        <v/>
      </c>
      <c r="O92" s="3">
        <f>AVERAGE(J92:N92)</f>
        <v/>
      </c>
      <c r="P92" s="2">
        <f>RANK.EQ(O92,$O$2:$O$113,0)</f>
        <v/>
      </c>
      <c r="Q92" s="2" t="inlineStr">
        <is>
          <t>Full-time staffing missing/unknown scored 0; Volunteer staffing missing/unknown scored 0</t>
        </is>
      </c>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6-10</t>
        </is>
      </c>
      <c r="G93" s="2" t="inlineStr">
        <is>
          <t>0</t>
        </is>
      </c>
      <c r="H93" s="2" t="inlineStr">
        <is>
          <t>RMI GridLab</t>
        </is>
      </c>
      <c r="I93" s="2" t="inlineStr">
        <is>
          <t>No services available</t>
        </is>
      </c>
      <c r="J93" s="3">
        <f>Calc!B93</f>
        <v/>
      </c>
      <c r="K93" s="3">
        <f>Calc!C93</f>
        <v/>
      </c>
      <c r="L93" s="3">
        <f>Calc!F93</f>
        <v/>
      </c>
      <c r="M93" s="3">
        <f>Verification!E93</f>
        <v/>
      </c>
      <c r="N93" s="3">
        <f>Calc!I93</f>
        <v/>
      </c>
      <c r="O93" s="3">
        <f>AVERAGE(J93:N93)</f>
        <v/>
      </c>
      <c r="P93" s="2">
        <f>RANK.EQ(O93,$O$2:$O$113,0)</f>
        <v/>
      </c>
      <c r="Q93" s="2" t="inlineStr">
        <is>
          <t>Review affiliation coding; override available</t>
        </is>
      </c>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c r="G94" s="2" t="inlineStr"/>
      <c r="H94" s="2" t="inlineStr"/>
      <c r="I94" s="2" t="inlineStr">
        <is>
          <t>Through solution provider only</t>
        </is>
      </c>
      <c r="J94" s="3">
        <f>Calc!B94</f>
        <v/>
      </c>
      <c r="K94" s="3">
        <f>Calc!C94</f>
        <v/>
      </c>
      <c r="L94" s="3">
        <f>Calc!F94</f>
        <v/>
      </c>
      <c r="M94" s="3">
        <f>Verification!E94</f>
        <v/>
      </c>
      <c r="N94" s="3">
        <f>Calc!I94</f>
        <v/>
      </c>
      <c r="O94" s="3">
        <f>AVERAGE(J94:N94)</f>
        <v/>
      </c>
      <c r="P94" s="2">
        <f>RANK.EQ(O94,$O$2:$O$113,0)</f>
        <v/>
      </c>
      <c r="Q94" s="2" t="inlineStr">
        <is>
          <t>Full-time staffing missing/unknown scored 0; Volunteer staffing missing/unknown scored 0</t>
        </is>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More than 20</t>
        </is>
      </c>
      <c r="G95" s="2" t="inlineStr">
        <is>
          <t>0</t>
        </is>
      </c>
      <c r="H95" s="2" t="inlineStr">
        <is>
          <t>No affiliations</t>
        </is>
      </c>
      <c r="I95" s="2" t="inlineStr">
        <is>
          <t>Through solution provider only</t>
        </is>
      </c>
      <c r="J95" s="3">
        <f>Calc!B95</f>
        <v/>
      </c>
      <c r="K95" s="3">
        <f>Calc!C95</f>
        <v/>
      </c>
      <c r="L95" s="3">
        <f>Calc!F95</f>
        <v/>
      </c>
      <c r="M95" s="3">
        <f>Verification!E95</f>
        <v/>
      </c>
      <c r="N95" s="3">
        <f>Calc!I95</f>
        <v/>
      </c>
      <c r="O95" s="3">
        <f>AVERAGE(J95:N95)</f>
        <v/>
      </c>
      <c r="P95" s="2">
        <f>RANK.EQ(O95,$O$2:$O$113,0)</f>
        <v/>
      </c>
      <c r="Q95" s="2" t="inlineStr">
        <is>
          <t>Review affiliation coding; override available</t>
        </is>
      </c>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1-5</t>
        </is>
      </c>
      <c r="G96" s="2" t="inlineStr">
        <is>
          <t>More than 20</t>
        </is>
      </c>
      <c r="H96" s="2" t="inlineStr">
        <is>
          <t>Community Initiatives is our Fiscal sponsor</t>
        </is>
      </c>
      <c r="I96" s="2" t="inlineStr">
        <is>
          <t>Not applicable</t>
        </is>
      </c>
      <c r="J96" s="3">
        <f>Calc!B96</f>
        <v/>
      </c>
      <c r="K96" s="3">
        <f>Calc!C96</f>
        <v/>
      </c>
      <c r="L96" s="3">
        <f>Calc!F96</f>
        <v/>
      </c>
      <c r="M96" s="3">
        <f>Verification!E96</f>
        <v/>
      </c>
      <c r="N96" s="3">
        <f>Calc!I96</f>
        <v/>
      </c>
      <c r="O96" s="3">
        <f>AVERAGE(J96:N96)</f>
        <v/>
      </c>
      <c r="P96" s="2">
        <f>RANK.EQ(O96,$O$2:$O$113,0)</f>
        <v/>
      </c>
      <c r="Q96" s="2" t="inlineStr">
        <is>
          <t>Review affiliation coding; override available; Service-delivery field not applicable/unknown scored 0</t>
        </is>
      </c>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11-20</t>
        </is>
      </c>
      <c r="G97" s="2" t="inlineStr">
        <is>
          <t>1-5</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Through solution provider or third party vendor</t>
        </is>
      </c>
      <c r="J97" s="3">
        <f>Calc!B97</f>
        <v/>
      </c>
      <c r="K97" s="3">
        <f>Calc!C97</f>
        <v/>
      </c>
      <c r="L97" s="3">
        <f>Calc!F97</f>
        <v/>
      </c>
      <c r="M97" s="3">
        <f>Verification!E97</f>
        <v/>
      </c>
      <c r="N97" s="3">
        <f>Calc!I97</f>
        <v/>
      </c>
      <c r="O97" s="3">
        <f>AVERAGE(J97:N97)</f>
        <v/>
      </c>
      <c r="P97" s="2">
        <f>RANK.EQ(O97,$O$2:$O$113,0)</f>
        <v/>
      </c>
      <c r="Q97" s="2" t="inlineStr">
        <is>
          <t>Review affiliation coding; override available</t>
        </is>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0</t>
        </is>
      </c>
      <c r="G98" s="2" t="inlineStr"/>
      <c r="H98" s="2" t="inlineStr">
        <is>
          <t>Since 2010‒10‒01, RePEc has been an independent project of the Open Library Society.</t>
        </is>
      </c>
      <c r="I98" s="2" t="inlineStr">
        <is>
          <t>Not applicable</t>
        </is>
      </c>
      <c r="J98" s="3">
        <f>Calc!B98</f>
        <v/>
      </c>
      <c r="K98" s="3">
        <f>Calc!C98</f>
        <v/>
      </c>
      <c r="L98" s="3">
        <f>Calc!F98</f>
        <v/>
      </c>
      <c r="M98" s="3">
        <f>Verification!E98</f>
        <v/>
      </c>
      <c r="N98" s="3">
        <f>Calc!I98</f>
        <v/>
      </c>
      <c r="O98" s="3">
        <f>AVERAGE(J98:N98)</f>
        <v/>
      </c>
      <c r="P98" s="2">
        <f>RANK.EQ(O98,$O$2:$O$113,0)</f>
        <v/>
      </c>
      <c r="Q98" s="2" t="inlineStr">
        <is>
          <t>Volunteer staffing missing/unknown scored 0; Review affiliation coding; override available; Service-delivery field not applicable/unknown scored 0</t>
        </is>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c r="G99" s="2" t="inlineStr"/>
      <c r="H99" s="2" t="inlineStr"/>
      <c r="I99" s="2" t="inlineStr">
        <is>
          <t>Not applicable</t>
        </is>
      </c>
      <c r="J99" s="3">
        <f>Calc!B99</f>
        <v/>
      </c>
      <c r="K99" s="3">
        <f>Calc!C99</f>
        <v/>
      </c>
      <c r="L99" s="3">
        <f>Calc!F99</f>
        <v/>
      </c>
      <c r="M99" s="3">
        <f>Verification!E99</f>
        <v/>
      </c>
      <c r="N99" s="3">
        <f>Calc!I99</f>
        <v/>
      </c>
      <c r="O99" s="3">
        <f>AVERAGE(J99:N99)</f>
        <v/>
      </c>
      <c r="P99" s="2">
        <f>RANK.EQ(O99,$O$2:$O$113,0)</f>
        <v/>
      </c>
      <c r="Q99" s="2" t="inlineStr">
        <is>
          <t>Full-time staffing missing/unknown scored 0; Volunteer staffing missing/unknown scored 0; Service-delivery field not applicable/unknown scored 0</t>
        </is>
      </c>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c r="G100" s="2" t="inlineStr"/>
      <c r="H100" s="2" t="inlineStr"/>
      <c r="I100" s="2" t="inlineStr">
        <is>
          <t>Not applicable</t>
        </is>
      </c>
      <c r="J100" s="3">
        <f>Calc!B100</f>
        <v/>
      </c>
      <c r="K100" s="3">
        <f>Calc!C100</f>
        <v/>
      </c>
      <c r="L100" s="3">
        <f>Calc!F100</f>
        <v/>
      </c>
      <c r="M100" s="3">
        <f>Verification!E100</f>
        <v/>
      </c>
      <c r="N100" s="3">
        <f>Calc!I100</f>
        <v/>
      </c>
      <c r="O100" s="3">
        <f>AVERAGE(J100:N100)</f>
        <v/>
      </c>
      <c r="P100" s="2">
        <f>RANK.EQ(O100,$O$2:$O$113,0)</f>
        <v/>
      </c>
      <c r="Q100" s="2" t="inlineStr">
        <is>
          <t>Full-time staffing missing/unknown scored 0; Volunteer staffing missing/unknown scored 0; Service-delivery field not applicable/unknown scored 0</t>
        </is>
      </c>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11-20</t>
        </is>
      </c>
      <c r="G101" s="2" t="inlineStr">
        <is>
          <t>0</t>
        </is>
      </c>
      <c r="H101" s="2" t="inlineStr">
        <is>
          <t>No affiliations</t>
        </is>
      </c>
      <c r="I101" s="2" t="inlineStr">
        <is>
          <t>Through solution provider only</t>
        </is>
      </c>
      <c r="J101" s="3">
        <f>Calc!B101</f>
        <v/>
      </c>
      <c r="K101" s="3">
        <f>Calc!C101</f>
        <v/>
      </c>
      <c r="L101" s="3">
        <f>Calc!F101</f>
        <v/>
      </c>
      <c r="M101" s="3">
        <f>Verification!E101</f>
        <v/>
      </c>
      <c r="N101" s="3">
        <f>Calc!I101</f>
        <v/>
      </c>
      <c r="O101" s="3">
        <f>AVERAGE(J101:N101)</f>
        <v/>
      </c>
      <c r="P101" s="2">
        <f>RANK.EQ(O101,$O$2:$O$113,0)</f>
        <v/>
      </c>
      <c r="Q101" s="2" t="inlineStr">
        <is>
          <t>Review affiliation coding; override available</t>
        </is>
      </c>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1-5</t>
        </is>
      </c>
      <c r="G102" s="2" t="inlineStr">
        <is>
          <t>0</t>
        </is>
      </c>
      <c r="H102" s="2" t="inlineStr">
        <is>
          <t>Howard Hughes Medical Institute, Wellcome Trust</t>
        </is>
      </c>
      <c r="I102" s="2" t="inlineStr">
        <is>
          <t>Not applicable</t>
        </is>
      </c>
      <c r="J102" s="3">
        <f>Calc!B102</f>
        <v/>
      </c>
      <c r="K102" s="3">
        <f>Calc!C102</f>
        <v/>
      </c>
      <c r="L102" s="3">
        <f>Calc!F102</f>
        <v/>
      </c>
      <c r="M102" s="3">
        <f>Verification!E102</f>
        <v/>
      </c>
      <c r="N102" s="3">
        <f>Calc!I102</f>
        <v/>
      </c>
      <c r="O102" s="3">
        <f>AVERAGE(J102:N102)</f>
        <v/>
      </c>
      <c r="P102" s="2">
        <f>RANK.EQ(O102,$O$2:$O$113,0)</f>
        <v/>
      </c>
      <c r="Q102" s="2" t="inlineStr">
        <is>
          <t>Review affiliation coding; override available; Service-delivery field not applicable/unknown scored 0</t>
        </is>
      </c>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More than 20</t>
        </is>
      </c>
      <c r="G103" s="2" t="inlineStr">
        <is>
          <t>0</t>
        </is>
      </c>
      <c r="H103" s="2" t="inlineStr">
        <is>
          <t>No Affiliations</t>
        </is>
      </c>
      <c r="I103" s="2" t="inlineStr">
        <is>
          <t>Through solution provider only</t>
        </is>
      </c>
      <c r="J103" s="3">
        <f>Calc!B103</f>
        <v/>
      </c>
      <c r="K103" s="3">
        <f>Calc!C103</f>
        <v/>
      </c>
      <c r="L103" s="3">
        <f>Calc!F103</f>
        <v/>
      </c>
      <c r="M103" s="3">
        <f>Verification!E103</f>
        <v/>
      </c>
      <c r="N103" s="3">
        <f>Calc!I103</f>
        <v/>
      </c>
      <c r="O103" s="3">
        <f>AVERAGE(J103:N103)</f>
        <v/>
      </c>
      <c r="P103" s="2">
        <f>RANK.EQ(O103,$O$2:$O$113,0)</f>
        <v/>
      </c>
      <c r="Q103" s="2" t="inlineStr">
        <is>
          <t>Review affiliation coding; override available</t>
        </is>
      </c>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0</t>
        </is>
      </c>
      <c r="G104" s="2" t="inlineStr">
        <is>
          <t>More than 20</t>
        </is>
      </c>
      <c r="H104" s="2" t="inlineStr">
        <is>
          <t>Berkman Klein Center for Internet &amp; Society</t>
        </is>
      </c>
      <c r="I104" s="2" t="inlineStr">
        <is>
          <t>Not applicable</t>
        </is>
      </c>
      <c r="J104" s="3">
        <f>Calc!B104</f>
        <v/>
      </c>
      <c r="K104" s="3">
        <f>Calc!C104</f>
        <v/>
      </c>
      <c r="L104" s="3">
        <f>Calc!F104</f>
        <v/>
      </c>
      <c r="M104" s="3">
        <f>Verification!E104</f>
        <v/>
      </c>
      <c r="N104" s="3">
        <f>Calc!I104</f>
        <v/>
      </c>
      <c r="O104" s="3">
        <f>AVERAGE(J104:N104)</f>
        <v/>
      </c>
      <c r="P104" s="2">
        <f>RANK.EQ(O104,$O$2:$O$113,0)</f>
        <v/>
      </c>
      <c r="Q104" s="2" t="inlineStr">
        <is>
          <t>Review affiliation coding; override available; Service-delivery field not applicable/unknown scored 0</t>
        </is>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1-5</t>
        </is>
      </c>
      <c r="G105" s="2" t="inlineStr">
        <is>
          <t>0</t>
        </is>
      </c>
      <c r="H105" s="2" t="inlineStr">
        <is>
          <t>Community-led Open Publication Infrastructures for Monographs (COPIM) Copim Open Book Futures Open Book Collective</t>
        </is>
      </c>
      <c r="I105" s="2" t="inlineStr">
        <is>
          <t>Through solution provider only</t>
        </is>
      </c>
      <c r="J105" s="3">
        <f>Calc!B105</f>
        <v/>
      </c>
      <c r="K105" s="3">
        <f>Calc!C105</f>
        <v/>
      </c>
      <c r="L105" s="3">
        <f>Calc!F105</f>
        <v/>
      </c>
      <c r="M105" s="3">
        <f>Verification!E105</f>
        <v/>
      </c>
      <c r="N105" s="3">
        <f>Calc!I105</f>
        <v/>
      </c>
      <c r="O105" s="3">
        <f>AVERAGE(J105:N105)</f>
        <v/>
      </c>
      <c r="P105" s="2">
        <f>RANK.EQ(O105,$O$2:$O$113,0)</f>
        <v/>
      </c>
      <c r="Q105" s="2" t="inlineStr">
        <is>
          <t>Review affiliation coding; override available</t>
        </is>
      </c>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c r="G106" s="2" t="inlineStr"/>
      <c r="H106" s="2" t="inlineStr">
        <is>
          <t>None.</t>
        </is>
      </c>
      <c r="I106" s="2" t="inlineStr">
        <is>
          <t>Not applicable</t>
        </is>
      </c>
      <c r="J106" s="3">
        <f>Calc!B106</f>
        <v/>
      </c>
      <c r="K106" s="3">
        <f>Calc!C106</f>
        <v/>
      </c>
      <c r="L106" s="3">
        <f>Calc!F106</f>
        <v/>
      </c>
      <c r="M106" s="3">
        <f>Verification!E106</f>
        <v/>
      </c>
      <c r="N106" s="3">
        <f>Calc!I106</f>
        <v/>
      </c>
      <c r="O106" s="3">
        <f>AVERAGE(J106:N106)</f>
        <v/>
      </c>
      <c r="P106" s="2">
        <f>RANK.EQ(O106,$O$2:$O$113,0)</f>
        <v/>
      </c>
      <c r="Q106" s="2" t="inlineStr">
        <is>
          <t>Full-time staffing missing/unknown scored 0; Volunteer staffing missing/unknown scored 0; Review affiliation coding; override available; Service-delivery field not applicable/unknown scored 0</t>
        </is>
      </c>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1-5</t>
        </is>
      </c>
      <c r="G107" s="2" t="inlineStr">
        <is>
          <t>0</t>
        </is>
      </c>
      <c r="H107" s="2" t="inlineStr">
        <is>
          <t>Open Preservation Foundation PDF Association Dual Labs</t>
        </is>
      </c>
      <c r="I107" s="2" t="inlineStr">
        <is>
          <t>Not applicable</t>
        </is>
      </c>
      <c r="J107" s="3">
        <f>Calc!B107</f>
        <v/>
      </c>
      <c r="K107" s="3">
        <f>Calc!C107</f>
        <v/>
      </c>
      <c r="L107" s="3">
        <f>Calc!F107</f>
        <v/>
      </c>
      <c r="M107" s="3">
        <f>Verification!E107</f>
        <v/>
      </c>
      <c r="N107" s="3">
        <f>Calc!I107</f>
        <v/>
      </c>
      <c r="O107" s="3">
        <f>AVERAGE(J107:N107)</f>
        <v/>
      </c>
      <c r="P107" s="2">
        <f>RANK.EQ(O107,$O$2:$O$113,0)</f>
        <v/>
      </c>
      <c r="Q107" s="2" t="inlineStr">
        <is>
          <t>Review affiliation coding; override available; Service-delivery field not applicable/unknown scored 0</t>
        </is>
      </c>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6-10</t>
        </is>
      </c>
      <c r="G108" s="2" t="inlineStr"/>
      <c r="H108" s="2" t="inlineStr">
        <is>
          <t>Artefactual</t>
        </is>
      </c>
      <c r="I108" s="2" t="inlineStr">
        <is>
          <t>Not applicable</t>
        </is>
      </c>
      <c r="J108" s="3">
        <f>Calc!B108</f>
        <v/>
      </c>
      <c r="K108" s="3">
        <f>Calc!C108</f>
        <v/>
      </c>
      <c r="L108" s="3">
        <f>Calc!F108</f>
        <v/>
      </c>
      <c r="M108" s="3">
        <f>Verification!E108</f>
        <v/>
      </c>
      <c r="N108" s="3">
        <f>Calc!I108</f>
        <v/>
      </c>
      <c r="O108" s="3">
        <f>AVERAGE(J108:N108)</f>
        <v/>
      </c>
      <c r="P108" s="2">
        <f>RANK.EQ(O108,$O$2:$O$113,0)</f>
        <v/>
      </c>
      <c r="Q108" s="2" t="inlineStr">
        <is>
          <t>Volunteer staffing missing/unknown scored 0; Review affiliation coding; override available; Service-delivery field not applicable/unknown scored 0</t>
        </is>
      </c>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1-5</t>
        </is>
      </c>
      <c r="G109" s="2" t="inlineStr">
        <is>
          <t>Unknown</t>
        </is>
      </c>
      <c r="H109" s="2" t="inlineStr">
        <is>
          <t>Texas Digital Library Vireo User Group Steering Committee</t>
        </is>
      </c>
      <c r="I109" s="2" t="inlineStr">
        <is>
          <t>Through solution provider only</t>
        </is>
      </c>
      <c r="J109" s="3">
        <f>Calc!B109</f>
        <v/>
      </c>
      <c r="K109" s="3">
        <f>Calc!C109</f>
        <v/>
      </c>
      <c r="L109" s="3">
        <f>Calc!F109</f>
        <v/>
      </c>
      <c r="M109" s="3">
        <f>Verification!E109</f>
        <v/>
      </c>
      <c r="N109" s="3">
        <f>Calc!I109</f>
        <v/>
      </c>
      <c r="O109" s="3">
        <f>AVERAGE(J109:N109)</f>
        <v/>
      </c>
      <c r="P109" s="2">
        <f>RANK.EQ(O109,$O$2:$O$113,0)</f>
        <v/>
      </c>
      <c r="Q109" s="2" t="inlineStr">
        <is>
          <t>Review affiliation coding; override available</t>
        </is>
      </c>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1-5</t>
        </is>
      </c>
      <c r="G110" s="2" t="inlineStr">
        <is>
          <t>Unknown</t>
        </is>
      </c>
      <c r="H110" s="2" t="inlineStr">
        <is>
          <t>Lyrasis serves as the organizational home for VIVO. Multiple research institutions and universities across the world are involved in the governance of VIVO.</t>
        </is>
      </c>
      <c r="I110" s="2" t="inlineStr">
        <is>
          <t>Through solution provider or third party vendor</t>
        </is>
      </c>
      <c r="J110" s="3">
        <f>Calc!B110</f>
        <v/>
      </c>
      <c r="K110" s="3">
        <f>Calc!C110</f>
        <v/>
      </c>
      <c r="L110" s="3">
        <f>Calc!F110</f>
        <v/>
      </c>
      <c r="M110" s="3">
        <f>Verification!E110</f>
        <v/>
      </c>
      <c r="N110" s="3">
        <f>Calc!I110</f>
        <v/>
      </c>
      <c r="O110" s="3">
        <f>AVERAGE(J110:N110)</f>
        <v/>
      </c>
      <c r="P110" s="2">
        <f>RANK.EQ(O110,$O$2:$O$113,0)</f>
        <v/>
      </c>
      <c r="Q110" s="2" t="inlineStr">
        <is>
          <t>Review affiliation coding; override available</t>
        </is>
      </c>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c r="G111" s="2" t="inlineStr"/>
      <c r="H111" s="2" t="inlineStr"/>
      <c r="I111" s="2" t="inlineStr">
        <is>
          <t>Through solution provider or third party vendor</t>
        </is>
      </c>
      <c r="J111" s="3">
        <f>Calc!B111</f>
        <v/>
      </c>
      <c r="K111" s="3">
        <f>Calc!C111</f>
        <v/>
      </c>
      <c r="L111" s="3">
        <f>Calc!F111</f>
        <v/>
      </c>
      <c r="M111" s="3">
        <f>Verification!E111</f>
        <v/>
      </c>
      <c r="N111" s="3">
        <f>Calc!I111</f>
        <v/>
      </c>
      <c r="O111" s="3">
        <f>AVERAGE(J111:N111)</f>
        <v/>
      </c>
      <c r="P111" s="2">
        <f>RANK.EQ(O111,$O$2:$O$113,0)</f>
        <v/>
      </c>
      <c r="Q111" s="2" t="inlineStr">
        <is>
          <t>Full-time staffing missing/unknown scored 0; Volunteer staffing missing/unknown scored 0</t>
        </is>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c r="G112" s="2" t="inlineStr"/>
      <c r="H112" s="2" t="inlineStr"/>
      <c r="I112" s="2" t="inlineStr">
        <is>
          <t>Not applicable</t>
        </is>
      </c>
      <c r="J112" s="3">
        <f>Calc!B112</f>
        <v/>
      </c>
      <c r="K112" s="3">
        <f>Calc!C112</f>
        <v/>
      </c>
      <c r="L112" s="3">
        <f>Calc!F112</f>
        <v/>
      </c>
      <c r="M112" s="3">
        <f>Verification!E112</f>
        <v/>
      </c>
      <c r="N112" s="3">
        <f>Calc!I112</f>
        <v/>
      </c>
      <c r="O112" s="3">
        <f>AVERAGE(J112:N112)</f>
        <v/>
      </c>
      <c r="P112" s="2">
        <f>RANK.EQ(O112,$O$2:$O$113,0)</f>
        <v/>
      </c>
      <c r="Q112" s="2" t="inlineStr">
        <is>
          <t>Full-time staffing missing/unknown scored 0; Volunteer staffing missing/unknown scored 0; Service-delivery field not applicable/unknown scored 0</t>
        </is>
      </c>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c r="G113" s="2" t="inlineStr"/>
      <c r="H113" s="2" t="inlineStr">
        <is>
          <t>No affiliations</t>
        </is>
      </c>
      <c r="I113" s="2" t="inlineStr">
        <is>
          <t>Through solution provider only</t>
        </is>
      </c>
      <c r="J113" s="3">
        <f>Calc!B113</f>
        <v/>
      </c>
      <c r="K113" s="3">
        <f>Calc!C113</f>
        <v/>
      </c>
      <c r="L113" s="3">
        <f>Calc!F113</f>
        <v/>
      </c>
      <c r="M113" s="3">
        <f>Verification!E113</f>
        <v/>
      </c>
      <c r="N113" s="3">
        <f>Calc!I113</f>
        <v/>
      </c>
      <c r="O113" s="3">
        <f>AVERAGE(J113:N113)</f>
        <v/>
      </c>
      <c r="P113" s="2">
        <f>RANK.EQ(O113,$O$2:$O$113,0)</f>
        <v/>
      </c>
      <c r="Q113" s="2" t="inlineStr">
        <is>
          <t>Full-time staffing missing/unknown scored 0; Volunteer staffing missing/unknown scored 0; Review affiliation coding; override available</t>
        </is>
      </c>
    </row>
  </sheetData>
  <autoFilter ref="A1:Q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2" customWidth="1" min="4" max="4"/>
    <col width="72" customWidth="1" min="5" max="5"/>
    <col width="58" customWidth="1" min="6" max="6"/>
    <col width="62" customWidth="1" min="7" max="7"/>
  </cols>
  <sheetData>
    <row r="1" ht="32" customHeight="1">
      <c r="A1" s="1" t="inlineStr">
        <is>
          <t>Code</t>
        </is>
      </c>
      <c r="B1" s="1" t="inlineStr">
        <is>
          <t>Metric</t>
        </is>
      </c>
      <c r="C1" s="1" t="inlineStr">
        <is>
          <t>Source field(s)</t>
        </is>
      </c>
      <c r="D1" s="1" t="inlineStr">
        <is>
          <t>Weight</t>
        </is>
      </c>
      <c r="E1" s="1" t="inlineStr">
        <is>
          <t>Scoring criteria</t>
        </is>
      </c>
      <c r="F1" s="1" t="inlineStr">
        <is>
          <t>Unavailable-data treatment</t>
        </is>
      </c>
      <c r="G1" s="1" t="inlineStr">
        <is>
          <t>Interpretation / caution</t>
        </is>
      </c>
    </row>
    <row r="2">
      <c r="A2" s="2" t="inlineStr">
        <is>
          <t>M1</t>
        </is>
      </c>
      <c r="B2" s="2" t="inlineStr">
        <is>
          <t>Technology readiness</t>
        </is>
      </c>
      <c r="C2" s="2" t="inlineStr">
        <is>
          <t>079</t>
        </is>
      </c>
      <c r="D2" s="2" t="n">
        <v>0.2</v>
      </c>
      <c r="E2" s="2" t="inlineStr">
        <is>
          <t>Nine-stage source scale: score = level / 9 x 100. Observed: Actual system proven in operational environment=100; System complete and qualified=88.89; Technology validated in relevant environment=55.56.</t>
        </is>
      </c>
      <c r="F2" s="2" t="inlineStr">
        <is>
          <t>Unknown, blank, or unrecognized=0.</t>
        </is>
      </c>
      <c r="G2" s="2" t="inlineStr">
        <is>
          <t>Ordinal normalization on the source readiness scale; current data are concentrated at the highest level.</t>
        </is>
      </c>
    </row>
    <row r="3">
      <c r="A3" s="2" t="inlineStr">
        <is>
          <t>M2</t>
        </is>
      </c>
      <c r="B3" s="2" t="inlineStr">
        <is>
          <t>Maintenance status</t>
        </is>
      </c>
      <c r="C3" s="2" t="inlineStr">
        <is>
          <t>080</t>
        </is>
      </c>
      <c r="D3" s="2" t="n">
        <v>0.2</v>
      </c>
      <c r="E3" s="2" t="inlineStr">
        <is>
          <t>Actively Maintained=100; Minimally Maintained=50; Inactive/not maintained=0.</t>
        </is>
      </c>
      <c r="F3" s="2" t="inlineStr">
        <is>
          <t>Unknown or blank=0.</t>
        </is>
      </c>
      <c r="G3" s="2" t="inlineStr">
        <is>
          <t>Current responses are highly concentrated at actively maintained.</t>
        </is>
      </c>
    </row>
    <row r="4">
      <c r="A4" s="2" t="inlineStr">
        <is>
          <t>H1</t>
        </is>
      </c>
      <c r="B4" s="2" t="inlineStr">
        <is>
          <t>Human-resource capacity</t>
        </is>
      </c>
      <c r="C4" s="2" t="inlineStr">
        <is>
          <t>054 + 055</t>
        </is>
      </c>
      <c r="D4" s="2" t="n">
        <v>0.2</v>
      </c>
      <c r="E4" s="2" t="inlineStr">
        <is>
          <t>Score each field: 0 people=0; 1-5=25; 6-10=50; 11-20=75; &gt;20=100. H1=(full-time score+volunteer score)/2.</t>
        </is>
      </c>
      <c r="F4" s="2" t="inlineStr">
        <is>
          <t>Unknown or blank in either field=0 for that field; H1 remains the average of both fields.</t>
        </is>
      </c>
      <c r="G4" s="2" t="inlineStr">
        <is>
          <t>Ordinal ranges, not exact headcounts. Paid and volunteer staffing each contribute half of H1.</t>
        </is>
      </c>
    </row>
    <row r="5">
      <c r="A5" s="2" t="inlineStr">
        <is>
          <t>I2</t>
        </is>
      </c>
      <c r="B5" s="2" t="inlineStr">
        <is>
          <t>Institutional affiliations and support</t>
        </is>
      </c>
      <c r="C5" s="2" t="inlineStr">
        <is>
          <t>058</t>
        </is>
      </c>
      <c r="D5" s="2" t="n">
        <v>0.2</v>
      </c>
      <c r="E5" s="2" t="inlineStr">
        <is>
          <t>Formal host or explicit operational/financial support=100; substantive affiliation/membership without stated operational support=50; explicit absence/placeholders=0.</t>
        </is>
      </c>
      <c r="F5" s="2" t="inlineStr">
        <is>
          <t>Blank or unknown=0. Free-text provisional coding can be overridden on Verification sheet with 0, 50, or 100.</t>
        </is>
      </c>
      <c r="G5" s="2" t="inlineStr">
        <is>
          <t>Narrative coding needs consistent review; an override changes the Scoring sheet formula after recalculation in Excel.</t>
        </is>
      </c>
    </row>
    <row r="6">
      <c r="A6" s="2" t="inlineStr">
        <is>
          <t>O1</t>
        </is>
      </c>
      <c r="B6" s="2" t="inlineStr">
        <is>
          <t>Hosted/service-delivery capacity</t>
        </is>
      </c>
      <c r="C6" s="2" t="inlineStr">
        <is>
          <t>076</t>
        </is>
      </c>
      <c r="D6" s="2" t="n">
        <v>0.2</v>
      </c>
      <c r="E6" s="2" t="inlineStr">
        <is>
          <t>Any 'Through ...' hosted/service route=100; No services available=0.</t>
        </is>
      </c>
      <c r="F6" s="2" t="inlineStr">
        <is>
          <t>Not applicable, unknown, or blank=0.</t>
        </is>
      </c>
      <c r="G6" s="2" t="inlineStr">
        <is>
          <t>Measures reported service availability, not quality, uptime, affordability, or control.</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Methodology and interpretation</t>
        </is>
      </c>
      <c r="B1" s="1" t="inlineStr">
        <is>
          <t>Details</t>
        </is>
      </c>
    </row>
    <row r="2">
      <c r="A2" s="2" t="inlineStr">
        <is>
          <t>Metric selection</t>
        </is>
      </c>
      <c r="B2" s="2" t="inlineStr">
        <is>
          <t>Five measures are retained: technology readiness, maintenance, combined staffing, institutional affiliations/support, and hosted/service-delivery capacity. M3 Infrastructure age and I1 Formal organizational host are excluded. Funding, legal form, SCOSS, and provider-list fields remain descriptive, not scored.</t>
        </is>
      </c>
    </row>
    <row r="3">
      <c r="A3" s="2" t="inlineStr">
        <is>
          <t>Equal weighting</t>
        </is>
      </c>
      <c r="B3" s="2" t="inlineStr">
        <is>
          <t>Each of the five metrics receives 20%. Equal weighting is a transparent analytic choice; it is not estimated from the observed data or claimed to establish equal causal importance.</t>
        </is>
      </c>
    </row>
    <row r="4">
      <c r="A4" s="2" t="inlineStr">
        <is>
          <t>Final formula</t>
        </is>
      </c>
      <c r="B4" s="2" t="inlineStr">
        <is>
          <t>Organizational Capacity Score = (M1 + M2 + H1 + I2 + O1) / 5. Each metric is first placed on a 0-100 scale.</t>
        </is>
      </c>
    </row>
    <row r="5">
      <c r="A5" s="2" t="inlineStr">
        <is>
          <t>Missing-data rule</t>
        </is>
      </c>
      <c r="B5" s="2" t="inlineStr">
        <is>
          <t>No coverage or eligibility threshold is applied. Blank, unknown, not applicable, or unrecognized values score 0, as requested. The denominator remains five for every infrastructure.</t>
        </is>
      </c>
    </row>
    <row r="6">
      <c r="A6" s="2" t="inlineStr">
        <is>
          <t>Interpretation</t>
        </is>
      </c>
      <c r="B6" s="2" t="inlineStr">
        <is>
          <t>The zero-filled score reflects recorded capacity and data availability together. A zero for a missing field does not prove the underlying capacity is absent. Publish metric-level values and data-quality notes with the total.</t>
        </is>
      </c>
    </row>
    <row r="7">
      <c r="A7" s="2" t="inlineStr">
        <is>
          <t>Human resources</t>
        </is>
      </c>
      <c r="B7" s="2" t="inlineStr">
        <is>
          <t>Full-time and volunteer staffing are subfields of one metric. Each is scored 0/25/50/75/100 by reported category; their two sub-scores are averaged. Missing/unknown subfields score zero. The category scale is ordinal.</t>
        </is>
      </c>
    </row>
    <row r="8">
      <c r="A8" s="2" t="inlineStr">
        <is>
          <t>Affiliation coding</t>
        </is>
      </c>
      <c r="B8" s="2" t="inlineStr">
        <is>
          <t>Field 058 is free text. A provisional deterministic rule assigns 100 only where explicit hosting/support language is present; other substantive affiliation text receives 50; explicit absence/placeholders/blank receive 0. Review and numeric overrides (0, 50, 100) are available in Verification.</t>
        </is>
      </c>
    </row>
    <row r="9">
      <c r="A9" s="2" t="inlineStr">
        <is>
          <t>Source data</t>
        </is>
      </c>
      <c r="B9" s="2" t="inlineStr">
        <is>
          <t>The workbook contains 112 source entries copied from the Organizational Capacity verification sheet and includes the source Field_Guide. The source data are preserved as a separate sheet.</t>
        </is>
      </c>
    </row>
    <row r="10">
      <c r="A10" s="2" t="inlineStr">
        <is>
          <t>No performance bands</t>
        </is>
      </c>
      <c r="B10" s="2" t="inlineStr">
        <is>
          <t>No 70-point cutoff or high/medium/low categories are applied.</t>
        </is>
      </c>
    </row>
    <row r="11">
      <c r="A11" s="2" t="inlineStr">
        <is>
          <t>Limitations</t>
        </is>
      </c>
      <c r="B11" s="2" t="inlineStr">
        <is>
          <t>Technology readiness and maintenance responses show little variation. Staffing and affiliation information is incomplete or narrative. Hosted/service delivery is not a direct measure of quality. These constraints should be stated when interpreting comparisons.</t>
        </is>
      </c>
    </row>
  </sheetData>
  <autoFilter ref="A1:B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2" customWidth="1" min="3" max="3"/>
    <col width="15" customWidth="1" min="4" max="4"/>
    <col width="18" customWidth="1" min="5" max="5"/>
    <col width="18" customWidth="1" min="6" max="6"/>
  </cols>
  <sheetData>
    <row r="1" ht="32" customHeight="1">
      <c r="A1" s="1" t="inlineStr">
        <is>
          <t>Code</t>
        </is>
      </c>
      <c r="B1" s="1" t="inlineStr">
        <is>
          <t>Metric</t>
        </is>
      </c>
      <c r="C1" s="1" t="inlineStr">
        <is>
          <t>Source field(s)</t>
        </is>
      </c>
      <c r="D1" s="1" t="inlineStr">
        <is>
          <t>Exact weight</t>
        </is>
      </c>
      <c r="E1" s="1" t="inlineStr">
        <is>
          <t>Displayed weight</t>
        </is>
      </c>
      <c r="F1" s="1" t="inlineStr">
        <is>
          <t>Scale</t>
        </is>
      </c>
    </row>
    <row r="2">
      <c r="A2" s="2" t="inlineStr">
        <is>
          <t>M1</t>
        </is>
      </c>
      <c r="B2" s="2" t="inlineStr">
        <is>
          <t>Technology readiness</t>
        </is>
      </c>
      <c r="C2" s="2" t="inlineStr">
        <is>
          <t>079_technology_readiness</t>
        </is>
      </c>
      <c r="D2" s="2" t="n">
        <v>0.2</v>
      </c>
      <c r="E2" s="2" t="inlineStr">
        <is>
          <t>20.00%</t>
        </is>
      </c>
      <c r="F2" s="2" t="inlineStr">
        <is>
          <t>0-100</t>
        </is>
      </c>
    </row>
    <row r="3">
      <c r="A3" s="2" t="inlineStr">
        <is>
          <t>M2</t>
        </is>
      </c>
      <c r="B3" s="2" t="inlineStr">
        <is>
          <t>Maintenance status</t>
        </is>
      </c>
      <c r="C3" s="2" t="inlineStr">
        <is>
          <t>080_maintenance_status</t>
        </is>
      </c>
      <c r="D3" s="2" t="n">
        <v>0.2</v>
      </c>
      <c r="E3" s="2" t="inlineStr">
        <is>
          <t>20.00%</t>
        </is>
      </c>
      <c r="F3" s="2" t="inlineStr">
        <is>
          <t>0-100</t>
        </is>
      </c>
    </row>
    <row r="4">
      <c r="A4" s="2" t="inlineStr">
        <is>
          <t>H1</t>
        </is>
      </c>
      <c r="B4" s="2" t="inlineStr">
        <is>
          <t>Human-resource capacity</t>
        </is>
      </c>
      <c r="C4" s="2" t="inlineStr">
        <is>
          <t>054_staffing_full_time + 055_staffing_volunteer</t>
        </is>
      </c>
      <c r="D4" s="2" t="n">
        <v>0.2</v>
      </c>
      <c r="E4" s="2" t="inlineStr">
        <is>
          <t>20.00%</t>
        </is>
      </c>
      <c r="F4" s="2" t="inlineStr">
        <is>
          <t>0-100</t>
        </is>
      </c>
    </row>
    <row r="5">
      <c r="A5" s="2" t="inlineStr">
        <is>
          <t>I2</t>
        </is>
      </c>
      <c r="B5" s="2" t="inlineStr">
        <is>
          <t>Institutional affiliations and support</t>
        </is>
      </c>
      <c r="C5" s="2" t="inlineStr">
        <is>
          <t>058_affiliations</t>
        </is>
      </c>
      <c r="D5" s="2" t="n">
        <v>0.2</v>
      </c>
      <c r="E5" s="2" t="inlineStr">
        <is>
          <t>20.00%</t>
        </is>
      </c>
      <c r="F5" s="2" t="inlineStr">
        <is>
          <t>0-100</t>
        </is>
      </c>
    </row>
    <row r="6">
      <c r="A6" s="2" t="inlineStr">
        <is>
          <t>O1</t>
        </is>
      </c>
      <c r="B6" s="2" t="inlineStr">
        <is>
          <t>Hosted/service-delivery capacity</t>
        </is>
      </c>
      <c r="C6" s="2" t="inlineStr">
        <is>
          <t>076_saas_options</t>
        </is>
      </c>
      <c r="D6" s="2" t="n">
        <v>0.2</v>
      </c>
      <c r="E6" s="2" t="inlineStr">
        <is>
          <t>20.00%</t>
        </is>
      </c>
      <c r="F6" s="2" t="inlineStr">
        <is>
          <t>0-100</t>
        </is>
      </c>
    </row>
    <row r="7">
      <c r="A7" s="2" t="inlineStr">
        <is>
          <t>Total</t>
        </is>
      </c>
      <c r="B7" s="2" t="inlineStr"/>
      <c r="C7" s="2" t="inlineStr"/>
      <c r="D7" s="2" t="n">
        <v>1</v>
      </c>
      <c r="E7" s="2" t="inlineStr">
        <is>
          <t>100.00%</t>
        </is>
      </c>
      <c r="F7" s="2" t="inlineStr"/>
    </row>
    <row r="8">
      <c r="A8" s="2" t="n"/>
      <c r="B8" s="2" t="n"/>
      <c r="C8" s="2" t="n"/>
      <c r="D8" s="2" t="n"/>
      <c r="E8" s="2" t="n"/>
      <c r="F8" s="2" t="n"/>
    </row>
    <row r="9">
      <c r="A9" s="2" t="inlineStr">
        <is>
          <t>Zero-fill policy</t>
        </is>
      </c>
      <c r="B9" s="2" t="inlineStr">
        <is>
          <t>All unavailable, unknown, not applicable, or unrecognized values score 0; denominator stays five.</t>
        </is>
      </c>
      <c r="C9" s="2" t="n"/>
      <c r="D9" s="2" t="n"/>
      <c r="E9" s="2" t="n"/>
      <c r="F9" s="2" t="n"/>
    </row>
    <row r="10">
      <c r="A10" s="2" t="inlineStr">
        <is>
          <t>Coverage threshold</t>
        </is>
      </c>
      <c r="B10" s="2" t="inlineStr">
        <is>
          <t>None</t>
        </is>
      </c>
      <c r="C10" s="2" t="n"/>
      <c r="D10" s="2" t="n"/>
      <c r="E10" s="2" t="n"/>
      <c r="F10" s="2" t="n"/>
    </row>
  </sheetData>
  <autoFilter ref="A1:F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22" customWidth="1" min="4" max="4"/>
    <col width="18" customWidth="1" min="5" max="5"/>
    <col width="68" customWidth="1" min="6" max="6"/>
  </cols>
  <sheetData>
    <row r="1" ht="32" customHeight="1">
      <c r="A1" s="1" t="inlineStr">
        <is>
          <t>Service</t>
        </is>
      </c>
      <c r="B1" s="1" t="inlineStr">
        <is>
          <t>Raw 058 affiliation text</t>
        </is>
      </c>
      <c r="C1" s="1" t="inlineStr">
        <is>
          <t>Provisional I2 score</t>
        </is>
      </c>
      <c r="D1" s="1" t="inlineStr">
        <is>
          <t>Override I2 (0/50/100)</t>
        </is>
      </c>
      <c r="E1" s="1" t="inlineStr">
        <is>
          <t>Final I2 score</t>
        </is>
      </c>
      <c r="F1" s="1" t="inlineStr">
        <is>
          <t>Reviewer notes</t>
        </is>
      </c>
    </row>
    <row r="2">
      <c r="A2" s="2" t="inlineStr">
        <is>
          <t>2i2c</t>
        </is>
      </c>
      <c r="B2" s="2" t="n"/>
      <c r="C2" s="3" t="n">
        <v>0</v>
      </c>
      <c r="D2" s="4" t="n"/>
      <c r="E2" s="3">
        <f>IF(ISNUMBER(D2),D2,C2)</f>
        <v/>
      </c>
      <c r="F2" s="3" t="inlineStr">
        <is>
          <t>Enter 0, 50, or 100 only when correcting the provisional text coding.</t>
        </is>
      </c>
    </row>
    <row r="3">
      <c r="A3" s="2" t="inlineStr">
        <is>
          <t>Academic Preservation Trust (APTrust)</t>
        </is>
      </c>
      <c r="B3" s="2" t="inlineStr">
        <is>
          <t>University of Virginia</t>
        </is>
      </c>
      <c r="C3" s="3" t="n">
        <v>50</v>
      </c>
      <c r="D3" s="4" t="n"/>
      <c r="E3" s="3">
        <f>IF(ISNUMBER(D3),D3,C3)</f>
        <v/>
      </c>
      <c r="F3" s="3" t="inlineStr">
        <is>
          <t>Enter 0, 50, or 100 only when correcting the provisional text coding.</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4" t="n"/>
      <c r="E4" s="3">
        <f>IF(ISNUMBER(D4),D4,C4)</f>
        <v/>
      </c>
      <c r="F4" s="3" t="inlineStr">
        <is>
          <t>Enter 0, 50, or 100 only when correcting the provisional text coding.</t>
        </is>
      </c>
    </row>
    <row r="5">
      <c r="A5" s="2" t="inlineStr">
        <is>
          <t>Arches Heritage Data Management Platform</t>
        </is>
      </c>
      <c r="B5" s="2" t="inlineStr">
        <is>
          <t>Getty Conservation Institute
Farallon Geographics</t>
        </is>
      </c>
      <c r="C5" s="3" t="n">
        <v>50</v>
      </c>
      <c r="D5" s="4" t="n"/>
      <c r="E5" s="3">
        <f>IF(ISNUMBER(D5),D5,C5)</f>
        <v/>
      </c>
      <c r="F5" s="3" t="inlineStr">
        <is>
          <t>Enter 0, 50, or 100 only when correcting the provisional text coding.</t>
        </is>
      </c>
    </row>
    <row r="6">
      <c r="A6" s="2" t="inlineStr">
        <is>
          <t>Archipelago Commons</t>
        </is>
      </c>
      <c r="B6" s="2" t="n"/>
      <c r="C6" s="3" t="n">
        <v>0</v>
      </c>
      <c r="D6" s="4" t="n"/>
      <c r="E6" s="3">
        <f>IF(ISNUMBER(D6),D6,C6)</f>
        <v/>
      </c>
      <c r="F6" s="3" t="inlineStr">
        <is>
          <t>Enter 0, 50, or 100 only when correcting the provisional text coding.</t>
        </is>
      </c>
    </row>
    <row r="7">
      <c r="A7" s="2" t="inlineStr">
        <is>
          <t>Archival Resource Key</t>
        </is>
      </c>
      <c r="B7" s="2" t="n"/>
      <c r="C7" s="3" t="n">
        <v>0</v>
      </c>
      <c r="D7" s="4" t="n"/>
      <c r="E7" s="3">
        <f>IF(ISNUMBER(D7),D7,C7)</f>
        <v/>
      </c>
      <c r="F7" s="3" t="inlineStr">
        <is>
          <t>Enter 0, 50, or 100 only when correcting the provisional text coding.</t>
        </is>
      </c>
    </row>
    <row r="8">
      <c r="A8" s="2" t="inlineStr">
        <is>
          <t>Archivematica</t>
        </is>
      </c>
      <c r="B8" s="2" t="inlineStr">
        <is>
          <t>No Affiliations</t>
        </is>
      </c>
      <c r="C8" s="3" t="n">
        <v>0</v>
      </c>
      <c r="D8" s="4" t="n"/>
      <c r="E8" s="3">
        <f>IF(ISNUMBER(D8),D8,C8)</f>
        <v/>
      </c>
      <c r="F8" s="3" t="inlineStr">
        <is>
          <t>Enter 0, 50, or 100 only when correcting the provisional text coding.</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4" t="n"/>
      <c r="E9" s="3">
        <f>IF(ISNUMBER(D9),D9,C9)</f>
        <v/>
      </c>
      <c r="F9" s="3" t="inlineStr">
        <is>
          <t>Enter 0, 50, or 100 only when correcting the provisional text coding.</t>
        </is>
      </c>
    </row>
    <row r="10">
      <c r="A10" s="2" t="inlineStr">
        <is>
          <t>ARGOS</t>
        </is>
      </c>
      <c r="B10" s="2" t="inlineStr">
        <is>
          <t>Athena Research Center (ARC)
Communication &amp; Information Technologies Experts (CITE)</t>
        </is>
      </c>
      <c r="C10" s="3" t="n">
        <v>50</v>
      </c>
      <c r="D10" s="4" t="n"/>
      <c r="E10" s="3">
        <f>IF(ISNUMBER(D10),D10,C10)</f>
        <v/>
      </c>
      <c r="F10" s="3" t="inlineStr">
        <is>
          <t>Enter 0, 50, or 100 only when correcting the provisional text coding.</t>
        </is>
      </c>
    </row>
    <row r="11">
      <c r="A11" s="2" t="inlineStr">
        <is>
          <t>arXiv</t>
        </is>
      </c>
      <c r="B11" s="2" t="n"/>
      <c r="C11" s="3" t="n">
        <v>0</v>
      </c>
      <c r="D11" s="4" t="n"/>
      <c r="E11" s="3">
        <f>IF(ISNUMBER(D11),D11,C11)</f>
        <v/>
      </c>
      <c r="F11" s="3" t="inlineStr">
        <is>
          <t>Enter 0, 50, or 100 only when correcting the provisional text coding.</t>
        </is>
      </c>
    </row>
    <row r="12">
      <c r="A12" s="2" t="inlineStr">
        <is>
          <t>AtoM</t>
        </is>
      </c>
      <c r="B12" s="2" t="inlineStr">
        <is>
          <t>No affiliations</t>
        </is>
      </c>
      <c r="C12" s="3" t="n">
        <v>0</v>
      </c>
      <c r="D12" s="4" t="n"/>
      <c r="E12" s="3">
        <f>IF(ISNUMBER(D12),D12,C12)</f>
        <v/>
      </c>
      <c r="F12" s="3" t="inlineStr">
        <is>
          <t>Enter 0, 50, or 100 only when correcting the provisional text coding.</t>
        </is>
      </c>
    </row>
    <row r="13">
      <c r="A13" s="2" t="inlineStr">
        <is>
          <t>Avalon Media System</t>
        </is>
      </c>
      <c r="B13" s="2" t="inlineStr">
        <is>
          <t>Indiana University Libraries</t>
        </is>
      </c>
      <c r="C13" s="3" t="n">
        <v>50</v>
      </c>
      <c r="D13" s="4" t="n"/>
      <c r="E13" s="3">
        <f>IF(ISNUMBER(D13),D13,C13)</f>
        <v/>
      </c>
      <c r="F13" s="3" t="inlineStr">
        <is>
          <t>Enter 0, 50, or 100 only when correcting the provisional text coding.</t>
        </is>
      </c>
    </row>
    <row r="14">
      <c r="A14" s="2" t="inlineStr">
        <is>
          <t>Biodiversity Heritage Library</t>
        </is>
      </c>
      <c r="B14" s="2" t="inlineStr">
        <is>
          <t>BHL’s fiscal sponsor is the Council on Library and Information Resources (CLIR).</t>
        </is>
      </c>
      <c r="C14" s="3" t="n">
        <v>100</v>
      </c>
      <c r="D14" s="4" t="n"/>
      <c r="E14" s="3">
        <f>IF(ISNUMBER(D14),D14,C14)</f>
        <v/>
      </c>
      <c r="F14" s="3" t="inlineStr">
        <is>
          <t>Enter 0, 50, or 100 only when correcting the provisional text coding.</t>
        </is>
      </c>
    </row>
    <row r="15">
      <c r="A15" s="2" t="inlineStr">
        <is>
          <t>bioRxiv</t>
        </is>
      </c>
      <c r="B15" s="2" t="n"/>
      <c r="C15" s="3" t="n">
        <v>0</v>
      </c>
      <c r="D15" s="4" t="n"/>
      <c r="E15" s="3">
        <f>IF(ISNUMBER(D15),D15,C15)</f>
        <v/>
      </c>
      <c r="F15" s="3" t="inlineStr">
        <is>
          <t>Enter 0, 50, or 100 only when correcting the provisional text coding.</t>
        </is>
      </c>
    </row>
    <row r="16">
      <c r="A16" s="2" t="inlineStr">
        <is>
          <t>BitCurator Environment</t>
        </is>
      </c>
      <c r="B16" s="2" t="inlineStr">
        <is>
          <t>BitCurator Consortium is administratively hosted by the Open Library Foundation.</t>
        </is>
      </c>
      <c r="C16" s="3" t="n">
        <v>100</v>
      </c>
      <c r="D16" s="4" t="n"/>
      <c r="E16" s="3">
        <f>IF(ISNUMBER(D16),D16,C16)</f>
        <v/>
      </c>
      <c r="F16" s="3" t="inlineStr">
        <is>
          <t>Enter 0, 50, or 100 only when correcting the provisional text coding.</t>
        </is>
      </c>
    </row>
    <row r="17">
      <c r="A17" s="2" t="inlineStr">
        <is>
          <t>Blacklight</t>
        </is>
      </c>
      <c r="B17" s="2" t="inlineStr">
        <is>
          <t>See website</t>
        </is>
      </c>
      <c r="C17" s="3" t="n">
        <v>0</v>
      </c>
      <c r="D17" s="4" t="n"/>
      <c r="E17" s="3">
        <f>IF(ISNUMBER(D17),D17,C17)</f>
        <v/>
      </c>
      <c r="F17" s="3" t="inlineStr">
        <is>
          <t>Enter 0, 50, or 100 only when correcting the provisional text coding.</t>
        </is>
      </c>
    </row>
    <row r="18">
      <c r="A18" s="2" t="inlineStr">
        <is>
          <t>BrCRIS</t>
        </is>
      </c>
      <c r="B18" s="2" t="n"/>
      <c r="C18" s="3" t="n">
        <v>0</v>
      </c>
      <c r="D18" s="4" t="n"/>
      <c r="E18" s="3">
        <f>IF(ISNUMBER(D18),D18,C18)</f>
        <v/>
      </c>
      <c r="F18" s="3" t="inlineStr">
        <is>
          <t>Enter 0, 50, or 100 only when correcting the provisional text coding.</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4" t="n"/>
      <c r="E19" s="3">
        <f>IF(ISNUMBER(D19),D19,C19)</f>
        <v/>
      </c>
      <c r="F19" s="3" t="inlineStr">
        <is>
          <t>Enter 0, 50, or 100 only when correcting the provisional text coding.</t>
        </is>
      </c>
    </row>
    <row r="20">
      <c r="A20" s="2" t="inlineStr">
        <is>
          <t>CLOCKSS</t>
        </is>
      </c>
      <c r="B20" s="2" t="inlineStr">
        <is>
          <t>n/a</t>
        </is>
      </c>
      <c r="C20" s="3" t="n">
        <v>0</v>
      </c>
      <c r="D20" s="4" t="n"/>
      <c r="E20" s="3">
        <f>IF(ISNUMBER(D20),D20,C20)</f>
        <v/>
      </c>
      <c r="F20" s="3" t="inlineStr">
        <is>
          <t>Enter 0, 50, or 100 only when correcting the provisional text coding.</t>
        </is>
      </c>
    </row>
    <row r="21">
      <c r="A21" s="2" t="inlineStr">
        <is>
          <t>COAR International Repository Directory (IRD)</t>
        </is>
      </c>
      <c r="B21" s="2" t="inlineStr">
        <is>
          <t>Responsible Organisations: https://ird.coar-repositories.org/about?lang=en</t>
        </is>
      </c>
      <c r="C21" s="3" t="n">
        <v>50</v>
      </c>
      <c r="D21" s="4" t="n"/>
      <c r="E21" s="3">
        <f>IF(ISNUMBER(D21),D21,C21)</f>
        <v/>
      </c>
      <c r="F21" s="3" t="inlineStr">
        <is>
          <t>Enter 0, 50, or 100 only when correcting the provisional text coding.</t>
        </is>
      </c>
    </row>
    <row r="22">
      <c r="A22" s="2" t="inlineStr">
        <is>
          <t>COAR Notify</t>
        </is>
      </c>
      <c r="B22" s="2" t="inlineStr">
        <is>
          <t>No affiliations.</t>
        </is>
      </c>
      <c r="C22" s="3" t="n">
        <v>0</v>
      </c>
      <c r="D22" s="4" t="n"/>
      <c r="E22" s="3">
        <f>IF(ISNUMBER(D22),D22,C22)</f>
        <v/>
      </c>
      <c r="F22" s="3" t="inlineStr">
        <is>
          <t>Enter 0, 50, or 100 only when correcting the provisional text coding.</t>
        </is>
      </c>
    </row>
    <row r="23">
      <c r="A23" s="2" t="inlineStr">
        <is>
          <t>CollectiveAccess</t>
        </is>
      </c>
      <c r="B23" s="2" t="inlineStr">
        <is>
          <t>No affiliations</t>
        </is>
      </c>
      <c r="C23" s="3" t="n">
        <v>0</v>
      </c>
      <c r="D23" s="4" t="n"/>
      <c r="E23" s="3">
        <f>IF(ISNUMBER(D23),D23,C23)</f>
        <v/>
      </c>
      <c r="F23" s="3" t="inlineStr">
        <is>
          <t>Enter 0, 50, or 100 only when correcting the provisional text coding.</t>
        </is>
      </c>
    </row>
    <row r="24">
      <c r="A24" s="2" t="inlineStr">
        <is>
          <t>CORE</t>
        </is>
      </c>
      <c r="B24" s="2" t="n"/>
      <c r="C24" s="3" t="n">
        <v>0</v>
      </c>
      <c r="D24" s="4" t="n"/>
      <c r="E24" s="3">
        <f>IF(ISNUMBER(D24),D24,C24)</f>
        <v/>
      </c>
      <c r="F24" s="3" t="inlineStr">
        <is>
          <t>Enter 0, 50, or 100 only when correcting the provisional text coding.</t>
        </is>
      </c>
    </row>
    <row r="25">
      <c r="A25" s="2" t="inlineStr">
        <is>
          <t>COUNTER Code of Practice</t>
        </is>
      </c>
      <c r="B25" s="2" t="n"/>
      <c r="C25" s="3" t="n">
        <v>0</v>
      </c>
      <c r="D25" s="4" t="n"/>
      <c r="E25" s="3">
        <f>IF(ISNUMBER(D25),D25,C25)</f>
        <v/>
      </c>
      <c r="F25" s="3" t="inlineStr">
        <is>
          <t>Enter 0, 50, or 100 only when correcting the provisional text coding.</t>
        </is>
      </c>
    </row>
    <row r="26">
      <c r="A26" s="2" t="inlineStr">
        <is>
          <t>Creative Commons Licenses</t>
        </is>
      </c>
      <c r="B26" s="2" t="n"/>
      <c r="C26" s="3" t="n">
        <v>0</v>
      </c>
      <c r="D26" s="4" t="n"/>
      <c r="E26" s="3">
        <f>IF(ISNUMBER(D26),D26,C26)</f>
        <v/>
      </c>
      <c r="F26" s="3" t="inlineStr">
        <is>
          <t>Enter 0, 50, or 100 only when correcting the provisional text coding.</t>
        </is>
      </c>
    </row>
    <row r="27">
      <c r="A27" s="2" t="inlineStr">
        <is>
          <t>Crossref Metadata Retrieval</t>
        </is>
      </c>
      <c r="B27" s="2" t="n"/>
      <c r="C27" s="3" t="n">
        <v>0</v>
      </c>
      <c r="D27" s="4" t="n"/>
      <c r="E27" s="3">
        <f>IF(ISNUMBER(D27),D27,C27)</f>
        <v/>
      </c>
      <c r="F27" s="3" t="inlineStr">
        <is>
          <t>Enter 0, 50, or 100 only when correcting the provisional text coding.</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4" t="n"/>
      <c r="E28" s="3">
        <f>IF(ISNUMBER(D28),D28,C28)</f>
        <v/>
      </c>
      <c r="F28" s="3" t="inlineStr">
        <is>
          <t>Enter 0, 50, or 100 only when correcting the provisional text coding.</t>
        </is>
      </c>
    </row>
    <row r="29">
      <c r="A29" s="2" t="inlineStr">
        <is>
          <t>DART (Digital Archivist's Resource Tool)</t>
        </is>
      </c>
      <c r="B29" s="2" t="inlineStr">
        <is>
          <t>University of Virginia</t>
        </is>
      </c>
      <c r="C29" s="3" t="n">
        <v>50</v>
      </c>
      <c r="D29" s="4" t="n"/>
      <c r="E29" s="3">
        <f>IF(ISNUMBER(D29),D29,C29)</f>
        <v/>
      </c>
      <c r="F29" s="3" t="inlineStr">
        <is>
          <t>Enter 0, 50, or 100 only when correcting the provisional text coding.</t>
        </is>
      </c>
    </row>
    <row r="30">
      <c r="A30" s="2" t="inlineStr">
        <is>
          <t>Database Information System</t>
        </is>
      </c>
      <c r="B30" s="2" t="inlineStr">
        <is>
          <t>DBIS is operated by the University Library of Regensburg.</t>
        </is>
      </c>
      <c r="C30" s="3" t="n">
        <v>50</v>
      </c>
      <c r="D30" s="4" t="n"/>
      <c r="E30" s="3">
        <f>IF(ISNUMBER(D30),D30,C30)</f>
        <v/>
      </c>
      <c r="F30" s="3" t="inlineStr">
        <is>
          <t>Enter 0, 50, or 100 only when correcting the provisional text coding.</t>
        </is>
      </c>
    </row>
    <row r="31">
      <c r="A31" s="2" t="inlineStr">
        <is>
          <t>Data Citation Corpus</t>
        </is>
      </c>
      <c r="B31" s="2" t="inlineStr">
        <is>
          <t>DataCite leads the development of the Data Citation Corpus as part of Make Data Count activities.</t>
        </is>
      </c>
      <c r="C31" s="3" t="n">
        <v>50</v>
      </c>
      <c r="D31" s="4" t="n"/>
      <c r="E31" s="3">
        <f>IF(ISNUMBER(D31),D31,C31)</f>
        <v/>
      </c>
      <c r="F31" s="3" t="inlineStr">
        <is>
          <t>Enter 0, 50, or 100 only when correcting the provisional text coding.</t>
        </is>
      </c>
    </row>
    <row r="32">
      <c r="A32" s="2" t="inlineStr">
        <is>
          <t>DataCite</t>
        </is>
      </c>
      <c r="B32" s="2" t="n"/>
      <c r="C32" s="3" t="n">
        <v>0</v>
      </c>
      <c r="D32" s="4" t="n"/>
      <c r="E32" s="3">
        <f>IF(ISNUMBER(D32),D32,C32)</f>
        <v/>
      </c>
      <c r="F32" s="3" t="inlineStr">
        <is>
          <t>Enter 0, 50, or 100 only when correcting the provisional text coding.</t>
        </is>
      </c>
    </row>
    <row r="33">
      <c r="A33" s="2" t="inlineStr">
        <is>
          <t>Data Stewardship Wizard</t>
        </is>
      </c>
      <c r="B33" s="2" t="inlineStr">
        <is>
          <t>Czech Technical University in Prague / ELIXIR-CZ
Codevence Solutions</t>
        </is>
      </c>
      <c r="C33" s="3" t="n">
        <v>50</v>
      </c>
      <c r="D33" s="4" t="n"/>
      <c r="E33" s="3">
        <f>IF(ISNUMBER(D33),D33,C33)</f>
        <v/>
      </c>
      <c r="F33" s="3" t="inlineStr">
        <is>
          <t>Enter 0, 50, or 100 only when correcting the provisional text coding.</t>
        </is>
      </c>
    </row>
    <row r="34">
      <c r="A34" s="2" t="inlineStr">
        <is>
          <t>Dataverse</t>
        </is>
      </c>
      <c r="B34" s="2" t="n"/>
      <c r="C34" s="3" t="n">
        <v>0</v>
      </c>
      <c r="D34" s="4" t="n"/>
      <c r="E34" s="3">
        <f>IF(ISNUMBER(D34),D34,C34)</f>
        <v/>
      </c>
      <c r="F34" s="3" t="inlineStr">
        <is>
          <t>Enter 0, 50, or 100 only when correcting the provisional text coding.</t>
        </is>
      </c>
    </row>
    <row r="35">
      <c r="A35" s="2" t="inlineStr">
        <is>
          <t>DLCM Backend</t>
        </is>
      </c>
      <c r="B35" s="2" t="inlineStr">
        <is>
          <t>University of Geneva (https://www.unige.ch/)
HEG, HES-SO (https://www.hesge.ch/heg/en)
UNIFR (https://www.unifr.ch/home/en/)
BFH (https://www.bfh.ch/en/)
OLOS (https://olos.swiss/)</t>
        </is>
      </c>
      <c r="C35" s="3" t="n">
        <v>50</v>
      </c>
      <c r="D35" s="4" t="n"/>
      <c r="E35" s="3">
        <f>IF(ISNUMBER(D35),D35,C35)</f>
        <v/>
      </c>
      <c r="F35" s="3" t="inlineStr">
        <is>
          <t>Enter 0, 50, or 100 only when correcting the provisional text coding.</t>
        </is>
      </c>
    </row>
    <row r="36">
      <c r="A36" s="2" t="inlineStr">
        <is>
          <t>DLCM Portal</t>
        </is>
      </c>
      <c r="B36" s="2" t="inlineStr">
        <is>
          <t>University of Geneva (https://www.unige.ch/)HEG, HES-SO (https://www.hesge.ch/heg/en)UNIFR (https://www.unifr.ch/home/en/)BFH (https://www.bfh.ch/en/)OLOS (https://olos.swiss/)</t>
        </is>
      </c>
      <c r="C36" s="3" t="n">
        <v>50</v>
      </c>
      <c r="D36" s="4" t="n"/>
      <c r="E36" s="3">
        <f>IF(ISNUMBER(D36),D36,C36)</f>
        <v/>
      </c>
      <c r="F36" s="3" t="inlineStr">
        <is>
          <t>Enter 0, 50, or 100 only when correcting the provisional text coding.</t>
        </is>
      </c>
    </row>
    <row r="37">
      <c r="A37" s="2" t="inlineStr">
        <is>
          <t>DMP Tool</t>
        </is>
      </c>
      <c r="B37" s="2" t="n"/>
      <c r="C37" s="3" t="n">
        <v>0</v>
      </c>
      <c r="D37" s="4" t="n"/>
      <c r="E37" s="3">
        <f>IF(ISNUMBER(D37),D37,C37)</f>
        <v/>
      </c>
      <c r="F37" s="3" t="inlineStr">
        <is>
          <t>Enter 0, 50, or 100 only when correcting the provisional text coding.</t>
        </is>
      </c>
    </row>
    <row r="38">
      <c r="A38" s="2" t="inlineStr">
        <is>
          <t>DOAJ (Directory of Open Access Journals)</t>
        </is>
      </c>
      <c r="B38" s="2" t="n"/>
      <c r="C38" s="3" t="n">
        <v>0</v>
      </c>
      <c r="D38" s="4" t="n"/>
      <c r="E38" s="3">
        <f>IF(ISNUMBER(D38),D38,C38)</f>
        <v/>
      </c>
      <c r="F38" s="3" t="inlineStr">
        <is>
          <t>Enter 0, 50, or 100 only when correcting the provisional text coding.</t>
        </is>
      </c>
    </row>
    <row r="39">
      <c r="A39" s="2" t="inlineStr">
        <is>
          <t>dokieli</t>
        </is>
      </c>
      <c r="B39" s="2" t="n"/>
      <c r="C39" s="3" t="n">
        <v>0</v>
      </c>
      <c r="D39" s="4" t="n"/>
      <c r="E39" s="3">
        <f>IF(ISNUMBER(D39),D39,C39)</f>
        <v/>
      </c>
      <c r="F39" s="3" t="inlineStr">
        <is>
          <t>Enter 0, 50, or 100 only when correcting the provisional text coding.</t>
        </is>
      </c>
    </row>
    <row r="40">
      <c r="A40" s="2" t="inlineStr">
        <is>
          <t>Dryad</t>
        </is>
      </c>
      <c r="B40" s="2" t="n"/>
      <c r="C40" s="3" t="n">
        <v>0</v>
      </c>
      <c r="D40" s="4" t="n"/>
      <c r="E40" s="3">
        <f>IF(ISNUMBER(D40),D40,C40)</f>
        <v/>
      </c>
      <c r="F40" s="3" t="inlineStr">
        <is>
          <t>Enter 0, 50, or 100 only when correcting the provisional text coding.</t>
        </is>
      </c>
    </row>
    <row r="41">
      <c r="A41" s="2" t="inlineStr">
        <is>
          <t>DSpace</t>
        </is>
      </c>
      <c r="B41" s="2" t="n"/>
      <c r="C41" s="3" t="n">
        <v>0</v>
      </c>
      <c r="D41" s="4" t="n"/>
      <c r="E41" s="3">
        <f>IF(ISNUMBER(D41),D41,C41)</f>
        <v/>
      </c>
      <c r="F41" s="3" t="inlineStr">
        <is>
          <t>Enter 0, 50, or 100 only when correcting the provisional text coding.</t>
        </is>
      </c>
    </row>
    <row r="42">
      <c r="A42" s="2" t="inlineStr">
        <is>
          <t>DuraCloud</t>
        </is>
      </c>
      <c r="B42" s="2" t="inlineStr">
        <is>
          <t>N/A</t>
        </is>
      </c>
      <c r="C42" s="3" t="n">
        <v>0</v>
      </c>
      <c r="D42" s="4" t="n"/>
      <c r="E42" s="3">
        <f>IF(ISNUMBER(D42),D42,C42)</f>
        <v/>
      </c>
      <c r="F42" s="3" t="inlineStr">
        <is>
          <t>Enter 0, 50, or 100 only when correcting the provisional text coding.</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4" t="n"/>
      <c r="E43" s="3">
        <f>IF(ISNUMBER(D43),D43,C43)</f>
        <v/>
      </c>
      <c r="F43" s="3" t="inlineStr">
        <is>
          <t>Enter 0, 50, or 100 only when correcting the provisional text coding.</t>
        </is>
      </c>
    </row>
    <row r="44">
      <c r="A44" s="2" t="inlineStr">
        <is>
          <t>EPrints</t>
        </is>
      </c>
      <c r="B44" s="2" t="inlineStr">
        <is>
          <t>ECS Partners Ltd</t>
        </is>
      </c>
      <c r="C44" s="3" t="n">
        <v>50</v>
      </c>
      <c r="D44" s="4" t="n"/>
      <c r="E44" s="3">
        <f>IF(ISNUMBER(D44),D44,C44)</f>
        <v/>
      </c>
      <c r="F44" s="3" t="inlineStr">
        <is>
          <t>Enter 0, 50, or 100 only when correcting the provisional text coding.</t>
        </is>
      </c>
    </row>
    <row r="45">
      <c r="A45" s="2" t="inlineStr">
        <is>
          <t>Érudit</t>
        </is>
      </c>
      <c r="B45" s="2" t="n"/>
      <c r="C45" s="3" t="n">
        <v>0</v>
      </c>
      <c r="D45" s="4" t="n"/>
      <c r="E45" s="3">
        <f>IF(ISNUMBER(D45),D45,C45)</f>
        <v/>
      </c>
      <c r="F45" s="3" t="inlineStr">
        <is>
          <t>Enter 0, 50, or 100 only when correcting the provisional text coding.</t>
        </is>
      </c>
    </row>
    <row r="46">
      <c r="A46" s="2" t="inlineStr">
        <is>
          <t>Europe PMC</t>
        </is>
      </c>
      <c r="B46" s="2" t="n"/>
      <c r="C46" s="3" t="n">
        <v>0</v>
      </c>
      <c r="D46" s="4" t="n"/>
      <c r="E46" s="3">
        <f>IF(ISNUMBER(D46),D46,C46)</f>
        <v/>
      </c>
      <c r="F46" s="3" t="inlineStr">
        <is>
          <t>Enter 0, 50, or 100 only when correcting the provisional text coding.</t>
        </is>
      </c>
    </row>
    <row r="47">
      <c r="A47" s="2" t="inlineStr">
        <is>
          <t>FAIR Wizard</t>
        </is>
      </c>
      <c r="B47" s="2" t="inlineStr">
        <is>
          <t>Codevence Solutions s.r.o.</t>
        </is>
      </c>
      <c r="C47" s="3" t="n">
        <v>50</v>
      </c>
      <c r="D47" s="4" t="n"/>
      <c r="E47" s="3">
        <f>IF(ISNUMBER(D47),D47,C47)</f>
        <v/>
      </c>
      <c r="F47" s="3" t="inlineStr">
        <is>
          <t>Enter 0, 50, or 100 only when correcting the provisional text coding.</t>
        </is>
      </c>
    </row>
    <row r="48">
      <c r="A48" s="2" t="inlineStr">
        <is>
          <t>Fedora</t>
        </is>
      </c>
      <c r="B48" s="2" t="n"/>
      <c r="C48" s="3" t="n">
        <v>0</v>
      </c>
      <c r="D48" s="4" t="n"/>
      <c r="E48" s="3">
        <f>IF(ISNUMBER(D48),D48,C48)</f>
        <v/>
      </c>
      <c r="F48" s="3" t="inlineStr">
        <is>
          <t>Enter 0, 50, or 100 only when correcting the provisional text coding.</t>
        </is>
      </c>
    </row>
    <row r="49">
      <c r="A49" s="2" t="inlineStr">
        <is>
          <t>fido</t>
        </is>
      </c>
      <c r="B49" s="2" t="inlineStr">
        <is>
          <t>Artefactual</t>
        </is>
      </c>
      <c r="C49" s="3" t="n">
        <v>50</v>
      </c>
      <c r="D49" s="4" t="n"/>
      <c r="E49" s="3">
        <f>IF(ISNUMBER(D49),D49,C49)</f>
        <v/>
      </c>
      <c r="F49" s="3" t="inlineStr">
        <is>
          <t>Enter 0, 50, or 100 only when correcting the provisional text coding.</t>
        </is>
      </c>
    </row>
    <row r="50">
      <c r="A50" s="2" t="inlineStr">
        <is>
          <t>Fulcrum</t>
        </is>
      </c>
      <c r="B50" s="2" t="n"/>
      <c r="C50" s="3" t="n">
        <v>0</v>
      </c>
      <c r="D50" s="4" t="n"/>
      <c r="E50" s="3">
        <f>IF(ISNUMBER(D50),D50,C50)</f>
        <v/>
      </c>
      <c r="F50" s="3" t="inlineStr">
        <is>
          <t>Enter 0, 50, or 100 only when correcting the provisional text coding.</t>
        </is>
      </c>
    </row>
    <row r="51">
      <c r="A51" s="2" t="inlineStr">
        <is>
          <t>Galaxy</t>
        </is>
      </c>
      <c r="B51" s="2" t="inlineStr">
        <is>
          <t>It's an open source project with many affiliations.</t>
        </is>
      </c>
      <c r="C51" s="3" t="n">
        <v>50</v>
      </c>
      <c r="D51" s="4" t="n"/>
      <c r="E51" s="3">
        <f>IF(ISNUMBER(D51),D51,C51)</f>
        <v/>
      </c>
      <c r="F51" s="3" t="inlineStr">
        <is>
          <t>Enter 0, 50, or 100 only when correcting the provisional text coding.</t>
        </is>
      </c>
    </row>
    <row r="52">
      <c r="A52" s="2" t="inlineStr">
        <is>
          <t>GeoServer</t>
        </is>
      </c>
      <c r="B52" s="2" t="inlineStr">
        <is>
          <t>https://www.osgeo.org
https://www.geosolutionsgroup.com/
https://www.afrigis.co.za/
https://www.geocat.net/
https://camptocamp.com/</t>
        </is>
      </c>
      <c r="C52" s="3" t="n">
        <v>50</v>
      </c>
      <c r="D52" s="4" t="n"/>
      <c r="E52" s="3">
        <f>IF(ISNUMBER(D52),D52,C52)</f>
        <v/>
      </c>
      <c r="F52" s="3" t="inlineStr">
        <is>
          <t>Enter 0, 50, or 100 only when correcting the provisional text coding.</t>
        </is>
      </c>
    </row>
    <row r="53">
      <c r="A53" s="2" t="inlineStr">
        <is>
          <t>Hyku</t>
        </is>
      </c>
      <c r="B53" s="2" t="n"/>
      <c r="C53" s="3" t="n">
        <v>0</v>
      </c>
      <c r="D53" s="4" t="n"/>
      <c r="E53" s="3">
        <f>IF(ISNUMBER(D53),D53,C53)</f>
        <v/>
      </c>
      <c r="F53" s="3" t="inlineStr">
        <is>
          <t>Enter 0, 50, or 100 only when correcting the provisional text coding.</t>
        </is>
      </c>
    </row>
    <row r="54">
      <c r="A54" s="2" t="inlineStr">
        <is>
          <t>Hyrax</t>
        </is>
      </c>
      <c r="B54" s="2" t="inlineStr">
        <is>
          <t>No affiliations</t>
        </is>
      </c>
      <c r="C54" s="3" t="n">
        <v>0</v>
      </c>
      <c r="D54" s="4" t="n"/>
      <c r="E54" s="3">
        <f>IF(ISNUMBER(D54),D54,C54)</f>
        <v/>
      </c>
      <c r="F54" s="3" t="inlineStr">
        <is>
          <t>Enter 0, 50, or 100 only when correcting the provisional text coding.</t>
        </is>
      </c>
    </row>
    <row r="55">
      <c r="A55" s="2" t="inlineStr">
        <is>
          <t>IIIF</t>
        </is>
      </c>
      <c r="B55" s="2" t="n"/>
      <c r="C55" s="3" t="n">
        <v>0</v>
      </c>
      <c r="D55" s="4" t="n"/>
      <c r="E55" s="3">
        <f>IF(ISNUMBER(D55),D55,C55)</f>
        <v/>
      </c>
      <c r="F55" s="3" t="inlineStr">
        <is>
          <t>Enter 0, 50, or 100 only when correcting the provisional text coding.</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4" t="n"/>
      <c r="E56" s="3">
        <f>IF(ISNUMBER(D56),D56,C56)</f>
        <v/>
      </c>
      <c r="F56" s="3" t="inlineStr">
        <is>
          <t>Enter 0, 50, or 100 only when correcting the provisional text coding.</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4" t="n"/>
      <c r="E57" s="3">
        <f>IF(ISNUMBER(D57),D57,C57)</f>
        <v/>
      </c>
      <c r="F57" s="3" t="inlineStr">
        <is>
          <t>Enter 0, 50, or 100 only when correcting the provisional text coding.</t>
        </is>
      </c>
    </row>
    <row r="58">
      <c r="A58" s="2" t="inlineStr">
        <is>
          <t>InvenioRDM</t>
        </is>
      </c>
      <c r="B58" s="2" t="n"/>
      <c r="C58" s="3" t="n">
        <v>0</v>
      </c>
      <c r="D58" s="4" t="n"/>
      <c r="E58" s="3">
        <f>IF(ISNUMBER(D58),D58,C58)</f>
        <v/>
      </c>
      <c r="F58" s="3" t="inlineStr">
        <is>
          <t>Enter 0, 50, or 100 only when correcting the provisional text coding.</t>
        </is>
      </c>
    </row>
    <row r="59">
      <c r="A59" s="2" t="inlineStr">
        <is>
          <t>iRODS</t>
        </is>
      </c>
      <c r="B59" s="2" t="inlineStr">
        <is>
          <t>Executive Board Members (Premier Level)</t>
        </is>
      </c>
      <c r="C59" s="3" t="n">
        <v>50</v>
      </c>
      <c r="D59" s="4" t="n"/>
      <c r="E59" s="3">
        <f>IF(ISNUMBER(D59),D59,C59)</f>
        <v/>
      </c>
      <c r="F59" s="3" t="inlineStr">
        <is>
          <t>Enter 0, 50, or 100 only when correcting the provisional text coding.</t>
        </is>
      </c>
    </row>
    <row r="60">
      <c r="A60" s="2" t="inlineStr">
        <is>
          <t>Islandora</t>
        </is>
      </c>
      <c r="B60" s="2" t="n"/>
      <c r="C60" s="3" t="n">
        <v>0</v>
      </c>
      <c r="D60" s="4" t="n"/>
      <c r="E60" s="3">
        <f>IF(ISNUMBER(D60),D60,C60)</f>
        <v/>
      </c>
      <c r="F60" s="3" t="inlineStr">
        <is>
          <t>Enter 0, 50, or 100 only when correcting the provisional text coding.</t>
        </is>
      </c>
    </row>
    <row r="61">
      <c r="A61" s="2" t="inlineStr">
        <is>
          <t>Janeway</t>
        </is>
      </c>
      <c r="B61" s="2" t="n"/>
      <c r="C61" s="3" t="n">
        <v>0</v>
      </c>
      <c r="D61" s="4" t="n"/>
      <c r="E61" s="3">
        <f>IF(ISNUMBER(D61),D61,C61)</f>
        <v/>
      </c>
      <c r="F61" s="3" t="inlineStr">
        <is>
          <t>Enter 0, 50, or 100 only when correcting the provisional text coding.</t>
        </is>
      </c>
    </row>
    <row r="62">
      <c r="A62" s="2" t="inlineStr">
        <is>
          <t>JHOVE</t>
        </is>
      </c>
      <c r="B62" s="2" t="inlineStr">
        <is>
          <t>&lt;a href="https://openpreservation.org/membership/meet-our-members/" target="_blank"&gt;OPF Membership&lt;/a&gt;</t>
        </is>
      </c>
      <c r="C62" s="3" t="n">
        <v>50</v>
      </c>
      <c r="D62" s="4" t="n"/>
      <c r="E62" s="3">
        <f>IF(ISNUMBER(D62),D62,C62)</f>
        <v/>
      </c>
      <c r="F62" s="3" t="inlineStr">
        <is>
          <t>Enter 0, 50, or 100 only when correcting the provisional text coding.</t>
        </is>
      </c>
    </row>
    <row r="63">
      <c r="A63" s="2" t="inlineStr">
        <is>
          <t>LA Referencia</t>
        </is>
      </c>
      <c r="B63" s="2" t="n"/>
      <c r="C63" s="3" t="n">
        <v>0</v>
      </c>
      <c r="D63" s="4" t="n"/>
      <c r="E63" s="3">
        <f>IF(ISNUMBER(D63),D63,C63)</f>
        <v/>
      </c>
      <c r="F63" s="3" t="inlineStr">
        <is>
          <t>Enter 0, 50, or 100 only when correcting the provisional text coding.</t>
        </is>
      </c>
    </row>
    <row r="64">
      <c r="A64" s="2" t="inlineStr">
        <is>
          <t>Manifold</t>
        </is>
      </c>
      <c r="B64" s="2" t="n"/>
      <c r="C64" s="3" t="n">
        <v>0</v>
      </c>
      <c r="D64" s="4" t="n"/>
      <c r="E64" s="3">
        <f>IF(ISNUMBER(D64),D64,C64)</f>
        <v/>
      </c>
      <c r="F64" s="3" t="inlineStr">
        <is>
          <t>Enter 0, 50, or 100 only when correcting the provisional text coding.</t>
        </is>
      </c>
    </row>
    <row r="65">
      <c r="A65" s="2" t="inlineStr">
        <is>
          <t>medRxiv</t>
        </is>
      </c>
      <c r="B65" s="2" t="n"/>
      <c r="C65" s="3" t="n">
        <v>0</v>
      </c>
      <c r="D65" s="4" t="n"/>
      <c r="E65" s="3">
        <f>IF(ISNUMBER(D65),D65,C65)</f>
        <v/>
      </c>
      <c r="F65" s="3" t="inlineStr">
        <is>
          <t>Enter 0, 50, or 100 only when correcting the provisional text coding.</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4" t="n"/>
      <c r="E66" s="3">
        <f>IF(ISNUMBER(D66),D66,C66)</f>
        <v/>
      </c>
      <c r="F66" s="3" t="inlineStr">
        <is>
          <t>Enter 0, 50, or 100 only when correcting the provisional text coding.</t>
        </is>
      </c>
    </row>
    <row r="67">
      <c r="A67" s="2" t="inlineStr">
        <is>
          <t>Mirador</t>
        </is>
      </c>
      <c r="B67" s="2" t="n"/>
      <c r="C67" s="3" t="n">
        <v>0</v>
      </c>
      <c r="D67" s="4" t="n"/>
      <c r="E67" s="3">
        <f>IF(ISNUMBER(D67),D67,C67)</f>
        <v/>
      </c>
      <c r="F67" s="3" t="inlineStr">
        <is>
          <t>Enter 0, 50, or 100 only when correcting the provisional text coding.</t>
        </is>
      </c>
    </row>
    <row r="68">
      <c r="A68" s="2" t="inlineStr">
        <is>
          <t>Mukurtu CMS</t>
        </is>
      </c>
      <c r="B68" s="2" t="n"/>
      <c r="C68" s="3" t="n">
        <v>0</v>
      </c>
      <c r="D68" s="4" t="n"/>
      <c r="E68" s="3">
        <f>IF(ISNUMBER(D68),D68,C68)</f>
        <v/>
      </c>
      <c r="F68" s="3" t="inlineStr">
        <is>
          <t>Enter 0, 50, or 100 only when correcting the provisional text coding.</t>
        </is>
      </c>
    </row>
    <row r="69">
      <c r="A69" s="2" t="inlineStr">
        <is>
          <t>MyCoRe</t>
        </is>
      </c>
      <c r="B69" s="2" t="inlineStr">
        <is>
          <t xml:space="preserve"> Regional Computer Center, Hamburg University</t>
        </is>
      </c>
      <c r="C69" s="3" t="n">
        <v>50</v>
      </c>
      <c r="D69" s="4" t="n"/>
      <c r="E69" s="3">
        <f>IF(ISNUMBER(D69),D69,C69)</f>
        <v/>
      </c>
      <c r="F69" s="3" t="inlineStr">
        <is>
          <t>Enter 0, 50, or 100 only when correcting the provisional text coding.</t>
        </is>
      </c>
    </row>
    <row r="70">
      <c r="A70" s="2" t="inlineStr">
        <is>
          <t>NumPy</t>
        </is>
      </c>
      <c r="B70" s="2" t="inlineStr">
        <is>
          <t>NumFOCUS; UC Berkeley; Quansight; NVIDIA</t>
        </is>
      </c>
      <c r="C70" s="3" t="n">
        <v>50</v>
      </c>
      <c r="D70" s="4" t="n"/>
      <c r="E70" s="3">
        <f>IF(ISNUMBER(D70),D70,C70)</f>
        <v/>
      </c>
      <c r="F70" s="3" t="inlineStr">
        <is>
          <t>Enter 0, 50, or 100 only when correcting the provisional text coding.</t>
        </is>
      </c>
    </row>
    <row r="71">
      <c r="A71" s="2" t="inlineStr">
        <is>
          <t>OA.Report</t>
        </is>
      </c>
      <c r="B71" s="2" t="inlineStr">
        <is>
          <t>Code for Science &amp; Society (fiscal sponsor of OA.Works)</t>
        </is>
      </c>
      <c r="C71" s="3" t="n">
        <v>100</v>
      </c>
      <c r="D71" s="4" t="n"/>
      <c r="E71" s="3">
        <f>IF(ISNUMBER(D71),D71,C71)</f>
        <v/>
      </c>
      <c r="F71" s="3" t="inlineStr">
        <is>
          <t>Enter 0, 50, or 100 only when correcting the provisional text coding.</t>
        </is>
      </c>
    </row>
    <row r="72">
      <c r="A72" s="2" t="inlineStr">
        <is>
          <t>OA Switchboard</t>
        </is>
      </c>
      <c r="B72" s="2" t="n"/>
      <c r="C72" s="3" t="n">
        <v>0</v>
      </c>
      <c r="D72" s="4" t="n"/>
      <c r="E72" s="3">
        <f>IF(ISNUMBER(D72),D72,C72)</f>
        <v/>
      </c>
      <c r="F72" s="3" t="inlineStr">
        <is>
          <t>Enter 0, 50, or 100 only when correcting the provisional text coding.</t>
        </is>
      </c>
    </row>
    <row r="73">
      <c r="A73" s="2" t="inlineStr">
        <is>
          <t>Omeka</t>
        </is>
      </c>
      <c r="B73" s="2" t="n"/>
      <c r="C73" s="3" t="n">
        <v>0</v>
      </c>
      <c r="D73" s="4" t="n"/>
      <c r="E73" s="3">
        <f>IF(ISNUMBER(D73),D73,C73)</f>
        <v/>
      </c>
      <c r="F73" s="3" t="inlineStr">
        <is>
          <t>Enter 0, 50, or 100 only when correcting the provisional text coding.</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4" t="n"/>
      <c r="E74" s="3">
        <f>IF(ISNUMBER(D74),D74,C74)</f>
        <v/>
      </c>
      <c r="F74" s="3" t="inlineStr">
        <is>
          <t>Enter 0, 50, or 100 only when correcting the provisional text coding.</t>
        </is>
      </c>
    </row>
    <row r="75">
      <c r="A75" s="2" t="inlineStr">
        <is>
          <t>OpenAlex</t>
        </is>
      </c>
      <c r="B75" s="2" t="n"/>
      <c r="C75" s="3" t="n">
        <v>0</v>
      </c>
      <c r="D75" s="4" t="n"/>
      <c r="E75" s="3">
        <f>IF(ISNUMBER(D75),D75,C75)</f>
        <v/>
      </c>
      <c r="F75" s="3" t="inlineStr">
        <is>
          <t>Enter 0, 50, or 100 only when correcting the provisional text coding.</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4" t="n"/>
      <c r="E76" s="3">
        <f>IF(ISNUMBER(D76),D76,C76)</f>
        <v/>
      </c>
      <c r="F76" s="3" t="inlineStr">
        <is>
          <t>Enter 0, 50, or 100 only when correcting the provisional text coding.</t>
        </is>
      </c>
    </row>
    <row r="77">
      <c r="A77" s="2" t="inlineStr">
        <is>
          <t>OpenCitations</t>
        </is>
      </c>
      <c r="B77" s="2" t="inlineStr">
        <is>
          <t xml:space="preserve">Research Centre for Open Scholarly Metadata, University of Bologna 
</t>
        </is>
      </c>
      <c r="C77" s="3" t="n">
        <v>50</v>
      </c>
      <c r="D77" s="4" t="n"/>
      <c r="E77" s="3">
        <f>IF(ISNUMBER(D77),D77,C77)</f>
        <v/>
      </c>
      <c r="F77" s="3" t="inlineStr">
        <is>
          <t>Enter 0, 50, or 100 only when correcting the provisional text coding.</t>
        </is>
      </c>
    </row>
    <row r="78">
      <c r="A78" s="2" t="inlineStr">
        <is>
          <t>openCost</t>
        </is>
      </c>
      <c r="B78" s="2" t="inlineStr">
        <is>
          <t>Bielefeld University Library, the German Electron Synchrotron DESY (Hamburg) and University Library of Regensburg</t>
        </is>
      </c>
      <c r="C78" s="3" t="n">
        <v>50</v>
      </c>
      <c r="D78" s="4" t="n"/>
      <c r="E78" s="3">
        <f>IF(ISNUMBER(D78),D78,C78)</f>
        <v/>
      </c>
      <c r="F78" s="3" t="inlineStr">
        <is>
          <t>Enter 0, 50, or 100 only when correcting the provisional text coding.</t>
        </is>
      </c>
    </row>
    <row r="79">
      <c r="A79" s="2" t="inlineStr">
        <is>
          <t>Open Data Editor</t>
        </is>
      </c>
      <c r="B79" s="2" t="inlineStr">
        <is>
          <t>Digital Public Goods Alliance, Open Knowledge Brazil, Open Knowledge Nepal, Escuela de Datos help disseminate the tool.</t>
        </is>
      </c>
      <c r="C79" s="3" t="n">
        <v>50</v>
      </c>
      <c r="D79" s="4" t="n"/>
      <c r="E79" s="3">
        <f>IF(ISNUMBER(D79),D79,C79)</f>
        <v/>
      </c>
      <c r="F79" s="3" t="inlineStr">
        <is>
          <t>Enter 0, 50, or 100 only when correcting the provisional text coding.</t>
        </is>
      </c>
    </row>
    <row r="80">
      <c r="A80" s="2" t="inlineStr">
        <is>
          <t>OpenEdition</t>
        </is>
      </c>
      <c r="B80" s="2" t="n"/>
      <c r="C80" s="3" t="n">
        <v>0</v>
      </c>
      <c r="D80" s="4" t="n"/>
      <c r="E80" s="3">
        <f>IF(ISNUMBER(D80),D80,C80)</f>
        <v/>
      </c>
      <c r="F80" s="3" t="inlineStr">
        <is>
          <t>Enter 0, 50, or 100 only when correcting the provisional text coding.</t>
        </is>
      </c>
    </row>
    <row r="81">
      <c r="A81" s="2" t="inlineStr">
        <is>
          <t>Open Journal Systems (OJS)</t>
        </is>
      </c>
      <c r="B81" s="2" t="n"/>
      <c r="C81" s="3" t="n">
        <v>0</v>
      </c>
      <c r="D81" s="4" t="n"/>
      <c r="E81" s="3">
        <f>IF(ISNUMBER(D81),D81,C81)</f>
        <v/>
      </c>
      <c r="F81" s="3" t="inlineStr">
        <is>
          <t>Enter 0, 50, or 100 only when correcting the provisional text coding.</t>
        </is>
      </c>
    </row>
    <row r="82">
      <c r="A82" s="2" t="inlineStr">
        <is>
          <t>Open Monograph Press (OMP)</t>
        </is>
      </c>
      <c r="B82" s="2" t="n"/>
      <c r="C82" s="3" t="n">
        <v>0</v>
      </c>
      <c r="D82" s="4" t="n"/>
      <c r="E82" s="3">
        <f>IF(ISNUMBER(D82),D82,C82)</f>
        <v/>
      </c>
      <c r="F82" s="3" t="inlineStr">
        <is>
          <t>Enter 0, 50, or 100 only when correcting the provisional text coding.</t>
        </is>
      </c>
    </row>
    <row r="83">
      <c r="A83" s="2" t="inlineStr">
        <is>
          <t>Open Preprint Systems (OPS)</t>
        </is>
      </c>
      <c r="B83" s="2" t="n"/>
      <c r="C83" s="3" t="n">
        <v>0</v>
      </c>
      <c r="D83" s="4" t="n"/>
      <c r="E83" s="3">
        <f>IF(ISNUMBER(D83),D83,C83)</f>
        <v/>
      </c>
      <c r="F83" s="3" t="inlineStr">
        <is>
          <t>Enter 0, 50, or 100 only when correcting the provisional text coding.</t>
        </is>
      </c>
    </row>
    <row r="84">
      <c r="A84" s="2" t="inlineStr">
        <is>
          <t>Openverse</t>
        </is>
      </c>
      <c r="B84" s="2" t="inlineStr">
        <is>
          <t>Openverse is part of the WordPress open source project: https://wordpress.org/</t>
        </is>
      </c>
      <c r="C84" s="3" t="n">
        <v>50</v>
      </c>
      <c r="D84" s="4" t="n"/>
      <c r="E84" s="3">
        <f>IF(ISNUMBER(D84),D84,C84)</f>
        <v/>
      </c>
      <c r="F84" s="3" t="inlineStr">
        <is>
          <t>Enter 0, 50, or 100 only when correcting the provisional text coding.</t>
        </is>
      </c>
    </row>
    <row r="85">
      <c r="A85" s="2" t="inlineStr">
        <is>
          <t>O Portal Brasileiro de Publicações e Dados Científicos em Acesso Aberto (The Brazilian Open Access Publications and Scientific Data Portal) (Oasisbr)</t>
        </is>
      </c>
      <c r="B85" s="2" t="n"/>
      <c r="C85" s="3" t="n">
        <v>0</v>
      </c>
      <c r="D85" s="4" t="n"/>
      <c r="E85" s="3">
        <f>IF(ISNUMBER(D85),D85,C85)</f>
        <v/>
      </c>
      <c r="F85" s="3" t="inlineStr">
        <is>
          <t>Enter 0, 50, or 100 only when correcting the provisional text coding.</t>
        </is>
      </c>
    </row>
    <row r="86">
      <c r="A86" s="2" t="inlineStr">
        <is>
          <t>OSF (Open Science Framework)</t>
        </is>
      </c>
      <c r="B86" s="2" t="n"/>
      <c r="C86" s="3" t="n">
        <v>0</v>
      </c>
      <c r="D86" s="4" t="n"/>
      <c r="E86" s="3">
        <f>IF(ISNUMBER(D86),D86,C86)</f>
        <v/>
      </c>
      <c r="F86" s="3" t="inlineStr">
        <is>
          <t>Enter 0, 50, or 100 only when correcting the provisional text coding.</t>
        </is>
      </c>
    </row>
    <row r="87">
      <c r="A87" s="2" t="inlineStr">
        <is>
          <t>Oxford Common File Layout</t>
        </is>
      </c>
      <c r="B87" s="2" t="n"/>
      <c r="C87" s="3" t="n">
        <v>0</v>
      </c>
      <c r="D87" s="4" t="n"/>
      <c r="E87" s="3">
        <f>IF(ISNUMBER(D87),D87,C87)</f>
        <v/>
      </c>
      <c r="F87" s="3" t="inlineStr">
        <is>
          <t>Enter 0, 50, or 100 only when correcting the provisional text coding.</t>
        </is>
      </c>
    </row>
    <row r="88">
      <c r="A88" s="2" t="inlineStr">
        <is>
          <t>Peer Community In</t>
        </is>
      </c>
      <c r="B88" s="2" t="n"/>
      <c r="C88" s="3" t="n">
        <v>0</v>
      </c>
      <c r="D88" s="4" t="n"/>
      <c r="E88" s="3">
        <f>IF(ISNUMBER(D88),D88,C88)</f>
        <v/>
      </c>
      <c r="F88" s="3" t="inlineStr">
        <is>
          <t>Enter 0, 50, or 100 only when correcting the provisional text coding.</t>
        </is>
      </c>
    </row>
    <row r="89">
      <c r="A89" s="2" t="inlineStr">
        <is>
          <t>PKP Preservation Network</t>
        </is>
      </c>
      <c r="B89" s="2" t="inlineStr">
        <is>
          <t>See OJS for affiliations.</t>
        </is>
      </c>
      <c r="C89" s="3" t="n">
        <v>50</v>
      </c>
      <c r="D89" s="4" t="n"/>
      <c r="E89" s="3">
        <f>IF(ISNUMBER(D89),D89,C89)</f>
        <v/>
      </c>
      <c r="F89" s="3" t="inlineStr">
        <is>
          <t>Enter 0, 50, or 100 only when correcting the provisional text coding.</t>
        </is>
      </c>
    </row>
    <row r="90">
      <c r="A90" s="2" t="inlineStr">
        <is>
          <t>PREreview</t>
        </is>
      </c>
      <c r="B90" s="2" t="n"/>
      <c r="C90" s="3" t="n">
        <v>0</v>
      </c>
      <c r="D90" s="4" t="n"/>
      <c r="E90" s="3">
        <f>IF(ISNUMBER(D90),D90,C90)</f>
        <v/>
      </c>
      <c r="F90" s="3" t="inlineStr">
        <is>
          <t>Enter 0, 50, or 100 only when correcting the provisional text coding.</t>
        </is>
      </c>
    </row>
    <row r="91">
      <c r="A91" s="2" t="inlineStr">
        <is>
          <t>Pressbooks</t>
        </is>
      </c>
      <c r="B91" s="2" t="n"/>
      <c r="C91" s="3" t="n">
        <v>0</v>
      </c>
      <c r="D91" s="4" t="n"/>
      <c r="E91" s="3">
        <f>IF(ISNUMBER(D91),D91,C91)</f>
        <v/>
      </c>
      <c r="F91" s="3" t="inlineStr">
        <is>
          <t>Enter 0, 50, or 100 only when correcting the provisional text coding.</t>
        </is>
      </c>
    </row>
    <row r="92">
      <c r="A92" s="2" t="inlineStr">
        <is>
          <t>Public Access Submission System</t>
        </is>
      </c>
      <c r="B92" s="2" t="n"/>
      <c r="C92" s="3" t="n">
        <v>0</v>
      </c>
      <c r="D92" s="4" t="n"/>
      <c r="E92" s="3">
        <f>IF(ISNUMBER(D92),D92,C92)</f>
        <v/>
      </c>
      <c r="F92" s="3" t="inlineStr">
        <is>
          <t>Enter 0, 50, or 100 only when correcting the provisional text coding.</t>
        </is>
      </c>
    </row>
    <row r="93">
      <c r="A93" s="2" t="inlineStr">
        <is>
          <t>Public Utility Data Liberation (PUDL)</t>
        </is>
      </c>
      <c r="B93" s="2" t="inlineStr">
        <is>
          <t>RMI
GridLab</t>
        </is>
      </c>
      <c r="C93" s="3" t="n">
        <v>50</v>
      </c>
      <c r="D93" s="4" t="n"/>
      <c r="E93" s="3">
        <f>IF(ISNUMBER(D93),D93,C93)</f>
        <v/>
      </c>
      <c r="F93" s="3" t="inlineStr">
        <is>
          <t>Enter 0, 50, or 100 only when correcting the provisional text coding.</t>
        </is>
      </c>
    </row>
    <row r="94">
      <c r="A94" s="2" t="inlineStr">
        <is>
          <t>PubPub</t>
        </is>
      </c>
      <c r="B94" s="2" t="n"/>
      <c r="C94" s="3" t="n">
        <v>0</v>
      </c>
      <c r="D94" s="4" t="n"/>
      <c r="E94" s="3">
        <f>IF(ISNUMBER(D94),D94,C94)</f>
        <v/>
      </c>
      <c r="F94" s="3" t="inlineStr">
        <is>
          <t>Enter 0, 50, or 100 only when correcting the provisional text coding.</t>
        </is>
      </c>
    </row>
    <row r="95">
      <c r="A95" s="2" t="inlineStr">
        <is>
          <t>Pundit</t>
        </is>
      </c>
      <c r="B95" s="2" t="inlineStr">
        <is>
          <t>No affiliations</t>
        </is>
      </c>
      <c r="C95" s="3" t="n">
        <v>0</v>
      </c>
      <c r="D95" s="4" t="n"/>
      <c r="E95" s="3">
        <f>IF(ISNUMBER(D95),D95,C95)</f>
        <v/>
      </c>
      <c r="F95" s="3" t="inlineStr">
        <is>
          <t>Enter 0, 50, or 100 only when correcting the provisional text coding.</t>
        </is>
      </c>
    </row>
    <row r="96">
      <c r="A96" s="2" t="inlineStr">
        <is>
          <t>pyOpenSci</t>
        </is>
      </c>
      <c r="B96" s="2" t="inlineStr">
        <is>
          <t>Community Initiatives is our Fiscal sponsor</t>
        </is>
      </c>
      <c r="C96" s="3" t="n">
        <v>100</v>
      </c>
      <c r="D96" s="4" t="n"/>
      <c r="E96" s="3">
        <f>IF(ISNUMBER(D96),D96,C96)</f>
        <v/>
      </c>
      <c r="F96" s="3" t="inlineStr">
        <is>
          <t>Enter 0, 50, or 100 only when correcting the provisional text coding.</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4" t="n"/>
      <c r="E97" s="3">
        <f>IF(ISNUMBER(D97),D97,C97)</f>
        <v/>
      </c>
      <c r="F97" s="3" t="inlineStr">
        <is>
          <t>Enter 0, 50, or 100 only when correcting the provisional text coding.</t>
        </is>
      </c>
    </row>
    <row r="98">
      <c r="A98" s="2" t="inlineStr">
        <is>
          <t>RePEc</t>
        </is>
      </c>
      <c r="B98" s="2" t="inlineStr">
        <is>
          <t>Since 2010‒10‒01, RePEc has been an independent project of the Open Library Society.</t>
        </is>
      </c>
      <c r="C98" s="3" t="n">
        <v>50</v>
      </c>
      <c r="D98" s="4" t="n"/>
      <c r="E98" s="3">
        <f>IF(ISNUMBER(D98),D98,C98)</f>
        <v/>
      </c>
      <c r="F98" s="3" t="inlineStr">
        <is>
          <t>Enter 0, 50, or 100 only when correcting the provisional text coding.</t>
        </is>
      </c>
    </row>
    <row r="99">
      <c r="A99" s="2" t="inlineStr">
        <is>
          <t>Research Organization Registry (ROR)</t>
        </is>
      </c>
      <c r="B99" s="2" t="n"/>
      <c r="C99" s="3" t="n">
        <v>0</v>
      </c>
      <c r="D99" s="4" t="n"/>
      <c r="E99" s="3">
        <f>IF(ISNUMBER(D99),D99,C99)</f>
        <v/>
      </c>
      <c r="F99" s="3" t="inlineStr">
        <is>
          <t>Enter 0, 50, or 100 only when correcting the provisional text coding.</t>
        </is>
      </c>
    </row>
    <row r="100">
      <c r="A100" s="2" t="inlineStr">
        <is>
          <t>Rogue Scholar</t>
        </is>
      </c>
      <c r="B100" s="2" t="n"/>
      <c r="C100" s="3" t="n">
        <v>0</v>
      </c>
      <c r="D100" s="4" t="n"/>
      <c r="E100" s="3">
        <f>IF(ISNUMBER(D100),D100,C100)</f>
        <v/>
      </c>
      <c r="F100" s="3" t="inlineStr">
        <is>
          <t>Enter 0, 50, or 100 only when correcting the provisional text coding.</t>
        </is>
      </c>
    </row>
    <row r="101">
      <c r="A101" s="2" t="inlineStr">
        <is>
          <t>RSpace</t>
        </is>
      </c>
      <c r="B101" s="2" t="inlineStr">
        <is>
          <t>No affiliations</t>
        </is>
      </c>
      <c r="C101" s="3" t="n">
        <v>0</v>
      </c>
      <c r="D101" s="4" t="n"/>
      <c r="E101" s="3">
        <f>IF(ISNUMBER(D101),D101,C101)</f>
        <v/>
      </c>
      <c r="F101" s="3" t="inlineStr">
        <is>
          <t>Enter 0, 50, or 100 only when correcting the provisional text coding.</t>
        </is>
      </c>
    </row>
    <row r="102">
      <c r="A102" s="2" t="inlineStr">
        <is>
          <t>Sciety</t>
        </is>
      </c>
      <c r="B102" s="2" t="inlineStr">
        <is>
          <t>Howard Hughes Medical Institute, Wellcome Trust</t>
        </is>
      </c>
      <c r="C102" s="3" t="n">
        <v>50</v>
      </c>
      <c r="D102" s="4" t="n"/>
      <c r="E102" s="3">
        <f>IF(ISNUMBER(D102),D102,C102)</f>
        <v/>
      </c>
      <c r="F102" s="3" t="inlineStr">
        <is>
          <t>Enter 0, 50, or 100 only when correcting the provisional text coding.</t>
        </is>
      </c>
    </row>
    <row r="103">
      <c r="A103" s="2" t="inlineStr">
        <is>
          <t>Synapse</t>
        </is>
      </c>
      <c r="B103" s="2" t="inlineStr">
        <is>
          <t>No Affiliations</t>
        </is>
      </c>
      <c r="C103" s="3" t="n">
        <v>0</v>
      </c>
      <c r="D103" s="4" t="n"/>
      <c r="E103" s="3">
        <f>IF(ISNUMBER(D103),D103,C103)</f>
        <v/>
      </c>
      <c r="F103" s="3" t="inlineStr">
        <is>
          <t>Enter 0, 50, or 100 only when correcting the provisional text coding.</t>
        </is>
      </c>
    </row>
    <row r="104">
      <c r="A104" s="2" t="inlineStr">
        <is>
          <t>TagTeam</t>
        </is>
      </c>
      <c r="B104" s="2" t="inlineStr">
        <is>
          <t xml:space="preserve">Berkman Klein Center for Internet &amp; Society </t>
        </is>
      </c>
      <c r="C104" s="3" t="n">
        <v>50</v>
      </c>
      <c r="D104" s="4" t="n"/>
      <c r="E104" s="3">
        <f>IF(ISNUMBER(D104),D104,C104)</f>
        <v/>
      </c>
      <c r="F104" s="3" t="inlineStr">
        <is>
          <t>Enter 0, 50, or 100 only when correcting the provisional text coding.</t>
        </is>
      </c>
    </row>
    <row r="105">
      <c r="A105" s="2" t="inlineStr">
        <is>
          <t>Thoth Open Metadata</t>
        </is>
      </c>
      <c r="B105" s="2" t="inlineStr">
        <is>
          <t>Community-led Open Publication Infrastructures for Monographs (COPIM)
Copim Open Book Futures
Open Book Collective</t>
        </is>
      </c>
      <c r="C105" s="3" t="n">
        <v>50</v>
      </c>
      <c r="D105" s="4" t="n"/>
      <c r="E105" s="3">
        <f>IF(ISNUMBER(D105),D105,C105)</f>
        <v/>
      </c>
      <c r="F105" s="3" t="inlineStr">
        <is>
          <t>Enter 0, 50, or 100 only when correcting the provisional text coding.</t>
        </is>
      </c>
    </row>
    <row r="106">
      <c r="A106" s="2" t="inlineStr">
        <is>
          <t>Tropy</t>
        </is>
      </c>
      <c r="B106" s="2" t="inlineStr">
        <is>
          <t>None.</t>
        </is>
      </c>
      <c r="C106" s="3" t="n">
        <v>0</v>
      </c>
      <c r="D106" s="4" t="n"/>
      <c r="E106" s="3">
        <f>IF(ISNUMBER(D106),D106,C106)</f>
        <v/>
      </c>
      <c r="F106" s="3" t="inlineStr">
        <is>
          <t>Enter 0, 50, or 100 only when correcting the provisional text coding.</t>
        </is>
      </c>
    </row>
    <row r="107">
      <c r="A107" s="2" t="inlineStr">
        <is>
          <t>veraPDF</t>
        </is>
      </c>
      <c r="B107" s="2" t="inlineStr">
        <is>
          <t>Open Preservation Foundation
PDF Association
Dual Labs</t>
        </is>
      </c>
      <c r="C107" s="3" t="n">
        <v>50</v>
      </c>
      <c r="D107" s="4" t="n"/>
      <c r="E107" s="3">
        <f>IF(ISNUMBER(D107),D107,C107)</f>
        <v/>
      </c>
      <c r="F107" s="3" t="inlineStr">
        <is>
          <t>Enter 0, 50, or 100 only when correcting the provisional text coding.</t>
        </is>
      </c>
    </row>
    <row r="108">
      <c r="A108" s="2" t="inlineStr">
        <is>
          <t>ViPER</t>
        </is>
      </c>
      <c r="B108" s="2" t="inlineStr">
        <is>
          <t>Artefactual</t>
        </is>
      </c>
      <c r="C108" s="3" t="n">
        <v>50</v>
      </c>
      <c r="D108" s="4" t="n"/>
      <c r="E108" s="3">
        <f>IF(ISNUMBER(D108),D108,C108)</f>
        <v/>
      </c>
      <c r="F108" s="3" t="inlineStr">
        <is>
          <t>Enter 0, 50, or 100 only when correcting the provisional text coding.</t>
        </is>
      </c>
    </row>
    <row r="109">
      <c r="A109" s="2" t="inlineStr">
        <is>
          <t>Vireo ETD</t>
        </is>
      </c>
      <c r="B109" s="2" t="inlineStr">
        <is>
          <t>Texas Digital Library
Vireo User Group Steering Committee</t>
        </is>
      </c>
      <c r="C109" s="3" t="n">
        <v>50</v>
      </c>
      <c r="D109" s="4" t="n"/>
      <c r="E109" s="3">
        <f>IF(ISNUMBER(D109),D109,C109)</f>
        <v/>
      </c>
      <c r="F109" s="3" t="inlineStr">
        <is>
          <t>Enter 0, 50, or 100 only when correcting the provisional text coding.</t>
        </is>
      </c>
    </row>
    <row r="110">
      <c r="A110" s="2" t="inlineStr">
        <is>
          <t>VIVO</t>
        </is>
      </c>
      <c r="B110" s="2" t="inlineStr">
        <is>
          <t>Lyrasis serves as the organizational home for VIVO.
Multiple research institutions and universities across the world are involved in the governance of VIVO.</t>
        </is>
      </c>
      <c r="C110" s="3" t="n">
        <v>100</v>
      </c>
      <c r="D110" s="4" t="n"/>
      <c r="E110" s="3">
        <f>IF(ISNUMBER(D110),D110,C110)</f>
        <v/>
      </c>
      <c r="F110" s="3" t="inlineStr">
        <is>
          <t>Enter 0, 50, or 100 only when correcting the provisional text coding.</t>
        </is>
      </c>
    </row>
    <row r="111">
      <c r="A111" s="2" t="inlineStr">
        <is>
          <t>VuFind®</t>
        </is>
      </c>
      <c r="B111" s="2" t="n"/>
      <c r="C111" s="3" t="n">
        <v>0</v>
      </c>
      <c r="D111" s="4" t="n"/>
      <c r="E111" s="3">
        <f>IF(ISNUMBER(D111),D111,C111)</f>
        <v/>
      </c>
      <c r="F111" s="3" t="inlineStr">
        <is>
          <t>Enter 0, 50, or 100 only when correcting the provisional text coding.</t>
        </is>
      </c>
    </row>
    <row r="112">
      <c r="A112" s="2" t="inlineStr">
        <is>
          <t>Zenodo</t>
        </is>
      </c>
      <c r="B112" s="2" t="n"/>
      <c r="C112" s="3" t="n">
        <v>0</v>
      </c>
      <c r="D112" s="4" t="n"/>
      <c r="E112" s="3">
        <f>IF(ISNUMBER(D112),D112,C112)</f>
        <v/>
      </c>
      <c r="F112" s="3" t="inlineStr">
        <is>
          <t>Enter 0, 50, or 100 only when correcting the provisional text coding.</t>
        </is>
      </c>
    </row>
    <row r="113">
      <c r="A113" s="2" t="inlineStr">
        <is>
          <t>Zotero</t>
        </is>
      </c>
      <c r="B113" s="2" t="inlineStr">
        <is>
          <t>No affiliations</t>
        </is>
      </c>
      <c r="C113" s="3" t="n">
        <v>0</v>
      </c>
      <c r="D113" s="4" t="n"/>
      <c r="E113" s="3">
        <f>IF(ISNUMBER(D113),D113,C113)</f>
        <v/>
      </c>
      <c r="F113" s="3" t="inlineStr">
        <is>
          <t>Enter 0, 50, or 100 only when correcting the provisional text coding.</t>
        </is>
      </c>
    </row>
  </sheetData>
  <autoFilter ref="A1:F113"/>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66" customWidth="1" min="4" max="4"/>
    <col width="18" customWidth="1" min="5" max="5"/>
    <col width="18" customWidth="1" min="6" max="6"/>
    <col width="58" customWidth="1" min="7" max="7"/>
  </cols>
  <sheetData>
    <row r="1" ht="32" customHeight="1">
      <c r="A1" s="1" t="inlineStr">
        <is>
          <t>Service</t>
        </is>
      </c>
      <c r="B1" s="1" t="inlineStr">
        <is>
          <t>Raw 058 affiliation text</t>
        </is>
      </c>
      <c r="C1" s="1" t="inlineStr">
        <is>
          <t>Provisional score</t>
        </is>
      </c>
      <c r="D1" s="1" t="inlineStr">
        <is>
          <t>Coding rationale</t>
        </is>
      </c>
      <c r="E1" s="1" t="inlineStr">
        <is>
          <t>Override score</t>
        </is>
      </c>
      <c r="F1" s="1" t="inlineStr">
        <is>
          <t>Final score</t>
        </is>
      </c>
      <c r="G1" s="1" t="inlineStr">
        <is>
          <t>Review note</t>
        </is>
      </c>
    </row>
    <row r="2">
      <c r="A2" s="2" t="inlineStr">
        <is>
          <t>2i2c</t>
        </is>
      </c>
      <c r="B2" s="2" t="n"/>
      <c r="C2" s="3" t="n">
        <v>0</v>
      </c>
      <c r="D2" s="2" t="inlineStr">
        <is>
          <t>Blank: zero under the agreed unavailable-data rule</t>
        </is>
      </c>
      <c r="E2" s="3" t="n"/>
      <c r="F2" s="3">
        <f>Verification!E2</f>
        <v/>
      </c>
      <c r="G2" s="2" t="inlineStr">
        <is>
          <t>Use the override in Verification; this sheet mirrors the active score.</t>
        </is>
      </c>
    </row>
    <row r="3">
      <c r="A3" s="2" t="inlineStr">
        <is>
          <t>Academic Preservation Trust (APTrust)</t>
        </is>
      </c>
      <c r="B3" s="2" t="inlineStr">
        <is>
          <t>University of Virginia</t>
        </is>
      </c>
      <c r="C3" s="3" t="n">
        <v>50</v>
      </c>
      <c r="D3" s="2" t="inlineStr">
        <is>
          <t>Substantive affiliation or membership reported; level of operational support not established</t>
        </is>
      </c>
      <c r="E3" s="3" t="n"/>
      <c r="F3" s="3">
        <f>Verification!E3</f>
        <v/>
      </c>
      <c r="G3" s="2" t="inlineStr">
        <is>
          <t>Use the override in Verification; this sheet mirrors the active score.</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2" t="inlineStr">
        <is>
          <t>Explicit host or operational/financial support language</t>
        </is>
      </c>
      <c r="E4" s="3" t="n"/>
      <c r="F4" s="3">
        <f>Verification!E4</f>
        <v/>
      </c>
      <c r="G4" s="2" t="inlineStr">
        <is>
          <t>Use the override in Verification; this sheet mirrors the active score.</t>
        </is>
      </c>
    </row>
    <row r="5">
      <c r="A5" s="2" t="inlineStr">
        <is>
          <t>Arches Heritage Data Management Platform</t>
        </is>
      </c>
      <c r="B5" s="2" t="inlineStr">
        <is>
          <t>Getty Conservation Institute
Farallon Geographics</t>
        </is>
      </c>
      <c r="C5" s="3" t="n">
        <v>50</v>
      </c>
      <c r="D5" s="2" t="inlineStr">
        <is>
          <t>Substantive affiliation or membership reported; level of operational support not established</t>
        </is>
      </c>
      <c r="E5" s="3" t="n"/>
      <c r="F5" s="3">
        <f>Verification!E5</f>
        <v/>
      </c>
      <c r="G5" s="2" t="inlineStr">
        <is>
          <t>Use the override in Verification; this sheet mirrors the active score.</t>
        </is>
      </c>
    </row>
    <row r="6">
      <c r="A6" s="2" t="inlineStr">
        <is>
          <t>Archipelago Commons</t>
        </is>
      </c>
      <c r="B6" s="2" t="n"/>
      <c r="C6" s="3" t="n">
        <v>0</v>
      </c>
      <c r="D6" s="2" t="inlineStr">
        <is>
          <t>Blank: zero under the agreed unavailable-data rule</t>
        </is>
      </c>
      <c r="E6" s="3" t="n"/>
      <c r="F6" s="3">
        <f>Verification!E6</f>
        <v/>
      </c>
      <c r="G6" s="2" t="inlineStr">
        <is>
          <t>Use the override in Verification; this sheet mirrors the active score.</t>
        </is>
      </c>
    </row>
    <row r="7">
      <c r="A7" s="2" t="inlineStr">
        <is>
          <t>Archival Resource Key</t>
        </is>
      </c>
      <c r="B7" s="2" t="n"/>
      <c r="C7" s="3" t="n">
        <v>0</v>
      </c>
      <c r="D7" s="2" t="inlineStr">
        <is>
          <t>Blank: zero under the agreed unavailable-data rule</t>
        </is>
      </c>
      <c r="E7" s="3" t="n"/>
      <c r="F7" s="3">
        <f>Verification!E7</f>
        <v/>
      </c>
      <c r="G7" s="2" t="inlineStr">
        <is>
          <t>Use the override in Verification; this sheet mirrors the active score.</t>
        </is>
      </c>
    </row>
    <row r="8">
      <c r="A8" s="2" t="inlineStr">
        <is>
          <t>Archivematica</t>
        </is>
      </c>
      <c r="B8" s="2" t="inlineStr">
        <is>
          <t>No Affiliations</t>
        </is>
      </c>
      <c r="C8" s="3" t="n">
        <v>0</v>
      </c>
      <c r="D8" s="2" t="inlineStr">
        <is>
          <t>Explicit absence or placeholder</t>
        </is>
      </c>
      <c r="E8" s="3" t="n"/>
      <c r="F8" s="3">
        <f>Verification!E8</f>
        <v/>
      </c>
      <c r="G8" s="2" t="inlineStr">
        <is>
          <t>Use the override in Verification; this sheet mirrors the active score.</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2" t="inlineStr">
        <is>
          <t>Explicit host or operational/financial support language</t>
        </is>
      </c>
      <c r="E9" s="3" t="n"/>
      <c r="F9" s="3">
        <f>Verification!E9</f>
        <v/>
      </c>
      <c r="G9" s="2" t="inlineStr">
        <is>
          <t>Use the override in Verification; this sheet mirrors the active score.</t>
        </is>
      </c>
    </row>
    <row r="10">
      <c r="A10" s="2" t="inlineStr">
        <is>
          <t>ARGOS</t>
        </is>
      </c>
      <c r="B10" s="2" t="inlineStr">
        <is>
          <t>Athena Research Center (ARC)
Communication &amp; Information Technologies Experts (CITE)</t>
        </is>
      </c>
      <c r="C10" s="3" t="n">
        <v>50</v>
      </c>
      <c r="D10" s="2" t="inlineStr">
        <is>
          <t>Substantive affiliation or membership reported; level of operational support not established</t>
        </is>
      </c>
      <c r="E10" s="3" t="n"/>
      <c r="F10" s="3">
        <f>Verification!E10</f>
        <v/>
      </c>
      <c r="G10" s="2" t="inlineStr">
        <is>
          <t>Use the override in Verification; this sheet mirrors the active score.</t>
        </is>
      </c>
    </row>
    <row r="11">
      <c r="A11" s="2" t="inlineStr">
        <is>
          <t>arXiv</t>
        </is>
      </c>
      <c r="B11" s="2" t="n"/>
      <c r="C11" s="3" t="n">
        <v>0</v>
      </c>
      <c r="D11" s="2" t="inlineStr">
        <is>
          <t>Blank: zero under the agreed unavailable-data rule</t>
        </is>
      </c>
      <c r="E11" s="3" t="n"/>
      <c r="F11" s="3">
        <f>Verification!E11</f>
        <v/>
      </c>
      <c r="G11" s="2" t="inlineStr">
        <is>
          <t>Use the override in Verification; this sheet mirrors the active score.</t>
        </is>
      </c>
    </row>
    <row r="12">
      <c r="A12" s="2" t="inlineStr">
        <is>
          <t>AtoM</t>
        </is>
      </c>
      <c r="B12" s="2" t="inlineStr">
        <is>
          <t>No affiliations</t>
        </is>
      </c>
      <c r="C12" s="3" t="n">
        <v>0</v>
      </c>
      <c r="D12" s="2" t="inlineStr">
        <is>
          <t>Explicit absence or placeholder</t>
        </is>
      </c>
      <c r="E12" s="3" t="n"/>
      <c r="F12" s="3">
        <f>Verification!E12</f>
        <v/>
      </c>
      <c r="G12" s="2" t="inlineStr">
        <is>
          <t>Use the override in Verification; this sheet mirrors the active score.</t>
        </is>
      </c>
    </row>
    <row r="13">
      <c r="A13" s="2" t="inlineStr">
        <is>
          <t>Avalon Media System</t>
        </is>
      </c>
      <c r="B13" s="2" t="inlineStr">
        <is>
          <t>Indiana University Libraries</t>
        </is>
      </c>
      <c r="C13" s="3" t="n">
        <v>50</v>
      </c>
      <c r="D13" s="2" t="inlineStr">
        <is>
          <t>Substantive affiliation or membership reported; level of operational support not established</t>
        </is>
      </c>
      <c r="E13" s="3" t="n"/>
      <c r="F13" s="3">
        <f>Verification!E13</f>
        <v/>
      </c>
      <c r="G13" s="2" t="inlineStr">
        <is>
          <t>Use the override in Verification; this sheet mirrors the active score.</t>
        </is>
      </c>
    </row>
    <row r="14">
      <c r="A14" s="2" t="inlineStr">
        <is>
          <t>Biodiversity Heritage Library</t>
        </is>
      </c>
      <c r="B14" s="2" t="inlineStr">
        <is>
          <t>BHL’s fiscal sponsor is the Council on Library and Information Resources (CLIR).</t>
        </is>
      </c>
      <c r="C14" s="3" t="n">
        <v>100</v>
      </c>
      <c r="D14" s="2" t="inlineStr">
        <is>
          <t>Explicit host or operational/financial support language</t>
        </is>
      </c>
      <c r="E14" s="3" t="n"/>
      <c r="F14" s="3">
        <f>Verification!E14</f>
        <v/>
      </c>
      <c r="G14" s="2" t="inlineStr">
        <is>
          <t>Use the override in Verification; this sheet mirrors the active score.</t>
        </is>
      </c>
    </row>
    <row r="15">
      <c r="A15" s="2" t="inlineStr">
        <is>
          <t>bioRxiv</t>
        </is>
      </c>
      <c r="B15" s="2" t="n"/>
      <c r="C15" s="3" t="n">
        <v>0</v>
      </c>
      <c r="D15" s="2" t="inlineStr">
        <is>
          <t>Blank: zero under the agreed unavailable-data rule</t>
        </is>
      </c>
      <c r="E15" s="3" t="n"/>
      <c r="F15" s="3">
        <f>Verification!E15</f>
        <v/>
      </c>
      <c r="G15" s="2" t="inlineStr">
        <is>
          <t>Use the override in Verification; this sheet mirrors the active score.</t>
        </is>
      </c>
    </row>
    <row r="16">
      <c r="A16" s="2" t="inlineStr">
        <is>
          <t>BitCurator Environment</t>
        </is>
      </c>
      <c r="B16" s="2" t="inlineStr">
        <is>
          <t>BitCurator Consortium is administratively hosted by the Open Library Foundation.</t>
        </is>
      </c>
      <c r="C16" s="3" t="n">
        <v>100</v>
      </c>
      <c r="D16" s="2" t="inlineStr">
        <is>
          <t>Explicit host or operational/financial support language</t>
        </is>
      </c>
      <c r="E16" s="3" t="n"/>
      <c r="F16" s="3">
        <f>Verification!E16</f>
        <v/>
      </c>
      <c r="G16" s="2" t="inlineStr">
        <is>
          <t>Use the override in Verification; this sheet mirrors the active score.</t>
        </is>
      </c>
    </row>
    <row r="17">
      <c r="A17" s="2" t="inlineStr">
        <is>
          <t>Blacklight</t>
        </is>
      </c>
      <c r="B17" s="2" t="inlineStr">
        <is>
          <t>See website</t>
        </is>
      </c>
      <c r="C17" s="3" t="n">
        <v>0</v>
      </c>
      <c r="D17" s="2" t="inlineStr">
        <is>
          <t>Explicit absence or placeholder</t>
        </is>
      </c>
      <c r="E17" s="3" t="n"/>
      <c r="F17" s="3">
        <f>Verification!E17</f>
        <v/>
      </c>
      <c r="G17" s="2" t="inlineStr">
        <is>
          <t>Use the override in Verification; this sheet mirrors the active score.</t>
        </is>
      </c>
    </row>
    <row r="18">
      <c r="A18" s="2" t="inlineStr">
        <is>
          <t>BrCRIS</t>
        </is>
      </c>
      <c r="B18" s="2" t="n"/>
      <c r="C18" s="3" t="n">
        <v>0</v>
      </c>
      <c r="D18" s="2" t="inlineStr">
        <is>
          <t>Blank: zero under the agreed unavailable-data rule</t>
        </is>
      </c>
      <c r="E18" s="3" t="n"/>
      <c r="F18" s="3">
        <f>Verification!E18</f>
        <v/>
      </c>
      <c r="G18" s="2" t="inlineStr">
        <is>
          <t>Use the override in Verification; this sheet mirrors the active score.</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2" t="inlineStr">
        <is>
          <t>Substantive affiliation or membership reported; level of operational support not established</t>
        </is>
      </c>
      <c r="E19" s="3" t="n"/>
      <c r="F19" s="3">
        <f>Verification!E19</f>
        <v/>
      </c>
      <c r="G19" s="2" t="inlineStr">
        <is>
          <t>Use the override in Verification; this sheet mirrors the active score.</t>
        </is>
      </c>
    </row>
    <row r="20">
      <c r="A20" s="2" t="inlineStr">
        <is>
          <t>CLOCKSS</t>
        </is>
      </c>
      <c r="B20" s="2" t="inlineStr">
        <is>
          <t>n/a</t>
        </is>
      </c>
      <c r="C20" s="3" t="n">
        <v>0</v>
      </c>
      <c r="D20" s="2" t="inlineStr">
        <is>
          <t>Explicit absence or placeholder</t>
        </is>
      </c>
      <c r="E20" s="3" t="n"/>
      <c r="F20" s="3">
        <f>Verification!E20</f>
        <v/>
      </c>
      <c r="G20" s="2" t="inlineStr">
        <is>
          <t>Use the override in Verification; this sheet mirrors the active score.</t>
        </is>
      </c>
    </row>
    <row r="21">
      <c r="A21" s="2" t="inlineStr">
        <is>
          <t>COAR International Repository Directory (IRD)</t>
        </is>
      </c>
      <c r="B21" s="2" t="inlineStr">
        <is>
          <t>Responsible Organisations: https://ird.coar-repositories.org/about?lang=en</t>
        </is>
      </c>
      <c r="C21" s="3" t="n">
        <v>50</v>
      </c>
      <c r="D21" s="2" t="inlineStr">
        <is>
          <t>Substantive affiliation or membership reported; level of operational support not established</t>
        </is>
      </c>
      <c r="E21" s="3" t="n"/>
      <c r="F21" s="3">
        <f>Verification!E21</f>
        <v/>
      </c>
      <c r="G21" s="2" t="inlineStr">
        <is>
          <t>Use the override in Verification; this sheet mirrors the active score.</t>
        </is>
      </c>
    </row>
    <row r="22">
      <c r="A22" s="2" t="inlineStr">
        <is>
          <t>COAR Notify</t>
        </is>
      </c>
      <c r="B22" s="2" t="inlineStr">
        <is>
          <t>No affiliations.</t>
        </is>
      </c>
      <c r="C22" s="3" t="n">
        <v>0</v>
      </c>
      <c r="D22" s="2" t="inlineStr">
        <is>
          <t>Explicit absence or placeholder</t>
        </is>
      </c>
      <c r="E22" s="3" t="n"/>
      <c r="F22" s="3">
        <f>Verification!E22</f>
        <v/>
      </c>
      <c r="G22" s="2" t="inlineStr">
        <is>
          <t>Use the override in Verification; this sheet mirrors the active score.</t>
        </is>
      </c>
    </row>
    <row r="23">
      <c r="A23" s="2" t="inlineStr">
        <is>
          <t>CollectiveAccess</t>
        </is>
      </c>
      <c r="B23" s="2" t="inlineStr">
        <is>
          <t>No affiliations</t>
        </is>
      </c>
      <c r="C23" s="3" t="n">
        <v>0</v>
      </c>
      <c r="D23" s="2" t="inlineStr">
        <is>
          <t>Explicit absence or placeholder</t>
        </is>
      </c>
      <c r="E23" s="3" t="n"/>
      <c r="F23" s="3">
        <f>Verification!E23</f>
        <v/>
      </c>
      <c r="G23" s="2" t="inlineStr">
        <is>
          <t>Use the override in Verification; this sheet mirrors the active score.</t>
        </is>
      </c>
    </row>
    <row r="24">
      <c r="A24" s="2" t="inlineStr">
        <is>
          <t>CORE</t>
        </is>
      </c>
      <c r="B24" s="2" t="n"/>
      <c r="C24" s="3" t="n">
        <v>0</v>
      </c>
      <c r="D24" s="2" t="inlineStr">
        <is>
          <t>Blank: zero under the agreed unavailable-data rule</t>
        </is>
      </c>
      <c r="E24" s="3" t="n"/>
      <c r="F24" s="3">
        <f>Verification!E24</f>
        <v/>
      </c>
      <c r="G24" s="2" t="inlineStr">
        <is>
          <t>Use the override in Verification; this sheet mirrors the active score.</t>
        </is>
      </c>
    </row>
    <row r="25">
      <c r="A25" s="2" t="inlineStr">
        <is>
          <t>COUNTER Code of Practice</t>
        </is>
      </c>
      <c r="B25" s="2" t="n"/>
      <c r="C25" s="3" t="n">
        <v>0</v>
      </c>
      <c r="D25" s="2" t="inlineStr">
        <is>
          <t>Blank: zero under the agreed unavailable-data rule</t>
        </is>
      </c>
      <c r="E25" s="3" t="n"/>
      <c r="F25" s="3">
        <f>Verification!E25</f>
        <v/>
      </c>
      <c r="G25" s="2" t="inlineStr">
        <is>
          <t>Use the override in Verification; this sheet mirrors the active score.</t>
        </is>
      </c>
    </row>
    <row r="26">
      <c r="A26" s="2" t="inlineStr">
        <is>
          <t>Creative Commons Licenses</t>
        </is>
      </c>
      <c r="B26" s="2" t="n"/>
      <c r="C26" s="3" t="n">
        <v>0</v>
      </c>
      <c r="D26" s="2" t="inlineStr">
        <is>
          <t>Blank: zero under the agreed unavailable-data rule</t>
        </is>
      </c>
      <c r="E26" s="3" t="n"/>
      <c r="F26" s="3">
        <f>Verification!E26</f>
        <v/>
      </c>
      <c r="G26" s="2" t="inlineStr">
        <is>
          <t>Use the override in Verification; this sheet mirrors the active score.</t>
        </is>
      </c>
    </row>
    <row r="27">
      <c r="A27" s="2" t="inlineStr">
        <is>
          <t>Crossref Metadata Retrieval</t>
        </is>
      </c>
      <c r="B27" s="2" t="n"/>
      <c r="C27" s="3" t="n">
        <v>0</v>
      </c>
      <c r="D27" s="2" t="inlineStr">
        <is>
          <t>Blank: zero under the agreed unavailable-data rule</t>
        </is>
      </c>
      <c r="E27" s="3" t="n"/>
      <c r="F27" s="3">
        <f>Verification!E27</f>
        <v/>
      </c>
      <c r="G27" s="2" t="inlineStr">
        <is>
          <t>Use the override in Verification; this sheet mirrors the active score.</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2" t="inlineStr">
        <is>
          <t>Explicit host or operational/financial support language</t>
        </is>
      </c>
      <c r="E28" s="3" t="n"/>
      <c r="F28" s="3">
        <f>Verification!E28</f>
        <v/>
      </c>
      <c r="G28" s="2" t="inlineStr">
        <is>
          <t>Use the override in Verification; this sheet mirrors the active score.</t>
        </is>
      </c>
    </row>
    <row r="29">
      <c r="A29" s="2" t="inlineStr">
        <is>
          <t>DART (Digital Archivist's Resource Tool)</t>
        </is>
      </c>
      <c r="B29" s="2" t="inlineStr">
        <is>
          <t>University of Virginia</t>
        </is>
      </c>
      <c r="C29" s="3" t="n">
        <v>50</v>
      </c>
      <c r="D29" s="2" t="inlineStr">
        <is>
          <t>Substantive affiliation or membership reported; level of operational support not established</t>
        </is>
      </c>
      <c r="E29" s="3" t="n"/>
      <c r="F29" s="3">
        <f>Verification!E29</f>
        <v/>
      </c>
      <c r="G29" s="2" t="inlineStr">
        <is>
          <t>Use the override in Verification; this sheet mirrors the active score.</t>
        </is>
      </c>
    </row>
    <row r="30">
      <c r="A30" s="2" t="inlineStr">
        <is>
          <t>Database Information System</t>
        </is>
      </c>
      <c r="B30" s="2" t="inlineStr">
        <is>
          <t>DBIS is operated by the University Library of Regensburg.</t>
        </is>
      </c>
      <c r="C30" s="3" t="n">
        <v>50</v>
      </c>
      <c r="D30" s="2" t="inlineStr">
        <is>
          <t>Substantive affiliation or membership reported; level of operational support not established</t>
        </is>
      </c>
      <c r="E30" s="3" t="n"/>
      <c r="F30" s="3">
        <f>Verification!E30</f>
        <v/>
      </c>
      <c r="G30" s="2" t="inlineStr">
        <is>
          <t>Use the override in Verification; this sheet mirrors the active score.</t>
        </is>
      </c>
    </row>
    <row r="31">
      <c r="A31" s="2" t="inlineStr">
        <is>
          <t>Data Citation Corpus</t>
        </is>
      </c>
      <c r="B31" s="2" t="inlineStr">
        <is>
          <t>DataCite leads the development of the Data Citation Corpus as part of Make Data Count activities.</t>
        </is>
      </c>
      <c r="C31" s="3" t="n">
        <v>50</v>
      </c>
      <c r="D31" s="2" t="inlineStr">
        <is>
          <t>Substantive affiliation or membership reported; level of operational support not established</t>
        </is>
      </c>
      <c r="E31" s="3" t="n"/>
      <c r="F31" s="3">
        <f>Verification!E31</f>
        <v/>
      </c>
      <c r="G31" s="2" t="inlineStr">
        <is>
          <t>Use the override in Verification; this sheet mirrors the active score.</t>
        </is>
      </c>
    </row>
    <row r="32">
      <c r="A32" s="2" t="inlineStr">
        <is>
          <t>DataCite</t>
        </is>
      </c>
      <c r="B32" s="2" t="n"/>
      <c r="C32" s="3" t="n">
        <v>0</v>
      </c>
      <c r="D32" s="2" t="inlineStr">
        <is>
          <t>Blank: zero under the agreed unavailable-data rule</t>
        </is>
      </c>
      <c r="E32" s="3" t="n"/>
      <c r="F32" s="3">
        <f>Verification!E32</f>
        <v/>
      </c>
      <c r="G32" s="2" t="inlineStr">
        <is>
          <t>Use the override in Verification; this sheet mirrors the active score.</t>
        </is>
      </c>
    </row>
    <row r="33">
      <c r="A33" s="2" t="inlineStr">
        <is>
          <t>Data Stewardship Wizard</t>
        </is>
      </c>
      <c r="B33" s="2" t="inlineStr">
        <is>
          <t>Czech Technical University in Prague / ELIXIR-CZ
Codevence Solutions</t>
        </is>
      </c>
      <c r="C33" s="3" t="n">
        <v>50</v>
      </c>
      <c r="D33" s="2" t="inlineStr">
        <is>
          <t>Substantive affiliation or membership reported; level of operational support not established</t>
        </is>
      </c>
      <c r="E33" s="3" t="n"/>
      <c r="F33" s="3">
        <f>Verification!E33</f>
        <v/>
      </c>
      <c r="G33" s="2" t="inlineStr">
        <is>
          <t>Use the override in Verification; this sheet mirrors the active score.</t>
        </is>
      </c>
    </row>
    <row r="34">
      <c r="A34" s="2" t="inlineStr">
        <is>
          <t>Dataverse</t>
        </is>
      </c>
      <c r="B34" s="2" t="n"/>
      <c r="C34" s="3" t="n">
        <v>0</v>
      </c>
      <c r="D34" s="2" t="inlineStr">
        <is>
          <t>Blank: zero under the agreed unavailable-data rule</t>
        </is>
      </c>
      <c r="E34" s="3" t="n"/>
      <c r="F34" s="3">
        <f>Verification!E34</f>
        <v/>
      </c>
      <c r="G34" s="2" t="inlineStr">
        <is>
          <t>Use the override in Verification; this sheet mirrors the active score.</t>
        </is>
      </c>
    </row>
    <row r="35">
      <c r="A35" s="2" t="inlineStr">
        <is>
          <t>DLCM Backend</t>
        </is>
      </c>
      <c r="B35" s="2" t="inlineStr">
        <is>
          <t>University of Geneva (https://www.unige.ch/)
HEG, HES-SO (https://www.hesge.ch/heg/en)
UNIFR (https://www.unifr.ch/home/en/)
BFH (https://www.bfh.ch/en/)
OLOS (https://olos.swiss/)</t>
        </is>
      </c>
      <c r="C35" s="3" t="n">
        <v>50</v>
      </c>
      <c r="D35" s="2" t="inlineStr">
        <is>
          <t>Substantive affiliation or membership reported; level of operational support not established</t>
        </is>
      </c>
      <c r="E35" s="3" t="n"/>
      <c r="F35" s="3">
        <f>Verification!E35</f>
        <v/>
      </c>
      <c r="G35" s="2" t="inlineStr">
        <is>
          <t>Use the override in Verification; this sheet mirrors the active score.</t>
        </is>
      </c>
    </row>
    <row r="36">
      <c r="A36" s="2" t="inlineStr">
        <is>
          <t>DLCM Portal</t>
        </is>
      </c>
      <c r="B36" s="2" t="inlineStr">
        <is>
          <t>University of Geneva (https://www.unige.ch/)HEG, HES-SO (https://www.hesge.ch/heg/en)UNIFR (https://www.unifr.ch/home/en/)BFH (https://www.bfh.ch/en/)OLOS (https://olos.swiss/)</t>
        </is>
      </c>
      <c r="C36" s="3" t="n">
        <v>50</v>
      </c>
      <c r="D36" s="2" t="inlineStr">
        <is>
          <t>Substantive affiliation or membership reported; level of operational support not established</t>
        </is>
      </c>
      <c r="E36" s="3" t="n"/>
      <c r="F36" s="3">
        <f>Verification!E36</f>
        <v/>
      </c>
      <c r="G36" s="2" t="inlineStr">
        <is>
          <t>Use the override in Verification; this sheet mirrors the active score.</t>
        </is>
      </c>
    </row>
    <row r="37">
      <c r="A37" s="2" t="inlineStr">
        <is>
          <t>DMP Tool</t>
        </is>
      </c>
      <c r="B37" s="2" t="n"/>
      <c r="C37" s="3" t="n">
        <v>0</v>
      </c>
      <c r="D37" s="2" t="inlineStr">
        <is>
          <t>Blank: zero under the agreed unavailable-data rule</t>
        </is>
      </c>
      <c r="E37" s="3" t="n"/>
      <c r="F37" s="3">
        <f>Verification!E37</f>
        <v/>
      </c>
      <c r="G37" s="2" t="inlineStr">
        <is>
          <t>Use the override in Verification; this sheet mirrors the active score.</t>
        </is>
      </c>
    </row>
    <row r="38">
      <c r="A38" s="2" t="inlineStr">
        <is>
          <t>DOAJ (Directory of Open Access Journals)</t>
        </is>
      </c>
      <c r="B38" s="2" t="n"/>
      <c r="C38" s="3" t="n">
        <v>0</v>
      </c>
      <c r="D38" s="2" t="inlineStr">
        <is>
          <t>Blank: zero under the agreed unavailable-data rule</t>
        </is>
      </c>
      <c r="E38" s="3" t="n"/>
      <c r="F38" s="3">
        <f>Verification!E38</f>
        <v/>
      </c>
      <c r="G38" s="2" t="inlineStr">
        <is>
          <t>Use the override in Verification; this sheet mirrors the active score.</t>
        </is>
      </c>
    </row>
    <row r="39">
      <c r="A39" s="2" t="inlineStr">
        <is>
          <t>dokieli</t>
        </is>
      </c>
      <c r="B39" s="2" t="n"/>
      <c r="C39" s="3" t="n">
        <v>0</v>
      </c>
      <c r="D39" s="2" t="inlineStr">
        <is>
          <t>Blank: zero under the agreed unavailable-data rule</t>
        </is>
      </c>
      <c r="E39" s="3" t="n"/>
      <c r="F39" s="3">
        <f>Verification!E39</f>
        <v/>
      </c>
      <c r="G39" s="2" t="inlineStr">
        <is>
          <t>Use the override in Verification; this sheet mirrors the active score.</t>
        </is>
      </c>
    </row>
    <row r="40">
      <c r="A40" s="2" t="inlineStr">
        <is>
          <t>Dryad</t>
        </is>
      </c>
      <c r="B40" s="2" t="n"/>
      <c r="C40" s="3" t="n">
        <v>0</v>
      </c>
      <c r="D40" s="2" t="inlineStr">
        <is>
          <t>Blank: zero under the agreed unavailable-data rule</t>
        </is>
      </c>
      <c r="E40" s="3" t="n"/>
      <c r="F40" s="3">
        <f>Verification!E40</f>
        <v/>
      </c>
      <c r="G40" s="2" t="inlineStr">
        <is>
          <t>Use the override in Verification; this sheet mirrors the active score.</t>
        </is>
      </c>
    </row>
    <row r="41">
      <c r="A41" s="2" t="inlineStr">
        <is>
          <t>DSpace</t>
        </is>
      </c>
      <c r="B41" s="2" t="n"/>
      <c r="C41" s="3" t="n">
        <v>0</v>
      </c>
      <c r="D41" s="2" t="inlineStr">
        <is>
          <t>Blank: zero under the agreed unavailable-data rule</t>
        </is>
      </c>
      <c r="E41" s="3" t="n"/>
      <c r="F41" s="3">
        <f>Verification!E41</f>
        <v/>
      </c>
      <c r="G41" s="2" t="inlineStr">
        <is>
          <t>Use the override in Verification; this sheet mirrors the active score.</t>
        </is>
      </c>
    </row>
    <row r="42">
      <c r="A42" s="2" t="inlineStr">
        <is>
          <t>DuraCloud</t>
        </is>
      </c>
      <c r="B42" s="2" t="inlineStr">
        <is>
          <t>N/A</t>
        </is>
      </c>
      <c r="C42" s="3" t="n">
        <v>0</v>
      </c>
      <c r="D42" s="2" t="inlineStr">
        <is>
          <t>Explicit absence or placeholder</t>
        </is>
      </c>
      <c r="E42" s="3" t="n"/>
      <c r="F42" s="3">
        <f>Verification!E42</f>
        <v/>
      </c>
      <c r="G42" s="2" t="inlineStr">
        <is>
          <t>Use the override in Verification; this sheet mirrors the active score.</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2" t="inlineStr">
        <is>
          <t>Substantive affiliation or membership reported; level of operational support not established</t>
        </is>
      </c>
      <c r="E43" s="3" t="n"/>
      <c r="F43" s="3">
        <f>Verification!E43</f>
        <v/>
      </c>
      <c r="G43" s="2" t="inlineStr">
        <is>
          <t>Use the override in Verification; this sheet mirrors the active score.</t>
        </is>
      </c>
    </row>
    <row r="44">
      <c r="A44" s="2" t="inlineStr">
        <is>
          <t>EPrints</t>
        </is>
      </c>
      <c r="B44" s="2" t="inlineStr">
        <is>
          <t>ECS Partners Ltd</t>
        </is>
      </c>
      <c r="C44" s="3" t="n">
        <v>50</v>
      </c>
      <c r="D44" s="2" t="inlineStr">
        <is>
          <t>Substantive affiliation or membership reported; level of operational support not established</t>
        </is>
      </c>
      <c r="E44" s="3" t="n"/>
      <c r="F44" s="3">
        <f>Verification!E44</f>
        <v/>
      </c>
      <c r="G44" s="2" t="inlineStr">
        <is>
          <t>Use the override in Verification; this sheet mirrors the active score.</t>
        </is>
      </c>
    </row>
    <row r="45">
      <c r="A45" s="2" t="inlineStr">
        <is>
          <t>Érudit</t>
        </is>
      </c>
      <c r="B45" s="2" t="n"/>
      <c r="C45" s="3" t="n">
        <v>0</v>
      </c>
      <c r="D45" s="2" t="inlineStr">
        <is>
          <t>Blank: zero under the agreed unavailable-data rule</t>
        </is>
      </c>
      <c r="E45" s="3" t="n"/>
      <c r="F45" s="3">
        <f>Verification!E45</f>
        <v/>
      </c>
      <c r="G45" s="2" t="inlineStr">
        <is>
          <t>Use the override in Verification; this sheet mirrors the active score.</t>
        </is>
      </c>
    </row>
    <row r="46">
      <c r="A46" s="2" t="inlineStr">
        <is>
          <t>Europe PMC</t>
        </is>
      </c>
      <c r="B46" s="2" t="n"/>
      <c r="C46" s="3" t="n">
        <v>0</v>
      </c>
      <c r="D46" s="2" t="inlineStr">
        <is>
          <t>Blank: zero under the agreed unavailable-data rule</t>
        </is>
      </c>
      <c r="E46" s="3" t="n"/>
      <c r="F46" s="3">
        <f>Verification!E46</f>
        <v/>
      </c>
      <c r="G46" s="2" t="inlineStr">
        <is>
          <t>Use the override in Verification; this sheet mirrors the active score.</t>
        </is>
      </c>
    </row>
    <row r="47">
      <c r="A47" s="2" t="inlineStr">
        <is>
          <t>FAIR Wizard</t>
        </is>
      </c>
      <c r="B47" s="2" t="inlineStr">
        <is>
          <t>Codevence Solutions s.r.o.</t>
        </is>
      </c>
      <c r="C47" s="3" t="n">
        <v>50</v>
      </c>
      <c r="D47" s="2" t="inlineStr">
        <is>
          <t>Substantive affiliation or membership reported; level of operational support not established</t>
        </is>
      </c>
      <c r="E47" s="3" t="n"/>
      <c r="F47" s="3">
        <f>Verification!E47</f>
        <v/>
      </c>
      <c r="G47" s="2" t="inlineStr">
        <is>
          <t>Use the override in Verification; this sheet mirrors the active score.</t>
        </is>
      </c>
    </row>
    <row r="48">
      <c r="A48" s="2" t="inlineStr">
        <is>
          <t>Fedora</t>
        </is>
      </c>
      <c r="B48" s="2" t="n"/>
      <c r="C48" s="3" t="n">
        <v>0</v>
      </c>
      <c r="D48" s="2" t="inlineStr">
        <is>
          <t>Blank: zero under the agreed unavailable-data rule</t>
        </is>
      </c>
      <c r="E48" s="3" t="n"/>
      <c r="F48" s="3">
        <f>Verification!E48</f>
        <v/>
      </c>
      <c r="G48" s="2" t="inlineStr">
        <is>
          <t>Use the override in Verification; this sheet mirrors the active score.</t>
        </is>
      </c>
    </row>
    <row r="49">
      <c r="A49" s="2" t="inlineStr">
        <is>
          <t>fido</t>
        </is>
      </c>
      <c r="B49" s="2" t="inlineStr">
        <is>
          <t>Artefactual</t>
        </is>
      </c>
      <c r="C49" s="3" t="n">
        <v>50</v>
      </c>
      <c r="D49" s="2" t="inlineStr">
        <is>
          <t>Substantive affiliation or membership reported; level of operational support not established</t>
        </is>
      </c>
      <c r="E49" s="3" t="n"/>
      <c r="F49" s="3">
        <f>Verification!E49</f>
        <v/>
      </c>
      <c r="G49" s="2" t="inlineStr">
        <is>
          <t>Use the override in Verification; this sheet mirrors the active score.</t>
        </is>
      </c>
    </row>
    <row r="50">
      <c r="A50" s="2" t="inlineStr">
        <is>
          <t>Fulcrum</t>
        </is>
      </c>
      <c r="B50" s="2" t="n"/>
      <c r="C50" s="3" t="n">
        <v>0</v>
      </c>
      <c r="D50" s="2" t="inlineStr">
        <is>
          <t>Blank: zero under the agreed unavailable-data rule</t>
        </is>
      </c>
      <c r="E50" s="3" t="n"/>
      <c r="F50" s="3">
        <f>Verification!E50</f>
        <v/>
      </c>
      <c r="G50" s="2" t="inlineStr">
        <is>
          <t>Use the override in Verification; this sheet mirrors the active score.</t>
        </is>
      </c>
    </row>
    <row r="51">
      <c r="A51" s="2" t="inlineStr">
        <is>
          <t>Galaxy</t>
        </is>
      </c>
      <c r="B51" s="2" t="inlineStr">
        <is>
          <t>It's an open source project with many affiliations.</t>
        </is>
      </c>
      <c r="C51" s="3" t="n">
        <v>50</v>
      </c>
      <c r="D51" s="2" t="inlineStr">
        <is>
          <t>Substantive affiliation or membership reported; level of operational support not established</t>
        </is>
      </c>
      <c r="E51" s="3" t="n"/>
      <c r="F51" s="3">
        <f>Verification!E51</f>
        <v/>
      </c>
      <c r="G51" s="2" t="inlineStr">
        <is>
          <t>Use the override in Verification; this sheet mirrors the active score.</t>
        </is>
      </c>
    </row>
    <row r="52">
      <c r="A52" s="2" t="inlineStr">
        <is>
          <t>GeoServer</t>
        </is>
      </c>
      <c r="B52" s="2" t="inlineStr">
        <is>
          <t>https://www.osgeo.org
https://www.geosolutionsgroup.com/
https://www.afrigis.co.za/
https://www.geocat.net/
https://camptocamp.com/</t>
        </is>
      </c>
      <c r="C52" s="3" t="n">
        <v>50</v>
      </c>
      <c r="D52" s="2" t="inlineStr">
        <is>
          <t>Substantive affiliation or membership reported; level of operational support not established</t>
        </is>
      </c>
      <c r="E52" s="3" t="n"/>
      <c r="F52" s="3">
        <f>Verification!E52</f>
        <v/>
      </c>
      <c r="G52" s="2" t="inlineStr">
        <is>
          <t>Use the override in Verification; this sheet mirrors the active score.</t>
        </is>
      </c>
    </row>
    <row r="53">
      <c r="A53" s="2" t="inlineStr">
        <is>
          <t>Hyku</t>
        </is>
      </c>
      <c r="B53" s="2" t="n"/>
      <c r="C53" s="3" t="n">
        <v>0</v>
      </c>
      <c r="D53" s="2" t="inlineStr">
        <is>
          <t>Blank: zero under the agreed unavailable-data rule</t>
        </is>
      </c>
      <c r="E53" s="3" t="n"/>
      <c r="F53" s="3">
        <f>Verification!E53</f>
        <v/>
      </c>
      <c r="G53" s="2" t="inlineStr">
        <is>
          <t>Use the override in Verification; this sheet mirrors the active score.</t>
        </is>
      </c>
    </row>
    <row r="54">
      <c r="A54" s="2" t="inlineStr">
        <is>
          <t>Hyrax</t>
        </is>
      </c>
      <c r="B54" s="2" t="inlineStr">
        <is>
          <t>No affiliations</t>
        </is>
      </c>
      <c r="C54" s="3" t="n">
        <v>0</v>
      </c>
      <c r="D54" s="2" t="inlineStr">
        <is>
          <t>Explicit absence or placeholder</t>
        </is>
      </c>
      <c r="E54" s="3" t="n"/>
      <c r="F54" s="3">
        <f>Verification!E54</f>
        <v/>
      </c>
      <c r="G54" s="2" t="inlineStr">
        <is>
          <t>Use the override in Verification; this sheet mirrors the active score.</t>
        </is>
      </c>
    </row>
    <row r="55">
      <c r="A55" s="2" t="inlineStr">
        <is>
          <t>IIIF</t>
        </is>
      </c>
      <c r="B55" s="2" t="n"/>
      <c r="C55" s="3" t="n">
        <v>0</v>
      </c>
      <c r="D55" s="2" t="inlineStr">
        <is>
          <t>Blank: zero under the agreed unavailable-data rule</t>
        </is>
      </c>
      <c r="E55" s="3" t="n"/>
      <c r="F55" s="3">
        <f>Verification!E55</f>
        <v/>
      </c>
      <c r="G55" s="2" t="inlineStr">
        <is>
          <t>Use the override in Verification; this sheet mirrors the active score.</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2" t="inlineStr">
        <is>
          <t>Substantive affiliation or membership reported; level of operational support not established</t>
        </is>
      </c>
      <c r="E56" s="3" t="n"/>
      <c r="F56" s="3">
        <f>Verification!E56</f>
        <v/>
      </c>
      <c r="G56" s="2" t="inlineStr">
        <is>
          <t>Use the override in Verification; this sheet mirrors the active score.</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2" t="inlineStr">
        <is>
          <t>Substantive affiliation or membership reported; level of operational support not established</t>
        </is>
      </c>
      <c r="E57" s="3" t="n"/>
      <c r="F57" s="3">
        <f>Verification!E57</f>
        <v/>
      </c>
      <c r="G57" s="2" t="inlineStr">
        <is>
          <t>Use the override in Verification; this sheet mirrors the active score.</t>
        </is>
      </c>
    </row>
    <row r="58">
      <c r="A58" s="2" t="inlineStr">
        <is>
          <t>InvenioRDM</t>
        </is>
      </c>
      <c r="B58" s="2" t="n"/>
      <c r="C58" s="3" t="n">
        <v>0</v>
      </c>
      <c r="D58" s="2" t="inlineStr">
        <is>
          <t>Blank: zero under the agreed unavailable-data rule</t>
        </is>
      </c>
      <c r="E58" s="3" t="n"/>
      <c r="F58" s="3">
        <f>Verification!E58</f>
        <v/>
      </c>
      <c r="G58" s="2" t="inlineStr">
        <is>
          <t>Use the override in Verification; this sheet mirrors the active score.</t>
        </is>
      </c>
    </row>
    <row r="59">
      <c r="A59" s="2" t="inlineStr">
        <is>
          <t>iRODS</t>
        </is>
      </c>
      <c r="B59" s="2" t="inlineStr">
        <is>
          <t>Executive Board Members (Premier Level)</t>
        </is>
      </c>
      <c r="C59" s="3" t="n">
        <v>50</v>
      </c>
      <c r="D59" s="2" t="inlineStr">
        <is>
          <t>Substantive affiliation or membership reported; level of operational support not established</t>
        </is>
      </c>
      <c r="E59" s="3" t="n"/>
      <c r="F59" s="3">
        <f>Verification!E59</f>
        <v/>
      </c>
      <c r="G59" s="2" t="inlineStr">
        <is>
          <t>Use the override in Verification; this sheet mirrors the active score.</t>
        </is>
      </c>
    </row>
    <row r="60">
      <c r="A60" s="2" t="inlineStr">
        <is>
          <t>Islandora</t>
        </is>
      </c>
      <c r="B60" s="2" t="n"/>
      <c r="C60" s="3" t="n">
        <v>0</v>
      </c>
      <c r="D60" s="2" t="inlineStr">
        <is>
          <t>Blank: zero under the agreed unavailable-data rule</t>
        </is>
      </c>
      <c r="E60" s="3" t="n"/>
      <c r="F60" s="3">
        <f>Verification!E60</f>
        <v/>
      </c>
      <c r="G60" s="2" t="inlineStr">
        <is>
          <t>Use the override in Verification; this sheet mirrors the active score.</t>
        </is>
      </c>
    </row>
    <row r="61">
      <c r="A61" s="2" t="inlineStr">
        <is>
          <t>Janeway</t>
        </is>
      </c>
      <c r="B61" s="2" t="n"/>
      <c r="C61" s="3" t="n">
        <v>0</v>
      </c>
      <c r="D61" s="2" t="inlineStr">
        <is>
          <t>Blank: zero under the agreed unavailable-data rule</t>
        </is>
      </c>
      <c r="E61" s="3" t="n"/>
      <c r="F61" s="3">
        <f>Verification!E61</f>
        <v/>
      </c>
      <c r="G61" s="2" t="inlineStr">
        <is>
          <t>Use the override in Verification; this sheet mirrors the active score.</t>
        </is>
      </c>
    </row>
    <row r="62">
      <c r="A62" s="2" t="inlineStr">
        <is>
          <t>JHOVE</t>
        </is>
      </c>
      <c r="B62" s="2" t="inlineStr">
        <is>
          <t>&lt;a href="https://openpreservation.org/membership/meet-our-members/" target="_blank"&gt;OPF Membership&lt;/a&gt;</t>
        </is>
      </c>
      <c r="C62" s="3" t="n">
        <v>50</v>
      </c>
      <c r="D62" s="2" t="inlineStr">
        <is>
          <t>Substantive affiliation or membership reported; level of operational support not established</t>
        </is>
      </c>
      <c r="E62" s="3" t="n"/>
      <c r="F62" s="3">
        <f>Verification!E62</f>
        <v/>
      </c>
      <c r="G62" s="2" t="inlineStr">
        <is>
          <t>Use the override in Verification; this sheet mirrors the active score.</t>
        </is>
      </c>
    </row>
    <row r="63">
      <c r="A63" s="2" t="inlineStr">
        <is>
          <t>LA Referencia</t>
        </is>
      </c>
      <c r="B63" s="2" t="n"/>
      <c r="C63" s="3" t="n">
        <v>0</v>
      </c>
      <c r="D63" s="2" t="inlineStr">
        <is>
          <t>Blank: zero under the agreed unavailable-data rule</t>
        </is>
      </c>
      <c r="E63" s="3" t="n"/>
      <c r="F63" s="3">
        <f>Verification!E63</f>
        <v/>
      </c>
      <c r="G63" s="2" t="inlineStr">
        <is>
          <t>Use the override in Verification; this sheet mirrors the active score.</t>
        </is>
      </c>
    </row>
    <row r="64">
      <c r="A64" s="2" t="inlineStr">
        <is>
          <t>Manifold</t>
        </is>
      </c>
      <c r="B64" s="2" t="n"/>
      <c r="C64" s="3" t="n">
        <v>0</v>
      </c>
      <c r="D64" s="2" t="inlineStr">
        <is>
          <t>Blank: zero under the agreed unavailable-data rule</t>
        </is>
      </c>
      <c r="E64" s="3" t="n"/>
      <c r="F64" s="3">
        <f>Verification!E64</f>
        <v/>
      </c>
      <c r="G64" s="2" t="inlineStr">
        <is>
          <t>Use the override in Verification; this sheet mirrors the active score.</t>
        </is>
      </c>
    </row>
    <row r="65">
      <c r="A65" s="2" t="inlineStr">
        <is>
          <t>medRxiv</t>
        </is>
      </c>
      <c r="B65" s="2" t="n"/>
      <c r="C65" s="3" t="n">
        <v>0</v>
      </c>
      <c r="D65" s="2" t="inlineStr">
        <is>
          <t>Blank: zero under the agreed unavailable-data rule</t>
        </is>
      </c>
      <c r="E65" s="3" t="n"/>
      <c r="F65" s="3">
        <f>Verification!E65</f>
        <v/>
      </c>
      <c r="G65" s="2" t="inlineStr">
        <is>
          <t>Use the override in Verification; this sheet mirrors the active score.</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2" t="inlineStr">
        <is>
          <t>Substantive affiliation or membership reported; level of operational support not established</t>
        </is>
      </c>
      <c r="E66" s="3" t="n"/>
      <c r="F66" s="3">
        <f>Verification!E66</f>
        <v/>
      </c>
      <c r="G66" s="2" t="inlineStr">
        <is>
          <t>Use the override in Verification; this sheet mirrors the active score.</t>
        </is>
      </c>
    </row>
    <row r="67">
      <c r="A67" s="2" t="inlineStr">
        <is>
          <t>Mirador</t>
        </is>
      </c>
      <c r="B67" s="2" t="n"/>
      <c r="C67" s="3" t="n">
        <v>0</v>
      </c>
      <c r="D67" s="2" t="inlineStr">
        <is>
          <t>Blank: zero under the agreed unavailable-data rule</t>
        </is>
      </c>
      <c r="E67" s="3" t="n"/>
      <c r="F67" s="3">
        <f>Verification!E67</f>
        <v/>
      </c>
      <c r="G67" s="2" t="inlineStr">
        <is>
          <t>Use the override in Verification; this sheet mirrors the active score.</t>
        </is>
      </c>
    </row>
    <row r="68">
      <c r="A68" s="2" t="inlineStr">
        <is>
          <t>Mukurtu CMS</t>
        </is>
      </c>
      <c r="B68" s="2" t="n"/>
      <c r="C68" s="3" t="n">
        <v>0</v>
      </c>
      <c r="D68" s="2" t="inlineStr">
        <is>
          <t>Blank: zero under the agreed unavailable-data rule</t>
        </is>
      </c>
      <c r="E68" s="3" t="n"/>
      <c r="F68" s="3">
        <f>Verification!E68</f>
        <v/>
      </c>
      <c r="G68" s="2" t="inlineStr">
        <is>
          <t>Use the override in Verification; this sheet mirrors the active score.</t>
        </is>
      </c>
    </row>
    <row r="69">
      <c r="A69" s="2" t="inlineStr">
        <is>
          <t>MyCoRe</t>
        </is>
      </c>
      <c r="B69" s="2" t="inlineStr">
        <is>
          <t xml:space="preserve"> Regional Computer Center, Hamburg University</t>
        </is>
      </c>
      <c r="C69" s="3" t="n">
        <v>50</v>
      </c>
      <c r="D69" s="2" t="inlineStr">
        <is>
          <t>Substantive affiliation or membership reported; level of operational support not established</t>
        </is>
      </c>
      <c r="E69" s="3" t="n"/>
      <c r="F69" s="3">
        <f>Verification!E69</f>
        <v/>
      </c>
      <c r="G69" s="2" t="inlineStr">
        <is>
          <t>Use the override in Verification; this sheet mirrors the active score.</t>
        </is>
      </c>
    </row>
    <row r="70">
      <c r="A70" s="2" t="inlineStr">
        <is>
          <t>NumPy</t>
        </is>
      </c>
      <c r="B70" s="2" t="inlineStr">
        <is>
          <t>NumFOCUS; UC Berkeley; Quansight; NVIDIA</t>
        </is>
      </c>
      <c r="C70" s="3" t="n">
        <v>50</v>
      </c>
      <c r="D70" s="2" t="inlineStr">
        <is>
          <t>Substantive affiliation or membership reported; level of operational support not established</t>
        </is>
      </c>
      <c r="E70" s="3" t="n"/>
      <c r="F70" s="3">
        <f>Verification!E70</f>
        <v/>
      </c>
      <c r="G70" s="2" t="inlineStr">
        <is>
          <t>Use the override in Verification; this sheet mirrors the active score.</t>
        </is>
      </c>
    </row>
    <row r="71">
      <c r="A71" s="2" t="inlineStr">
        <is>
          <t>OA.Report</t>
        </is>
      </c>
      <c r="B71" s="2" t="inlineStr">
        <is>
          <t>Code for Science &amp; Society (fiscal sponsor of OA.Works)</t>
        </is>
      </c>
      <c r="C71" s="3" t="n">
        <v>100</v>
      </c>
      <c r="D71" s="2" t="inlineStr">
        <is>
          <t>Explicit host or operational/financial support language</t>
        </is>
      </c>
      <c r="E71" s="3" t="n"/>
      <c r="F71" s="3">
        <f>Verification!E71</f>
        <v/>
      </c>
      <c r="G71" s="2" t="inlineStr">
        <is>
          <t>Use the override in Verification; this sheet mirrors the active score.</t>
        </is>
      </c>
    </row>
    <row r="72">
      <c r="A72" s="2" t="inlineStr">
        <is>
          <t>OA Switchboard</t>
        </is>
      </c>
      <c r="B72" s="2" t="n"/>
      <c r="C72" s="3" t="n">
        <v>0</v>
      </c>
      <c r="D72" s="2" t="inlineStr">
        <is>
          <t>Blank: zero under the agreed unavailable-data rule</t>
        </is>
      </c>
      <c r="E72" s="3" t="n"/>
      <c r="F72" s="3">
        <f>Verification!E72</f>
        <v/>
      </c>
      <c r="G72" s="2" t="inlineStr">
        <is>
          <t>Use the override in Verification; this sheet mirrors the active score.</t>
        </is>
      </c>
    </row>
    <row r="73">
      <c r="A73" s="2" t="inlineStr">
        <is>
          <t>Omeka</t>
        </is>
      </c>
      <c r="B73" s="2" t="n"/>
      <c r="C73" s="3" t="n">
        <v>0</v>
      </c>
      <c r="D73" s="2" t="inlineStr">
        <is>
          <t>Blank: zero under the agreed unavailable-data rule</t>
        </is>
      </c>
      <c r="E73" s="3" t="n"/>
      <c r="F73" s="3">
        <f>Verification!E73</f>
        <v/>
      </c>
      <c r="G73" s="2" t="inlineStr">
        <is>
          <t>Use the override in Verification; this sheet mirrors the active score.</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2" t="inlineStr">
        <is>
          <t>Substantive affiliation or membership reported; level of operational support not established</t>
        </is>
      </c>
      <c r="E74" s="3" t="n"/>
      <c r="F74" s="3">
        <f>Verification!E74</f>
        <v/>
      </c>
      <c r="G74" s="2" t="inlineStr">
        <is>
          <t>Use the override in Verification; this sheet mirrors the active score.</t>
        </is>
      </c>
    </row>
    <row r="75">
      <c r="A75" s="2" t="inlineStr">
        <is>
          <t>OpenAlex</t>
        </is>
      </c>
      <c r="B75" s="2" t="n"/>
      <c r="C75" s="3" t="n">
        <v>0</v>
      </c>
      <c r="D75" s="2" t="inlineStr">
        <is>
          <t>Blank: zero under the agreed unavailable-data rule</t>
        </is>
      </c>
      <c r="E75" s="3" t="n"/>
      <c r="F75" s="3">
        <f>Verification!E75</f>
        <v/>
      </c>
      <c r="G75" s="2" t="inlineStr">
        <is>
          <t>Use the override in Verification; this sheet mirrors the active score.</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2" t="inlineStr">
        <is>
          <t>Substantive affiliation or membership reported; level of operational support not established</t>
        </is>
      </c>
      <c r="E76" s="3" t="n"/>
      <c r="F76" s="3">
        <f>Verification!E76</f>
        <v/>
      </c>
      <c r="G76" s="2" t="inlineStr">
        <is>
          <t>Use the override in Verification; this sheet mirrors the active score.</t>
        </is>
      </c>
    </row>
    <row r="77">
      <c r="A77" s="2" t="inlineStr">
        <is>
          <t>OpenCitations</t>
        </is>
      </c>
      <c r="B77" s="2" t="inlineStr">
        <is>
          <t xml:space="preserve">Research Centre for Open Scholarly Metadata, University of Bologna 
</t>
        </is>
      </c>
      <c r="C77" s="3" t="n">
        <v>50</v>
      </c>
      <c r="D77" s="2" t="inlineStr">
        <is>
          <t>Substantive affiliation or membership reported; level of operational support not established</t>
        </is>
      </c>
      <c r="E77" s="3" t="n"/>
      <c r="F77" s="3">
        <f>Verification!E77</f>
        <v/>
      </c>
      <c r="G77" s="2" t="inlineStr">
        <is>
          <t>Use the override in Verification; this sheet mirrors the active score.</t>
        </is>
      </c>
    </row>
    <row r="78">
      <c r="A78" s="2" t="inlineStr">
        <is>
          <t>openCost</t>
        </is>
      </c>
      <c r="B78" s="2" t="inlineStr">
        <is>
          <t>Bielefeld University Library, the German Electron Synchrotron DESY (Hamburg) and University Library of Regensburg</t>
        </is>
      </c>
      <c r="C78" s="3" t="n">
        <v>50</v>
      </c>
      <c r="D78" s="2" t="inlineStr">
        <is>
          <t>Substantive affiliation or membership reported; level of operational support not established</t>
        </is>
      </c>
      <c r="E78" s="3" t="n"/>
      <c r="F78" s="3">
        <f>Verification!E78</f>
        <v/>
      </c>
      <c r="G78" s="2" t="inlineStr">
        <is>
          <t>Use the override in Verification; this sheet mirrors the active score.</t>
        </is>
      </c>
    </row>
    <row r="79">
      <c r="A79" s="2" t="inlineStr">
        <is>
          <t>Open Data Editor</t>
        </is>
      </c>
      <c r="B79" s="2" t="inlineStr">
        <is>
          <t>Digital Public Goods Alliance, Open Knowledge Brazil, Open Knowledge Nepal, Escuela de Datos help disseminate the tool.</t>
        </is>
      </c>
      <c r="C79" s="3" t="n">
        <v>50</v>
      </c>
      <c r="D79" s="2" t="inlineStr">
        <is>
          <t>Substantive affiliation or membership reported; level of operational support not established</t>
        </is>
      </c>
      <c r="E79" s="3" t="n"/>
      <c r="F79" s="3">
        <f>Verification!E79</f>
        <v/>
      </c>
      <c r="G79" s="2" t="inlineStr">
        <is>
          <t>Use the override in Verification; this sheet mirrors the active score.</t>
        </is>
      </c>
    </row>
    <row r="80">
      <c r="A80" s="2" t="inlineStr">
        <is>
          <t>OpenEdition</t>
        </is>
      </c>
      <c r="B80" s="2" t="n"/>
      <c r="C80" s="3" t="n">
        <v>0</v>
      </c>
      <c r="D80" s="2" t="inlineStr">
        <is>
          <t>Blank: zero under the agreed unavailable-data rule</t>
        </is>
      </c>
      <c r="E80" s="3" t="n"/>
      <c r="F80" s="3">
        <f>Verification!E80</f>
        <v/>
      </c>
      <c r="G80" s="2" t="inlineStr">
        <is>
          <t>Use the override in Verification; this sheet mirrors the active score.</t>
        </is>
      </c>
    </row>
    <row r="81">
      <c r="A81" s="2" t="inlineStr">
        <is>
          <t>Open Journal Systems (OJS)</t>
        </is>
      </c>
      <c r="B81" s="2" t="n"/>
      <c r="C81" s="3" t="n">
        <v>0</v>
      </c>
      <c r="D81" s="2" t="inlineStr">
        <is>
          <t>Blank: zero under the agreed unavailable-data rule</t>
        </is>
      </c>
      <c r="E81" s="3" t="n"/>
      <c r="F81" s="3">
        <f>Verification!E81</f>
        <v/>
      </c>
      <c r="G81" s="2" t="inlineStr">
        <is>
          <t>Use the override in Verification; this sheet mirrors the active score.</t>
        </is>
      </c>
    </row>
    <row r="82">
      <c r="A82" s="2" t="inlineStr">
        <is>
          <t>Open Monograph Press (OMP)</t>
        </is>
      </c>
      <c r="B82" s="2" t="n"/>
      <c r="C82" s="3" t="n">
        <v>0</v>
      </c>
      <c r="D82" s="2" t="inlineStr">
        <is>
          <t>Blank: zero under the agreed unavailable-data rule</t>
        </is>
      </c>
      <c r="E82" s="3" t="n"/>
      <c r="F82" s="3">
        <f>Verification!E82</f>
        <v/>
      </c>
      <c r="G82" s="2" t="inlineStr">
        <is>
          <t>Use the override in Verification; this sheet mirrors the active score.</t>
        </is>
      </c>
    </row>
    <row r="83">
      <c r="A83" s="2" t="inlineStr">
        <is>
          <t>Open Preprint Systems (OPS)</t>
        </is>
      </c>
      <c r="B83" s="2" t="n"/>
      <c r="C83" s="3" t="n">
        <v>0</v>
      </c>
      <c r="D83" s="2" t="inlineStr">
        <is>
          <t>Blank: zero under the agreed unavailable-data rule</t>
        </is>
      </c>
      <c r="E83" s="3" t="n"/>
      <c r="F83" s="3">
        <f>Verification!E83</f>
        <v/>
      </c>
      <c r="G83" s="2" t="inlineStr">
        <is>
          <t>Use the override in Verification; this sheet mirrors the active score.</t>
        </is>
      </c>
    </row>
    <row r="84">
      <c r="A84" s="2" t="inlineStr">
        <is>
          <t>Openverse</t>
        </is>
      </c>
      <c r="B84" s="2" t="inlineStr">
        <is>
          <t>Openverse is part of the WordPress open source project: https://wordpress.org/</t>
        </is>
      </c>
      <c r="C84" s="3" t="n">
        <v>50</v>
      </c>
      <c r="D84" s="2" t="inlineStr">
        <is>
          <t>Substantive affiliation or membership reported; level of operational support not established</t>
        </is>
      </c>
      <c r="E84" s="3" t="n"/>
      <c r="F84" s="3">
        <f>Verification!E84</f>
        <v/>
      </c>
      <c r="G84" s="2" t="inlineStr">
        <is>
          <t>Use the override in Verification; this sheet mirrors the active score.</t>
        </is>
      </c>
    </row>
    <row r="85">
      <c r="A85" s="2" t="inlineStr">
        <is>
          <t>O Portal Brasileiro de Publicações e Dados Científicos em Acesso Aberto (The Brazilian Open Access Publications and Scientific Data Portal) (Oasisbr)</t>
        </is>
      </c>
      <c r="B85" s="2" t="n"/>
      <c r="C85" s="3" t="n">
        <v>0</v>
      </c>
      <c r="D85" s="2" t="inlineStr">
        <is>
          <t>Blank: zero under the agreed unavailable-data rule</t>
        </is>
      </c>
      <c r="E85" s="3" t="n"/>
      <c r="F85" s="3">
        <f>Verification!E85</f>
        <v/>
      </c>
      <c r="G85" s="2" t="inlineStr">
        <is>
          <t>Use the override in Verification; this sheet mirrors the active score.</t>
        </is>
      </c>
    </row>
    <row r="86">
      <c r="A86" s="2" t="inlineStr">
        <is>
          <t>OSF (Open Science Framework)</t>
        </is>
      </c>
      <c r="B86" s="2" t="n"/>
      <c r="C86" s="3" t="n">
        <v>0</v>
      </c>
      <c r="D86" s="2" t="inlineStr">
        <is>
          <t>Blank: zero under the agreed unavailable-data rule</t>
        </is>
      </c>
      <c r="E86" s="3" t="n"/>
      <c r="F86" s="3">
        <f>Verification!E86</f>
        <v/>
      </c>
      <c r="G86" s="2" t="inlineStr">
        <is>
          <t>Use the override in Verification; this sheet mirrors the active score.</t>
        </is>
      </c>
    </row>
    <row r="87">
      <c r="A87" s="2" t="inlineStr">
        <is>
          <t>Oxford Common File Layout</t>
        </is>
      </c>
      <c r="B87" s="2" t="n"/>
      <c r="C87" s="3" t="n">
        <v>0</v>
      </c>
      <c r="D87" s="2" t="inlineStr">
        <is>
          <t>Blank: zero under the agreed unavailable-data rule</t>
        </is>
      </c>
      <c r="E87" s="3" t="n"/>
      <c r="F87" s="3">
        <f>Verification!E87</f>
        <v/>
      </c>
      <c r="G87" s="2" t="inlineStr">
        <is>
          <t>Use the override in Verification; this sheet mirrors the active score.</t>
        </is>
      </c>
    </row>
    <row r="88">
      <c r="A88" s="2" t="inlineStr">
        <is>
          <t>Peer Community In</t>
        </is>
      </c>
      <c r="B88" s="2" t="n"/>
      <c r="C88" s="3" t="n">
        <v>0</v>
      </c>
      <c r="D88" s="2" t="inlineStr">
        <is>
          <t>Blank: zero under the agreed unavailable-data rule</t>
        </is>
      </c>
      <c r="E88" s="3" t="n"/>
      <c r="F88" s="3">
        <f>Verification!E88</f>
        <v/>
      </c>
      <c r="G88" s="2" t="inlineStr">
        <is>
          <t>Use the override in Verification; this sheet mirrors the active score.</t>
        </is>
      </c>
    </row>
    <row r="89">
      <c r="A89" s="2" t="inlineStr">
        <is>
          <t>PKP Preservation Network</t>
        </is>
      </c>
      <c r="B89" s="2" t="inlineStr">
        <is>
          <t>See OJS for affiliations.</t>
        </is>
      </c>
      <c r="C89" s="3" t="n">
        <v>50</v>
      </c>
      <c r="D89" s="2" t="inlineStr">
        <is>
          <t>Substantive affiliation or membership reported; level of operational support not established</t>
        </is>
      </c>
      <c r="E89" s="3" t="n"/>
      <c r="F89" s="3">
        <f>Verification!E89</f>
        <v/>
      </c>
      <c r="G89" s="2" t="inlineStr">
        <is>
          <t>Use the override in Verification; this sheet mirrors the active score.</t>
        </is>
      </c>
    </row>
    <row r="90">
      <c r="A90" s="2" t="inlineStr">
        <is>
          <t>PREreview</t>
        </is>
      </c>
      <c r="B90" s="2" t="n"/>
      <c r="C90" s="3" t="n">
        <v>0</v>
      </c>
      <c r="D90" s="2" t="inlineStr">
        <is>
          <t>Blank: zero under the agreed unavailable-data rule</t>
        </is>
      </c>
      <c r="E90" s="3" t="n"/>
      <c r="F90" s="3">
        <f>Verification!E90</f>
        <v/>
      </c>
      <c r="G90" s="2" t="inlineStr">
        <is>
          <t>Use the override in Verification; this sheet mirrors the active score.</t>
        </is>
      </c>
    </row>
    <row r="91">
      <c r="A91" s="2" t="inlineStr">
        <is>
          <t>Pressbooks</t>
        </is>
      </c>
      <c r="B91" s="2" t="n"/>
      <c r="C91" s="3" t="n">
        <v>0</v>
      </c>
      <c r="D91" s="2" t="inlineStr">
        <is>
          <t>Blank: zero under the agreed unavailable-data rule</t>
        </is>
      </c>
      <c r="E91" s="3" t="n"/>
      <c r="F91" s="3">
        <f>Verification!E91</f>
        <v/>
      </c>
      <c r="G91" s="2" t="inlineStr">
        <is>
          <t>Use the override in Verification; this sheet mirrors the active score.</t>
        </is>
      </c>
    </row>
    <row r="92">
      <c r="A92" s="2" t="inlineStr">
        <is>
          <t>Public Access Submission System</t>
        </is>
      </c>
      <c r="B92" s="2" t="n"/>
      <c r="C92" s="3" t="n">
        <v>0</v>
      </c>
      <c r="D92" s="2" t="inlineStr">
        <is>
          <t>Blank: zero under the agreed unavailable-data rule</t>
        </is>
      </c>
      <c r="E92" s="3" t="n"/>
      <c r="F92" s="3">
        <f>Verification!E92</f>
        <v/>
      </c>
      <c r="G92" s="2" t="inlineStr">
        <is>
          <t>Use the override in Verification; this sheet mirrors the active score.</t>
        </is>
      </c>
    </row>
    <row r="93">
      <c r="A93" s="2" t="inlineStr">
        <is>
          <t>Public Utility Data Liberation (PUDL)</t>
        </is>
      </c>
      <c r="B93" s="2" t="inlineStr">
        <is>
          <t>RMI
GridLab</t>
        </is>
      </c>
      <c r="C93" s="3" t="n">
        <v>50</v>
      </c>
      <c r="D93" s="2" t="inlineStr">
        <is>
          <t>Substantive affiliation or membership reported; level of operational support not established</t>
        </is>
      </c>
      <c r="E93" s="3" t="n"/>
      <c r="F93" s="3">
        <f>Verification!E93</f>
        <v/>
      </c>
      <c r="G93" s="2" t="inlineStr">
        <is>
          <t>Use the override in Verification; this sheet mirrors the active score.</t>
        </is>
      </c>
    </row>
    <row r="94">
      <c r="A94" s="2" t="inlineStr">
        <is>
          <t>PubPub</t>
        </is>
      </c>
      <c r="B94" s="2" t="n"/>
      <c r="C94" s="3" t="n">
        <v>0</v>
      </c>
      <c r="D94" s="2" t="inlineStr">
        <is>
          <t>Blank: zero under the agreed unavailable-data rule</t>
        </is>
      </c>
      <c r="E94" s="3" t="n"/>
      <c r="F94" s="3">
        <f>Verification!E94</f>
        <v/>
      </c>
      <c r="G94" s="2" t="inlineStr">
        <is>
          <t>Use the override in Verification; this sheet mirrors the active score.</t>
        </is>
      </c>
    </row>
    <row r="95">
      <c r="A95" s="2" t="inlineStr">
        <is>
          <t>Pundit</t>
        </is>
      </c>
      <c r="B95" s="2" t="inlineStr">
        <is>
          <t>No affiliations</t>
        </is>
      </c>
      <c r="C95" s="3" t="n">
        <v>0</v>
      </c>
      <c r="D95" s="2" t="inlineStr">
        <is>
          <t>Explicit absence or placeholder</t>
        </is>
      </c>
      <c r="E95" s="3" t="n"/>
      <c r="F95" s="3">
        <f>Verification!E95</f>
        <v/>
      </c>
      <c r="G95" s="2" t="inlineStr">
        <is>
          <t>Use the override in Verification; this sheet mirrors the active score.</t>
        </is>
      </c>
    </row>
    <row r="96">
      <c r="A96" s="2" t="inlineStr">
        <is>
          <t>pyOpenSci</t>
        </is>
      </c>
      <c r="B96" s="2" t="inlineStr">
        <is>
          <t>Community Initiatives is our Fiscal sponsor</t>
        </is>
      </c>
      <c r="C96" s="3" t="n">
        <v>100</v>
      </c>
      <c r="D96" s="2" t="inlineStr">
        <is>
          <t>Explicit host or operational/financial support language</t>
        </is>
      </c>
      <c r="E96" s="3" t="n"/>
      <c r="F96" s="3">
        <f>Verification!E96</f>
        <v/>
      </c>
      <c r="G96" s="2" t="inlineStr">
        <is>
          <t>Use the override in Verification; this sheet mirrors the active score.</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2" t="inlineStr">
        <is>
          <t>Substantive affiliation or membership reported; level of operational support not established</t>
        </is>
      </c>
      <c r="E97" s="3" t="n"/>
      <c r="F97" s="3">
        <f>Verification!E97</f>
        <v/>
      </c>
      <c r="G97" s="2" t="inlineStr">
        <is>
          <t>Use the override in Verification; this sheet mirrors the active score.</t>
        </is>
      </c>
    </row>
    <row r="98">
      <c r="A98" s="2" t="inlineStr">
        <is>
          <t>RePEc</t>
        </is>
      </c>
      <c r="B98" s="2" t="inlineStr">
        <is>
          <t>Since 2010‒10‒01, RePEc has been an independent project of the Open Library Society.</t>
        </is>
      </c>
      <c r="C98" s="3" t="n">
        <v>50</v>
      </c>
      <c r="D98" s="2" t="inlineStr">
        <is>
          <t>Substantive affiliation or membership reported; level of operational support not established</t>
        </is>
      </c>
      <c r="E98" s="3" t="n"/>
      <c r="F98" s="3">
        <f>Verification!E98</f>
        <v/>
      </c>
      <c r="G98" s="2" t="inlineStr">
        <is>
          <t>Use the override in Verification; this sheet mirrors the active score.</t>
        </is>
      </c>
    </row>
    <row r="99">
      <c r="A99" s="2" t="inlineStr">
        <is>
          <t>Research Organization Registry (ROR)</t>
        </is>
      </c>
      <c r="B99" s="2" t="n"/>
      <c r="C99" s="3" t="n">
        <v>0</v>
      </c>
      <c r="D99" s="2" t="inlineStr">
        <is>
          <t>Blank: zero under the agreed unavailable-data rule</t>
        </is>
      </c>
      <c r="E99" s="3" t="n"/>
      <c r="F99" s="3">
        <f>Verification!E99</f>
        <v/>
      </c>
      <c r="G99" s="2" t="inlineStr">
        <is>
          <t>Use the override in Verification; this sheet mirrors the active score.</t>
        </is>
      </c>
    </row>
    <row r="100">
      <c r="A100" s="2" t="inlineStr">
        <is>
          <t>Rogue Scholar</t>
        </is>
      </c>
      <c r="B100" s="2" t="n"/>
      <c r="C100" s="3" t="n">
        <v>0</v>
      </c>
      <c r="D100" s="2" t="inlineStr">
        <is>
          <t>Blank: zero under the agreed unavailable-data rule</t>
        </is>
      </c>
      <c r="E100" s="3" t="n"/>
      <c r="F100" s="3">
        <f>Verification!E100</f>
        <v/>
      </c>
      <c r="G100" s="2" t="inlineStr">
        <is>
          <t>Use the override in Verification; this sheet mirrors the active score.</t>
        </is>
      </c>
    </row>
    <row r="101">
      <c r="A101" s="2" t="inlineStr">
        <is>
          <t>RSpace</t>
        </is>
      </c>
      <c r="B101" s="2" t="inlineStr">
        <is>
          <t>No affiliations</t>
        </is>
      </c>
      <c r="C101" s="3" t="n">
        <v>0</v>
      </c>
      <c r="D101" s="2" t="inlineStr">
        <is>
          <t>Explicit absence or placeholder</t>
        </is>
      </c>
      <c r="E101" s="3" t="n"/>
      <c r="F101" s="3">
        <f>Verification!E101</f>
        <v/>
      </c>
      <c r="G101" s="2" t="inlineStr">
        <is>
          <t>Use the override in Verification; this sheet mirrors the active score.</t>
        </is>
      </c>
    </row>
    <row r="102">
      <c r="A102" s="2" t="inlineStr">
        <is>
          <t>Sciety</t>
        </is>
      </c>
      <c r="B102" s="2" t="inlineStr">
        <is>
          <t>Howard Hughes Medical Institute, Wellcome Trust</t>
        </is>
      </c>
      <c r="C102" s="3" t="n">
        <v>50</v>
      </c>
      <c r="D102" s="2" t="inlineStr">
        <is>
          <t>Substantive affiliation or membership reported; level of operational support not established</t>
        </is>
      </c>
      <c r="E102" s="3" t="n"/>
      <c r="F102" s="3">
        <f>Verification!E102</f>
        <v/>
      </c>
      <c r="G102" s="2" t="inlineStr">
        <is>
          <t>Use the override in Verification; this sheet mirrors the active score.</t>
        </is>
      </c>
    </row>
    <row r="103">
      <c r="A103" s="2" t="inlineStr">
        <is>
          <t>Synapse</t>
        </is>
      </c>
      <c r="B103" s="2" t="inlineStr">
        <is>
          <t>No Affiliations</t>
        </is>
      </c>
      <c r="C103" s="3" t="n">
        <v>0</v>
      </c>
      <c r="D103" s="2" t="inlineStr">
        <is>
          <t>Explicit absence or placeholder</t>
        </is>
      </c>
      <c r="E103" s="3" t="n"/>
      <c r="F103" s="3">
        <f>Verification!E103</f>
        <v/>
      </c>
      <c r="G103" s="2" t="inlineStr">
        <is>
          <t>Use the override in Verification; this sheet mirrors the active score.</t>
        </is>
      </c>
    </row>
    <row r="104">
      <c r="A104" s="2" t="inlineStr">
        <is>
          <t>TagTeam</t>
        </is>
      </c>
      <c r="B104" s="2" t="inlineStr">
        <is>
          <t xml:space="preserve">Berkman Klein Center for Internet &amp; Society </t>
        </is>
      </c>
      <c r="C104" s="3" t="n">
        <v>50</v>
      </c>
      <c r="D104" s="2" t="inlineStr">
        <is>
          <t>Substantive affiliation or membership reported; level of operational support not established</t>
        </is>
      </c>
      <c r="E104" s="3" t="n"/>
      <c r="F104" s="3">
        <f>Verification!E104</f>
        <v/>
      </c>
      <c r="G104" s="2" t="inlineStr">
        <is>
          <t>Use the override in Verification; this sheet mirrors the active score.</t>
        </is>
      </c>
    </row>
    <row r="105">
      <c r="A105" s="2" t="inlineStr">
        <is>
          <t>Thoth Open Metadata</t>
        </is>
      </c>
      <c r="B105" s="2" t="inlineStr">
        <is>
          <t>Community-led Open Publication Infrastructures for Monographs (COPIM)
Copim Open Book Futures
Open Book Collective</t>
        </is>
      </c>
      <c r="C105" s="3" t="n">
        <v>50</v>
      </c>
      <c r="D105" s="2" t="inlineStr">
        <is>
          <t>Substantive affiliation or membership reported; level of operational support not established</t>
        </is>
      </c>
      <c r="E105" s="3" t="n"/>
      <c r="F105" s="3">
        <f>Verification!E105</f>
        <v/>
      </c>
      <c r="G105" s="2" t="inlineStr">
        <is>
          <t>Use the override in Verification; this sheet mirrors the active score.</t>
        </is>
      </c>
    </row>
    <row r="106">
      <c r="A106" s="2" t="inlineStr">
        <is>
          <t>Tropy</t>
        </is>
      </c>
      <c r="B106" s="2" t="inlineStr">
        <is>
          <t>None.</t>
        </is>
      </c>
      <c r="C106" s="3" t="n">
        <v>0</v>
      </c>
      <c r="D106" s="2" t="inlineStr">
        <is>
          <t>Explicit absence or placeholder</t>
        </is>
      </c>
      <c r="E106" s="3" t="n"/>
      <c r="F106" s="3">
        <f>Verification!E106</f>
        <v/>
      </c>
      <c r="G106" s="2" t="inlineStr">
        <is>
          <t>Use the override in Verification; this sheet mirrors the active score.</t>
        </is>
      </c>
    </row>
    <row r="107">
      <c r="A107" s="2" t="inlineStr">
        <is>
          <t>veraPDF</t>
        </is>
      </c>
      <c r="B107" s="2" t="inlineStr">
        <is>
          <t>Open Preservation Foundation
PDF Association
Dual Labs</t>
        </is>
      </c>
      <c r="C107" s="3" t="n">
        <v>50</v>
      </c>
      <c r="D107" s="2" t="inlineStr">
        <is>
          <t>Substantive affiliation or membership reported; level of operational support not established</t>
        </is>
      </c>
      <c r="E107" s="3" t="n"/>
      <c r="F107" s="3">
        <f>Verification!E107</f>
        <v/>
      </c>
      <c r="G107" s="2" t="inlineStr">
        <is>
          <t>Use the override in Verification; this sheet mirrors the active score.</t>
        </is>
      </c>
    </row>
    <row r="108">
      <c r="A108" s="2" t="inlineStr">
        <is>
          <t>ViPER</t>
        </is>
      </c>
      <c r="B108" s="2" t="inlineStr">
        <is>
          <t>Artefactual</t>
        </is>
      </c>
      <c r="C108" s="3" t="n">
        <v>50</v>
      </c>
      <c r="D108" s="2" t="inlineStr">
        <is>
          <t>Substantive affiliation or membership reported; level of operational support not established</t>
        </is>
      </c>
      <c r="E108" s="3" t="n"/>
      <c r="F108" s="3">
        <f>Verification!E108</f>
        <v/>
      </c>
      <c r="G108" s="2" t="inlineStr">
        <is>
          <t>Use the override in Verification; this sheet mirrors the active score.</t>
        </is>
      </c>
    </row>
    <row r="109">
      <c r="A109" s="2" t="inlineStr">
        <is>
          <t>Vireo ETD</t>
        </is>
      </c>
      <c r="B109" s="2" t="inlineStr">
        <is>
          <t>Texas Digital Library
Vireo User Group Steering Committee</t>
        </is>
      </c>
      <c r="C109" s="3" t="n">
        <v>50</v>
      </c>
      <c r="D109" s="2" t="inlineStr">
        <is>
          <t>Substantive affiliation or membership reported; level of operational support not established</t>
        </is>
      </c>
      <c r="E109" s="3" t="n"/>
      <c r="F109" s="3">
        <f>Verification!E109</f>
        <v/>
      </c>
      <c r="G109" s="2" t="inlineStr">
        <is>
          <t>Use the override in Verification; this sheet mirrors the active score.</t>
        </is>
      </c>
    </row>
    <row r="110">
      <c r="A110" s="2" t="inlineStr">
        <is>
          <t>VIVO</t>
        </is>
      </c>
      <c r="B110" s="2" t="inlineStr">
        <is>
          <t>Lyrasis serves as the organizational home for VIVO.
Multiple research institutions and universities across the world are involved in the governance of VIVO.</t>
        </is>
      </c>
      <c r="C110" s="3" t="n">
        <v>100</v>
      </c>
      <c r="D110" s="2" t="inlineStr">
        <is>
          <t>Explicit host or operational/financial support language</t>
        </is>
      </c>
      <c r="E110" s="3" t="n"/>
      <c r="F110" s="3">
        <f>Verification!E110</f>
        <v/>
      </c>
      <c r="G110" s="2" t="inlineStr">
        <is>
          <t>Use the override in Verification; this sheet mirrors the active score.</t>
        </is>
      </c>
    </row>
    <row r="111">
      <c r="A111" s="2" t="inlineStr">
        <is>
          <t>VuFind®</t>
        </is>
      </c>
      <c r="B111" s="2" t="n"/>
      <c r="C111" s="3" t="n">
        <v>0</v>
      </c>
      <c r="D111" s="2" t="inlineStr">
        <is>
          <t>Blank: zero under the agreed unavailable-data rule</t>
        </is>
      </c>
      <c r="E111" s="3" t="n"/>
      <c r="F111" s="3">
        <f>Verification!E111</f>
        <v/>
      </c>
      <c r="G111" s="2" t="inlineStr">
        <is>
          <t>Use the override in Verification; this sheet mirrors the active score.</t>
        </is>
      </c>
    </row>
    <row r="112">
      <c r="A112" s="2" t="inlineStr">
        <is>
          <t>Zenodo</t>
        </is>
      </c>
      <c r="B112" s="2" t="n"/>
      <c r="C112" s="3" t="n">
        <v>0</v>
      </c>
      <c r="D112" s="2" t="inlineStr">
        <is>
          <t>Blank: zero under the agreed unavailable-data rule</t>
        </is>
      </c>
      <c r="E112" s="3" t="n"/>
      <c r="F112" s="3">
        <f>Verification!E112</f>
        <v/>
      </c>
      <c r="G112" s="2" t="inlineStr">
        <is>
          <t>Use the override in Verification; this sheet mirrors the active score.</t>
        </is>
      </c>
    </row>
    <row r="113">
      <c r="A113" s="2" t="inlineStr">
        <is>
          <t>Zotero</t>
        </is>
      </c>
      <c r="B113" s="2" t="inlineStr">
        <is>
          <t>No affiliations</t>
        </is>
      </c>
      <c r="C113" s="3" t="n">
        <v>0</v>
      </c>
      <c r="D113" s="2" t="inlineStr">
        <is>
          <t>Explicit absence or placeholder</t>
        </is>
      </c>
      <c r="E113" s="3" t="n"/>
      <c r="F113" s="3">
        <f>Verification!E113</f>
        <v/>
      </c>
      <c r="G113" s="2" t="inlineStr">
        <is>
          <t>Use the override in Verification; this sheet mirrors the active score.</t>
        </is>
      </c>
    </row>
  </sheetData>
  <autoFilter ref="A1:G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24" customWidth="1" min="4" max="4"/>
    <col width="23" customWidth="1" min="5" max="5"/>
    <col width="18" customWidth="1" min="6" max="6"/>
    <col width="22" customWidth="1" min="7" max="7"/>
    <col width="66" customWidth="1" min="8" max="8"/>
    <col width="20" customWidth="1" min="9" max="9"/>
    <col width="22" customWidth="1" min="10" max="10"/>
    <col width="68" customWidth="1" min="11" max="11"/>
  </cols>
  <sheetData>
    <row r="1" ht="32" customHeight="1">
      <c r="A1" s="1" t="inlineStr">
        <is>
          <t>Service</t>
        </is>
      </c>
      <c r="B1" s="1" t="inlineStr">
        <is>
          <t>M1 Technology readiness</t>
        </is>
      </c>
      <c r="C1" s="1" t="inlineStr">
        <is>
          <t>M2 Maintenance</t>
        </is>
      </c>
      <c r="D1" s="1" t="inlineStr">
        <is>
          <t>Full-time staffing subscore</t>
        </is>
      </c>
      <c r="E1" s="1" t="inlineStr">
        <is>
          <t>Volunteer staffing subscore</t>
        </is>
      </c>
      <c r="F1" s="1" t="inlineStr">
        <is>
          <t>H1 Human resources</t>
        </is>
      </c>
      <c r="G1" s="1" t="inlineStr">
        <is>
          <t>I2 Provisional affiliations</t>
        </is>
      </c>
      <c r="H1" s="1" t="inlineStr">
        <is>
          <t>I2 rationale</t>
        </is>
      </c>
      <c r="I1" s="1" t="inlineStr">
        <is>
          <t>O1 Service delivery</t>
        </is>
      </c>
      <c r="J1" s="1" t="inlineStr">
        <is>
          <t>Python-checked total</t>
        </is>
      </c>
      <c r="K1" s="1" t="inlineStr">
        <is>
          <t>Scoring flags</t>
        </is>
      </c>
    </row>
    <row r="2">
      <c r="A2" s="2" t="inlineStr">
        <is>
          <t>2i2c</t>
        </is>
      </c>
      <c r="B2" s="3" t="n">
        <v>100</v>
      </c>
      <c r="C2" s="3" t="n">
        <v>100</v>
      </c>
      <c r="D2" s="3" t="n">
        <v>0</v>
      </c>
      <c r="E2" s="3" t="n">
        <v>0</v>
      </c>
      <c r="F2" s="3" t="n">
        <v>0</v>
      </c>
      <c r="G2" s="3" t="n">
        <v>0</v>
      </c>
      <c r="H2" s="2" t="inlineStr">
        <is>
          <t>Blank: zero under the agreed unavailable-data rule</t>
        </is>
      </c>
      <c r="I2" s="3" t="n">
        <v>0</v>
      </c>
      <c r="J2" s="3" t="n">
        <v>40</v>
      </c>
      <c r="K2" s="2" t="inlineStr">
        <is>
          <t>Full-time staffing missing/unknown scored 0; Volunteer staffing missing/unknown scored 0; Service-delivery field not applicable/unknown scored 0</t>
        </is>
      </c>
    </row>
    <row r="3">
      <c r="A3" s="2" t="inlineStr">
        <is>
          <t>Academic Preservation Trust (APTrust)</t>
        </is>
      </c>
      <c r="B3" s="3" t="n">
        <v>100</v>
      </c>
      <c r="C3" s="3" t="n">
        <v>100</v>
      </c>
      <c r="D3" s="3" t="n">
        <v>25</v>
      </c>
      <c r="E3" s="3" t="n">
        <v>0</v>
      </c>
      <c r="F3" s="3" t="n">
        <v>12.5</v>
      </c>
      <c r="G3" s="3" t="n">
        <v>50</v>
      </c>
      <c r="H3" s="2" t="inlineStr">
        <is>
          <t>Substantive affiliation or membership reported; level of operational support not established</t>
        </is>
      </c>
      <c r="I3" s="3" t="n">
        <v>100</v>
      </c>
      <c r="J3" s="3" t="n">
        <v>72.5</v>
      </c>
      <c r="K3" s="2" t="inlineStr">
        <is>
          <t>Volunteer staffing missing/unknown scored 0; Review affiliation coding; override available</t>
        </is>
      </c>
    </row>
    <row r="4">
      <c r="A4" s="2" t="inlineStr">
        <is>
          <t>AfricArXiv</t>
        </is>
      </c>
      <c r="B4" s="3" t="n">
        <v>100</v>
      </c>
      <c r="C4" s="3" t="n">
        <v>100</v>
      </c>
      <c r="D4" s="3" t="n">
        <v>25</v>
      </c>
      <c r="E4" s="3" t="n">
        <v>25</v>
      </c>
      <c r="F4" s="3" t="n">
        <v>25</v>
      </c>
      <c r="G4" s="3" t="n">
        <v>100</v>
      </c>
      <c r="H4" s="2" t="inlineStr">
        <is>
          <t>Explicit host or operational/financial support language</t>
        </is>
      </c>
      <c r="I4" s="3" t="n">
        <v>0</v>
      </c>
      <c r="J4" s="3" t="n">
        <v>65</v>
      </c>
      <c r="K4" s="2" t="inlineStr">
        <is>
          <t>Review affiliation coding; override available; Service-delivery field not applicable/unknown scored 0</t>
        </is>
      </c>
    </row>
    <row r="5">
      <c r="A5" s="2" t="inlineStr">
        <is>
          <t>Arches Heritage Data Management Platform</t>
        </is>
      </c>
      <c r="B5" s="3" t="n">
        <v>100</v>
      </c>
      <c r="C5" s="3" t="n">
        <v>100</v>
      </c>
      <c r="D5" s="3" t="n">
        <v>0</v>
      </c>
      <c r="E5" s="3" t="n">
        <v>0</v>
      </c>
      <c r="F5" s="3" t="n">
        <v>0</v>
      </c>
      <c r="G5" s="3" t="n">
        <v>50</v>
      </c>
      <c r="H5" s="2" t="inlineStr">
        <is>
          <t>Substantive affiliation or membership reported; level of operational support not established</t>
        </is>
      </c>
      <c r="I5" s="3" t="n">
        <v>100</v>
      </c>
      <c r="J5" s="3" t="n">
        <v>70</v>
      </c>
      <c r="K5" s="2" t="inlineStr">
        <is>
          <t>Full-time staffing missing/unknown scored 0; Volunteer staffing missing/unknown scored 0; Review affiliation coding; override available</t>
        </is>
      </c>
    </row>
    <row r="6">
      <c r="A6" s="2" t="inlineStr">
        <is>
          <t>Archipelago Commons</t>
        </is>
      </c>
      <c r="B6" s="3" t="n">
        <v>100</v>
      </c>
      <c r="C6" s="3" t="n">
        <v>100</v>
      </c>
      <c r="D6" s="3" t="n">
        <v>0</v>
      </c>
      <c r="E6" s="3" t="n">
        <v>0</v>
      </c>
      <c r="F6" s="3" t="n">
        <v>0</v>
      </c>
      <c r="G6" s="3" t="n">
        <v>0</v>
      </c>
      <c r="H6" s="2" t="inlineStr">
        <is>
          <t>Blank: zero under the agreed unavailable-data rule</t>
        </is>
      </c>
      <c r="I6" s="3" t="n">
        <v>100</v>
      </c>
      <c r="J6" s="3" t="n">
        <v>60</v>
      </c>
      <c r="K6" s="2" t="inlineStr">
        <is>
          <t>Full-time staffing missing/unknown scored 0; Volunteer staffing missing/unknown scored 0</t>
        </is>
      </c>
    </row>
    <row r="7">
      <c r="A7" s="2" t="inlineStr">
        <is>
          <t>Archival Resource Key</t>
        </is>
      </c>
      <c r="B7" s="3" t="n">
        <v>55.55555555555556</v>
      </c>
      <c r="C7" s="3" t="n">
        <v>100</v>
      </c>
      <c r="D7" s="3" t="n">
        <v>0</v>
      </c>
      <c r="E7" s="3" t="n">
        <v>0</v>
      </c>
      <c r="F7" s="3" t="n">
        <v>0</v>
      </c>
      <c r="G7" s="3" t="n">
        <v>0</v>
      </c>
      <c r="H7" s="2" t="inlineStr">
        <is>
          <t>Blank: zero under the agreed unavailable-data rule</t>
        </is>
      </c>
      <c r="I7" s="3" t="n">
        <v>0</v>
      </c>
      <c r="J7" s="3" t="n">
        <v>31.11111111111111</v>
      </c>
      <c r="K7" s="2" t="inlineStr">
        <is>
          <t>Full-time staffing missing/unknown scored 0; Volunteer staffing missing/unknown scored 0; Service-delivery field not applicable/unknown scored 0</t>
        </is>
      </c>
    </row>
    <row r="8">
      <c r="A8" s="2" t="inlineStr">
        <is>
          <t>Archivematica</t>
        </is>
      </c>
      <c r="B8" s="3" t="n">
        <v>100</v>
      </c>
      <c r="C8" s="3" t="n">
        <v>100</v>
      </c>
      <c r="D8" s="3" t="n">
        <v>100</v>
      </c>
      <c r="E8" s="3" t="n">
        <v>0</v>
      </c>
      <c r="F8" s="3" t="n">
        <v>50</v>
      </c>
      <c r="G8" s="3" t="n">
        <v>0</v>
      </c>
      <c r="H8" s="2" t="inlineStr">
        <is>
          <t>Explicit absence or placeholder</t>
        </is>
      </c>
      <c r="I8" s="3" t="n">
        <v>100</v>
      </c>
      <c r="J8" s="3" t="n">
        <v>70</v>
      </c>
      <c r="K8" s="2" t="inlineStr">
        <is>
          <t>Volunteer staffing missing/unknown scored 0; Review affiliation coding; override available</t>
        </is>
      </c>
    </row>
    <row r="9">
      <c r="A9" s="2" t="inlineStr">
        <is>
          <t>ArchivesSpace</t>
        </is>
      </c>
      <c r="B9" s="3" t="n">
        <v>100</v>
      </c>
      <c r="C9" s="3" t="n">
        <v>100</v>
      </c>
      <c r="D9" s="3" t="n">
        <v>50</v>
      </c>
      <c r="E9" s="3" t="n">
        <v>0</v>
      </c>
      <c r="F9" s="3" t="n">
        <v>25</v>
      </c>
      <c r="G9" s="3" t="n">
        <v>100</v>
      </c>
      <c r="H9" s="2" t="inlineStr">
        <is>
          <t>Explicit host or operational/financial support language</t>
        </is>
      </c>
      <c r="I9" s="3" t="n">
        <v>100</v>
      </c>
      <c r="J9" s="3" t="n">
        <v>85</v>
      </c>
      <c r="K9" s="2" t="inlineStr">
        <is>
          <t>Volunteer staffing missing/unknown scored 0; Review affiliation coding; override available</t>
        </is>
      </c>
    </row>
    <row r="10">
      <c r="A10" s="2" t="inlineStr">
        <is>
          <t>ARGOS</t>
        </is>
      </c>
      <c r="B10" s="3" t="n">
        <v>100</v>
      </c>
      <c r="C10" s="3" t="n">
        <v>100</v>
      </c>
      <c r="D10" s="3" t="n">
        <v>0</v>
      </c>
      <c r="E10" s="3" t="n">
        <v>0</v>
      </c>
      <c r="F10" s="3" t="n">
        <v>0</v>
      </c>
      <c r="G10" s="3" t="n">
        <v>50</v>
      </c>
      <c r="H10" s="2" t="inlineStr">
        <is>
          <t>Substantive affiliation or membership reported; level of operational support not established</t>
        </is>
      </c>
      <c r="I10" s="3" t="n">
        <v>100</v>
      </c>
      <c r="J10" s="3" t="n">
        <v>70</v>
      </c>
      <c r="K10" s="2" t="inlineStr">
        <is>
          <t>Full-time staffing missing/unknown scored 0; Volunteer staffing missing/unknown scored 0; Review affiliation coding; override available</t>
        </is>
      </c>
    </row>
    <row r="11">
      <c r="A11" s="2" t="inlineStr">
        <is>
          <t>arXiv</t>
        </is>
      </c>
      <c r="B11" s="3" t="n">
        <v>100</v>
      </c>
      <c r="C11" s="3" t="n">
        <v>100</v>
      </c>
      <c r="D11" s="3" t="n">
        <v>0</v>
      </c>
      <c r="E11" s="3" t="n">
        <v>0</v>
      </c>
      <c r="F11" s="3" t="n">
        <v>0</v>
      </c>
      <c r="G11" s="3" t="n">
        <v>0</v>
      </c>
      <c r="H11" s="2" t="inlineStr">
        <is>
          <t>Blank: zero under the agreed unavailable-data rule</t>
        </is>
      </c>
      <c r="I11" s="3" t="n">
        <v>0</v>
      </c>
      <c r="J11" s="3" t="n">
        <v>40</v>
      </c>
      <c r="K11" s="2" t="inlineStr">
        <is>
          <t>Full-time staffing missing/unknown scored 0; Volunteer staffing missing/unknown scored 0; Service-delivery field not applicable/unknown scored 0</t>
        </is>
      </c>
    </row>
    <row r="12">
      <c r="A12" s="2" t="inlineStr">
        <is>
          <t>AtoM</t>
        </is>
      </c>
      <c r="B12" s="3" t="n">
        <v>100</v>
      </c>
      <c r="C12" s="3" t="n">
        <v>100</v>
      </c>
      <c r="D12" s="3" t="n">
        <v>100</v>
      </c>
      <c r="E12" s="3" t="n">
        <v>0</v>
      </c>
      <c r="F12" s="3" t="n">
        <v>50</v>
      </c>
      <c r="G12" s="3" t="n">
        <v>0</v>
      </c>
      <c r="H12" s="2" t="inlineStr">
        <is>
          <t>Explicit absence or placeholder</t>
        </is>
      </c>
      <c r="I12" s="3" t="n">
        <v>100</v>
      </c>
      <c r="J12" s="3" t="n">
        <v>70</v>
      </c>
      <c r="K12" s="2" t="inlineStr">
        <is>
          <t>Review affiliation coding; override available</t>
        </is>
      </c>
    </row>
    <row r="13">
      <c r="A13" s="2" t="inlineStr">
        <is>
          <t>Avalon Media System</t>
        </is>
      </c>
      <c r="B13" s="3" t="n">
        <v>100</v>
      </c>
      <c r="C13" s="3" t="n">
        <v>100</v>
      </c>
      <c r="D13" s="3" t="n">
        <v>25</v>
      </c>
      <c r="E13" s="3" t="n">
        <v>0</v>
      </c>
      <c r="F13" s="3" t="n">
        <v>12.5</v>
      </c>
      <c r="G13" s="3" t="n">
        <v>50</v>
      </c>
      <c r="H13" s="2" t="inlineStr">
        <is>
          <t>Substantive affiliation or membership reported; level of operational support not established</t>
        </is>
      </c>
      <c r="I13" s="3" t="n">
        <v>0</v>
      </c>
      <c r="J13" s="3" t="n">
        <v>52.5</v>
      </c>
      <c r="K13" s="2" t="inlineStr">
        <is>
          <t>Volunteer staffing missing/unknown scored 0; Review affiliation coding; override available</t>
        </is>
      </c>
    </row>
    <row r="14">
      <c r="A14" s="2" t="inlineStr">
        <is>
          <t>Biodiversity Heritage Library</t>
        </is>
      </c>
      <c r="B14" s="3" t="n">
        <v>100</v>
      </c>
      <c r="C14" s="3" t="n">
        <v>100</v>
      </c>
      <c r="D14" s="3" t="n">
        <v>25</v>
      </c>
      <c r="E14" s="3" t="n">
        <v>0</v>
      </c>
      <c r="F14" s="3" t="n">
        <v>12.5</v>
      </c>
      <c r="G14" s="3" t="n">
        <v>100</v>
      </c>
      <c r="H14" s="2" t="inlineStr">
        <is>
          <t>Explicit host or operational/financial support language</t>
        </is>
      </c>
      <c r="I14" s="3" t="n">
        <v>0</v>
      </c>
      <c r="J14" s="3" t="n">
        <v>62.5</v>
      </c>
      <c r="K14" s="2" t="inlineStr">
        <is>
          <t>Volunteer staffing missing/unknown scored 0; Review affiliation coding; override available; Service-delivery field not applicable/unknown scored 0</t>
        </is>
      </c>
    </row>
    <row r="15">
      <c r="A15" s="2" t="inlineStr">
        <is>
          <t>bioRxiv</t>
        </is>
      </c>
      <c r="B15" s="3" t="n">
        <v>100</v>
      </c>
      <c r="C15" s="3" t="n">
        <v>100</v>
      </c>
      <c r="D15" s="3" t="n">
        <v>0</v>
      </c>
      <c r="E15" s="3" t="n">
        <v>0</v>
      </c>
      <c r="F15" s="3" t="n">
        <v>0</v>
      </c>
      <c r="G15" s="3" t="n">
        <v>0</v>
      </c>
      <c r="H15" s="2" t="inlineStr">
        <is>
          <t>Blank: zero under the agreed unavailable-data rule</t>
        </is>
      </c>
      <c r="I15" s="3" t="n">
        <v>0</v>
      </c>
      <c r="J15" s="3" t="n">
        <v>40</v>
      </c>
      <c r="K15" s="2" t="inlineStr">
        <is>
          <t>Full-time staffing missing/unknown scored 0; Volunteer staffing missing/unknown scored 0; Service-delivery field not applicable/unknown scored 0</t>
        </is>
      </c>
    </row>
    <row r="16">
      <c r="A16" s="2" t="inlineStr">
        <is>
          <t>BitCurator Environment</t>
        </is>
      </c>
      <c r="B16" s="3" t="n">
        <v>100</v>
      </c>
      <c r="C16" s="3" t="n">
        <v>100</v>
      </c>
      <c r="D16" s="3" t="n">
        <v>0</v>
      </c>
      <c r="E16" s="3" t="n">
        <v>50</v>
      </c>
      <c r="F16" s="3" t="n">
        <v>25</v>
      </c>
      <c r="G16" s="3" t="n">
        <v>100</v>
      </c>
      <c r="H16" s="2" t="inlineStr">
        <is>
          <t>Explicit host or operational/financial support language</t>
        </is>
      </c>
      <c r="I16" s="3" t="n">
        <v>0</v>
      </c>
      <c r="J16" s="3" t="n">
        <v>65</v>
      </c>
      <c r="K16" s="2" t="inlineStr">
        <is>
          <t>Review affiliation coding; override available</t>
        </is>
      </c>
    </row>
    <row r="17">
      <c r="A17" s="2" t="inlineStr">
        <is>
          <t>Blacklight</t>
        </is>
      </c>
      <c r="B17" s="3" t="n">
        <v>100</v>
      </c>
      <c r="C17" s="3" t="n">
        <v>100</v>
      </c>
      <c r="D17" s="3" t="n">
        <v>50</v>
      </c>
      <c r="E17" s="3" t="n">
        <v>0</v>
      </c>
      <c r="F17" s="3" t="n">
        <v>25</v>
      </c>
      <c r="G17" s="3" t="n">
        <v>0</v>
      </c>
      <c r="H17" s="2" t="inlineStr">
        <is>
          <t>Explicit absence or placeholder</t>
        </is>
      </c>
      <c r="I17" s="3" t="n">
        <v>100</v>
      </c>
      <c r="J17" s="3" t="n">
        <v>65</v>
      </c>
      <c r="K17" s="2" t="inlineStr">
        <is>
          <t>Volunteer staffing missing/unknown scored 0; Review affiliation coding; override available</t>
        </is>
      </c>
    </row>
    <row r="18">
      <c r="A18" s="2" t="inlineStr">
        <is>
          <t>BrCRIS</t>
        </is>
      </c>
      <c r="B18" s="3" t="n">
        <v>100</v>
      </c>
      <c r="C18" s="3" t="n">
        <v>100</v>
      </c>
      <c r="D18" s="3" t="n">
        <v>0</v>
      </c>
      <c r="E18" s="3" t="n">
        <v>0</v>
      </c>
      <c r="F18" s="3" t="n">
        <v>0</v>
      </c>
      <c r="G18" s="3" t="n">
        <v>0</v>
      </c>
      <c r="H18" s="2" t="inlineStr">
        <is>
          <t>Blank: zero under the agreed unavailable-data rule</t>
        </is>
      </c>
      <c r="I18" s="3" t="n">
        <v>0</v>
      </c>
      <c r="J18" s="3" t="n">
        <v>40</v>
      </c>
      <c r="K18" s="2" t="inlineStr">
        <is>
          <t>Full-time staffing missing/unknown scored 0; Volunteer staffing missing/unknown scored 0; Service-delivery field not applicable/unknown scored 0</t>
        </is>
      </c>
    </row>
    <row r="19">
      <c r="A19" s="2" t="inlineStr">
        <is>
          <t>Browsertrix</t>
        </is>
      </c>
      <c r="B19" s="3" t="n">
        <v>100</v>
      </c>
      <c r="C19" s="3" t="n">
        <v>100</v>
      </c>
      <c r="D19" s="3" t="n">
        <v>25</v>
      </c>
      <c r="E19" s="3" t="n">
        <v>0</v>
      </c>
      <c r="F19" s="3" t="n">
        <v>12.5</v>
      </c>
      <c r="G19" s="3" t="n">
        <v>50</v>
      </c>
      <c r="H19" s="2" t="inlineStr">
        <is>
          <t>Substantive affiliation or membership reported; level of operational support not established</t>
        </is>
      </c>
      <c r="I19" s="3" t="n">
        <v>100</v>
      </c>
      <c r="J19" s="3" t="n">
        <v>72.5</v>
      </c>
      <c r="K19" s="2" t="inlineStr">
        <is>
          <t>Review affiliation coding; override available</t>
        </is>
      </c>
    </row>
    <row r="20">
      <c r="A20" s="2" t="inlineStr">
        <is>
          <t>CLOCKSS</t>
        </is>
      </c>
      <c r="B20" s="3" t="n">
        <v>100</v>
      </c>
      <c r="C20" s="3" t="n">
        <v>100</v>
      </c>
      <c r="D20" s="3" t="n">
        <v>25</v>
      </c>
      <c r="E20" s="3" t="n">
        <v>0</v>
      </c>
      <c r="F20" s="3" t="n">
        <v>12.5</v>
      </c>
      <c r="G20" s="3" t="n">
        <v>0</v>
      </c>
      <c r="H20" s="2" t="inlineStr">
        <is>
          <t>Explicit absence or placeholder</t>
        </is>
      </c>
      <c r="I20" s="3" t="n">
        <v>100</v>
      </c>
      <c r="J20" s="3" t="n">
        <v>62.5</v>
      </c>
      <c r="K20" s="2" t="inlineStr">
        <is>
          <t>Review affiliation coding; override available</t>
        </is>
      </c>
    </row>
    <row r="21">
      <c r="A21" s="2" t="inlineStr">
        <is>
          <t>COAR International Repository Directory (IRD)</t>
        </is>
      </c>
      <c r="B21" s="3" t="n">
        <v>100</v>
      </c>
      <c r="C21" s="3" t="n">
        <v>100</v>
      </c>
      <c r="D21" s="3" t="n">
        <v>25</v>
      </c>
      <c r="E21" s="3" t="n">
        <v>0</v>
      </c>
      <c r="F21" s="3" t="n">
        <v>12.5</v>
      </c>
      <c r="G21" s="3" t="n">
        <v>50</v>
      </c>
      <c r="H21" s="2" t="inlineStr">
        <is>
          <t>Substantive affiliation or membership reported; level of operational support not established</t>
        </is>
      </c>
      <c r="I21" s="3" t="n">
        <v>0</v>
      </c>
      <c r="J21" s="3" t="n">
        <v>52.5</v>
      </c>
      <c r="K21" s="2" t="inlineStr">
        <is>
          <t>Volunteer staffing missing/unknown scored 0; Review affiliation coding; override available; Service-delivery field not applicable/unknown scored 0</t>
        </is>
      </c>
    </row>
    <row r="22">
      <c r="A22" s="2" t="inlineStr">
        <is>
          <t>COAR Notify</t>
        </is>
      </c>
      <c r="B22" s="3" t="n">
        <v>100</v>
      </c>
      <c r="C22" s="3" t="n">
        <v>100</v>
      </c>
      <c r="D22" s="3" t="n">
        <v>0</v>
      </c>
      <c r="E22" s="3" t="n">
        <v>0</v>
      </c>
      <c r="F22" s="3" t="n">
        <v>0</v>
      </c>
      <c r="G22" s="3" t="n">
        <v>0</v>
      </c>
      <c r="H22" s="2" t="inlineStr">
        <is>
          <t>Explicit absence or placeholder</t>
        </is>
      </c>
      <c r="I22" s="3" t="n">
        <v>100</v>
      </c>
      <c r="J22" s="3" t="n">
        <v>60</v>
      </c>
      <c r="K22" s="2" t="inlineStr">
        <is>
          <t>Full-time staffing missing/unknown scored 0; Volunteer staffing missing/unknown scored 0; Review affiliation coding; override available</t>
        </is>
      </c>
    </row>
    <row r="23">
      <c r="A23" s="2" t="inlineStr">
        <is>
          <t>CollectiveAccess</t>
        </is>
      </c>
      <c r="B23" s="3" t="n">
        <v>100</v>
      </c>
      <c r="C23" s="3" t="n">
        <v>100</v>
      </c>
      <c r="D23" s="3" t="n">
        <v>50</v>
      </c>
      <c r="E23" s="3" t="n">
        <v>0</v>
      </c>
      <c r="F23" s="3" t="n">
        <v>25</v>
      </c>
      <c r="G23" s="3" t="n">
        <v>0</v>
      </c>
      <c r="H23" s="2" t="inlineStr">
        <is>
          <t>Explicit absence or placeholder</t>
        </is>
      </c>
      <c r="I23" s="3" t="n">
        <v>100</v>
      </c>
      <c r="J23" s="3" t="n">
        <v>65</v>
      </c>
      <c r="K23" s="2" t="inlineStr">
        <is>
          <t>Review affiliation coding; override available</t>
        </is>
      </c>
    </row>
    <row r="24">
      <c r="A24" s="2" t="inlineStr">
        <is>
          <t>CORE</t>
        </is>
      </c>
      <c r="B24" s="3" t="n">
        <v>100</v>
      </c>
      <c r="C24" s="3" t="n">
        <v>100</v>
      </c>
      <c r="D24" s="3" t="n">
        <v>0</v>
      </c>
      <c r="E24" s="3" t="n">
        <v>0</v>
      </c>
      <c r="F24" s="3" t="n">
        <v>0</v>
      </c>
      <c r="G24" s="3" t="n">
        <v>0</v>
      </c>
      <c r="H24" s="2" t="inlineStr">
        <is>
          <t>Blank: zero under the agreed unavailable-data rule</t>
        </is>
      </c>
      <c r="I24" s="3" t="n">
        <v>0</v>
      </c>
      <c r="J24" s="3" t="n">
        <v>40</v>
      </c>
      <c r="K24" s="2" t="inlineStr">
        <is>
          <t>Full-time staffing missing/unknown scored 0; Volunteer staffing missing/unknown scored 0; Service-delivery field not applicable/unknown scored 0</t>
        </is>
      </c>
    </row>
    <row r="25">
      <c r="A25" s="2" t="inlineStr">
        <is>
          <t>COUNTER Code of Practice</t>
        </is>
      </c>
      <c r="B25" s="3" t="n">
        <v>100</v>
      </c>
      <c r="C25" s="3" t="n">
        <v>100</v>
      </c>
      <c r="D25" s="3" t="n">
        <v>0</v>
      </c>
      <c r="E25" s="3" t="n">
        <v>0</v>
      </c>
      <c r="F25" s="3" t="n">
        <v>0</v>
      </c>
      <c r="G25" s="3" t="n">
        <v>0</v>
      </c>
      <c r="H25" s="2" t="inlineStr">
        <is>
          <t>Blank: zero under the agreed unavailable-data rule</t>
        </is>
      </c>
      <c r="I25" s="3" t="n">
        <v>0</v>
      </c>
      <c r="J25" s="3" t="n">
        <v>40</v>
      </c>
      <c r="K25" s="2" t="inlineStr">
        <is>
          <t>Full-time staffing missing/unknown scored 0; Volunteer staffing missing/unknown scored 0; Service-delivery field not applicable/unknown scored 0</t>
        </is>
      </c>
    </row>
    <row r="26">
      <c r="A26" s="2" t="inlineStr">
        <is>
          <t>Creative Commons Licenses</t>
        </is>
      </c>
      <c r="B26" s="3" t="n">
        <v>88.88888888888889</v>
      </c>
      <c r="C26" s="3" t="n">
        <v>100</v>
      </c>
      <c r="D26" s="3" t="n">
        <v>0</v>
      </c>
      <c r="E26" s="3" t="n">
        <v>0</v>
      </c>
      <c r="F26" s="3" t="n">
        <v>0</v>
      </c>
      <c r="G26" s="3" t="n">
        <v>0</v>
      </c>
      <c r="H26" s="2" t="inlineStr">
        <is>
          <t>Blank: zero under the agreed unavailable-data rule</t>
        </is>
      </c>
      <c r="I26" s="3" t="n">
        <v>0</v>
      </c>
      <c r="J26" s="3" t="n">
        <v>37.77777777777778</v>
      </c>
      <c r="K26" s="2" t="inlineStr">
        <is>
          <t>Full-time staffing missing/unknown scored 0; Volunteer staffing missing/unknown scored 0; Service-delivery field not applicable/unknown scored 0</t>
        </is>
      </c>
    </row>
    <row r="27">
      <c r="A27" s="2" t="inlineStr">
        <is>
          <t>Crossref Metadata Retrieval</t>
        </is>
      </c>
      <c r="B27" s="3" t="n">
        <v>100</v>
      </c>
      <c r="C27" s="3" t="n">
        <v>100</v>
      </c>
      <c r="D27" s="3" t="n">
        <v>0</v>
      </c>
      <c r="E27" s="3" t="n">
        <v>0</v>
      </c>
      <c r="F27" s="3" t="n">
        <v>0</v>
      </c>
      <c r="G27" s="3" t="n">
        <v>0</v>
      </c>
      <c r="H27" s="2" t="inlineStr">
        <is>
          <t>Blank: zero under the agreed unavailable-data rule</t>
        </is>
      </c>
      <c r="I27" s="3" t="n">
        <v>0</v>
      </c>
      <c r="J27" s="3" t="n">
        <v>40</v>
      </c>
      <c r="K27" s="2" t="inlineStr">
        <is>
          <t>Full-time staffing missing/unknown scored 0; Volunteer staffing missing/unknown scored 0; Service-delivery field not applicable/unknown scored 0</t>
        </is>
      </c>
    </row>
    <row r="28">
      <c r="A28" s="2" t="inlineStr">
        <is>
          <t>D4Science Infrastructure</t>
        </is>
      </c>
      <c r="B28" s="3" t="n">
        <v>100</v>
      </c>
      <c r="C28" s="3" t="n">
        <v>100</v>
      </c>
      <c r="D28" s="3" t="n">
        <v>50</v>
      </c>
      <c r="E28" s="3" t="n">
        <v>100</v>
      </c>
      <c r="F28" s="3" t="n">
        <v>75</v>
      </c>
      <c r="G28" s="3" t="n">
        <v>100</v>
      </c>
      <c r="H28" s="2" t="inlineStr">
        <is>
          <t>Explicit host or operational/financial support language</t>
        </is>
      </c>
      <c r="I28" s="3" t="n">
        <v>100</v>
      </c>
      <c r="J28" s="3" t="n">
        <v>95</v>
      </c>
      <c r="K28" s="2" t="inlineStr">
        <is>
          <t>Review affiliation coding; override available</t>
        </is>
      </c>
    </row>
    <row r="29">
      <c r="A29" s="2" t="inlineStr">
        <is>
          <t>DART (Digital Archivist's Resource Tool)</t>
        </is>
      </c>
      <c r="B29" s="3" t="n">
        <v>100</v>
      </c>
      <c r="C29" s="3" t="n">
        <v>100</v>
      </c>
      <c r="D29" s="3" t="n">
        <v>25</v>
      </c>
      <c r="E29" s="3" t="n">
        <v>0</v>
      </c>
      <c r="F29" s="3" t="n">
        <v>12.5</v>
      </c>
      <c r="G29" s="3" t="n">
        <v>50</v>
      </c>
      <c r="H29" s="2" t="inlineStr">
        <is>
          <t>Substantive affiliation or membership reported; level of operational support not established</t>
        </is>
      </c>
      <c r="I29" s="3" t="n">
        <v>0</v>
      </c>
      <c r="J29" s="3" t="n">
        <v>52.5</v>
      </c>
      <c r="K29" s="2" t="inlineStr">
        <is>
          <t>Volunteer staffing missing/unknown scored 0; Review affiliation coding; override available</t>
        </is>
      </c>
    </row>
    <row r="30">
      <c r="A30" s="2" t="inlineStr">
        <is>
          <t>Database Information System</t>
        </is>
      </c>
      <c r="B30" s="3" t="n">
        <v>100</v>
      </c>
      <c r="C30" s="3" t="n">
        <v>100</v>
      </c>
      <c r="D30" s="3" t="n">
        <v>0</v>
      </c>
      <c r="E30" s="3" t="n">
        <v>0</v>
      </c>
      <c r="F30" s="3" t="n">
        <v>0</v>
      </c>
      <c r="G30" s="3" t="n">
        <v>50</v>
      </c>
      <c r="H30" s="2" t="inlineStr">
        <is>
          <t>Substantive affiliation or membership reported; level of operational support not established</t>
        </is>
      </c>
      <c r="I30" s="3" t="n">
        <v>100</v>
      </c>
      <c r="J30" s="3" t="n">
        <v>70</v>
      </c>
      <c r="K30" s="2" t="inlineStr">
        <is>
          <t>Full-time staffing missing/unknown scored 0; Volunteer staffing missing/unknown scored 0; Review affiliation coding; override available</t>
        </is>
      </c>
    </row>
    <row r="31">
      <c r="A31" s="2" t="inlineStr">
        <is>
          <t>Data Citation Corpus</t>
        </is>
      </c>
      <c r="B31" s="3" t="n">
        <v>55.55555555555556</v>
      </c>
      <c r="C31" s="3" t="n">
        <v>100</v>
      </c>
      <c r="D31" s="3" t="n">
        <v>0</v>
      </c>
      <c r="E31" s="3" t="n">
        <v>75</v>
      </c>
      <c r="F31" s="3" t="n">
        <v>37.5</v>
      </c>
      <c r="G31" s="3" t="n">
        <v>50</v>
      </c>
      <c r="H31" s="2" t="inlineStr">
        <is>
          <t>Substantive affiliation or membership reported; level of operational support not established</t>
        </is>
      </c>
      <c r="I31" s="3" t="n">
        <v>0</v>
      </c>
      <c r="J31" s="3" t="n">
        <v>48.61111111111111</v>
      </c>
      <c r="K31" s="2" t="inlineStr">
        <is>
          <t>Full-time staffing missing/unknown scored 0; Review affiliation coding; override available; Service-delivery field not applicable/unknown scored 0</t>
        </is>
      </c>
    </row>
    <row r="32">
      <c r="A32" s="2" t="inlineStr">
        <is>
          <t>DataCite</t>
        </is>
      </c>
      <c r="B32" s="3" t="n">
        <v>100</v>
      </c>
      <c r="C32" s="3" t="n">
        <v>100</v>
      </c>
      <c r="D32" s="3" t="n">
        <v>0</v>
      </c>
      <c r="E32" s="3" t="n">
        <v>0</v>
      </c>
      <c r="F32" s="3" t="n">
        <v>0</v>
      </c>
      <c r="G32" s="3" t="n">
        <v>0</v>
      </c>
      <c r="H32" s="2" t="inlineStr">
        <is>
          <t>Blank: zero under the agreed unavailable-data rule</t>
        </is>
      </c>
      <c r="I32" s="3" t="n">
        <v>0</v>
      </c>
      <c r="J32" s="3" t="n">
        <v>40</v>
      </c>
      <c r="K32" s="2" t="inlineStr">
        <is>
          <t>Full-time staffing missing/unknown scored 0; Volunteer staffing missing/unknown scored 0; Service-delivery field not applicable/unknown scored 0</t>
        </is>
      </c>
    </row>
    <row r="33">
      <c r="A33" s="2" t="inlineStr">
        <is>
          <t>Data Stewardship Wizard</t>
        </is>
      </c>
      <c r="B33" s="3" t="n">
        <v>100</v>
      </c>
      <c r="C33" s="3" t="n">
        <v>100</v>
      </c>
      <c r="D33" s="3" t="n">
        <v>0</v>
      </c>
      <c r="E33" s="3" t="n">
        <v>0</v>
      </c>
      <c r="F33" s="3" t="n">
        <v>0</v>
      </c>
      <c r="G33" s="3" t="n">
        <v>50</v>
      </c>
      <c r="H33" s="2" t="inlineStr">
        <is>
          <t>Substantive affiliation or membership reported; level of operational support not established</t>
        </is>
      </c>
      <c r="I33" s="3" t="n">
        <v>100</v>
      </c>
      <c r="J33" s="3" t="n">
        <v>70</v>
      </c>
      <c r="K33" s="2" t="inlineStr">
        <is>
          <t>Full-time staffing missing/unknown scored 0; Volunteer staffing missing/unknown scored 0; Review affiliation coding; override available</t>
        </is>
      </c>
    </row>
    <row r="34">
      <c r="A34" s="2" t="inlineStr">
        <is>
          <t>Dataverse</t>
        </is>
      </c>
      <c r="B34" s="3" t="n">
        <v>100</v>
      </c>
      <c r="C34" s="3" t="n">
        <v>100</v>
      </c>
      <c r="D34" s="3" t="n">
        <v>0</v>
      </c>
      <c r="E34" s="3" t="n">
        <v>0</v>
      </c>
      <c r="F34" s="3" t="n">
        <v>0</v>
      </c>
      <c r="G34" s="3" t="n">
        <v>0</v>
      </c>
      <c r="H34" s="2" t="inlineStr">
        <is>
          <t>Blank: zero under the agreed unavailable-data rule</t>
        </is>
      </c>
      <c r="I34" s="3" t="n">
        <v>100</v>
      </c>
      <c r="J34" s="3" t="n">
        <v>60</v>
      </c>
      <c r="K34" s="2" t="inlineStr">
        <is>
          <t>Full-time staffing missing/unknown scored 0; Volunteer staffing missing/unknown scored 0</t>
        </is>
      </c>
    </row>
    <row r="35">
      <c r="A35" s="2" t="inlineStr">
        <is>
          <t>DLCM Backend</t>
        </is>
      </c>
      <c r="B35" s="3" t="n">
        <v>100</v>
      </c>
      <c r="C35" s="3" t="n">
        <v>100</v>
      </c>
      <c r="D35" s="3" t="n">
        <v>25</v>
      </c>
      <c r="E35" s="3" t="n">
        <v>25</v>
      </c>
      <c r="F35" s="3" t="n">
        <v>25</v>
      </c>
      <c r="G35" s="3" t="n">
        <v>50</v>
      </c>
      <c r="H35" s="2" t="inlineStr">
        <is>
          <t>Substantive affiliation or membership reported; level of operational support not established</t>
        </is>
      </c>
      <c r="I35" s="3" t="n">
        <v>100</v>
      </c>
      <c r="J35" s="3" t="n">
        <v>75</v>
      </c>
      <c r="K35" s="2" t="inlineStr">
        <is>
          <t>Review affiliation coding; override available</t>
        </is>
      </c>
    </row>
    <row r="36">
      <c r="A36" s="2" t="inlineStr">
        <is>
          <t>DLCM Portal</t>
        </is>
      </c>
      <c r="B36" s="3" t="n">
        <v>100</v>
      </c>
      <c r="C36" s="3" t="n">
        <v>100</v>
      </c>
      <c r="D36" s="3" t="n">
        <v>25</v>
      </c>
      <c r="E36" s="3" t="n">
        <v>25</v>
      </c>
      <c r="F36" s="3" t="n">
        <v>25</v>
      </c>
      <c r="G36" s="3" t="n">
        <v>50</v>
      </c>
      <c r="H36" s="2" t="inlineStr">
        <is>
          <t>Substantive affiliation or membership reported; level of operational support not established</t>
        </is>
      </c>
      <c r="I36" s="3" t="n">
        <v>100</v>
      </c>
      <c r="J36" s="3" t="n">
        <v>75</v>
      </c>
      <c r="K36" s="2" t="inlineStr">
        <is>
          <t>Review affiliation coding; override available</t>
        </is>
      </c>
    </row>
    <row r="37">
      <c r="A37" s="2" t="inlineStr">
        <is>
          <t>DMP Tool</t>
        </is>
      </c>
      <c r="B37" s="3" t="n">
        <v>100</v>
      </c>
      <c r="C37" s="3" t="n">
        <v>100</v>
      </c>
      <c r="D37" s="3" t="n">
        <v>25</v>
      </c>
      <c r="E37" s="3" t="n">
        <v>0</v>
      </c>
      <c r="F37" s="3" t="n">
        <v>12.5</v>
      </c>
      <c r="G37" s="3" t="n">
        <v>0</v>
      </c>
      <c r="H37" s="2" t="inlineStr">
        <is>
          <t>Blank: zero under the agreed unavailable-data rule</t>
        </is>
      </c>
      <c r="I37" s="3" t="n">
        <v>100</v>
      </c>
      <c r="J37" s="3" t="n">
        <v>62.5</v>
      </c>
      <c r="K37" s="2" t="inlineStr"/>
    </row>
    <row r="38">
      <c r="A38" s="2" t="inlineStr">
        <is>
          <t>DOAJ (Directory of Open Access Journals)</t>
        </is>
      </c>
      <c r="B38" s="3" t="n">
        <v>100</v>
      </c>
      <c r="C38" s="3" t="n">
        <v>100</v>
      </c>
      <c r="D38" s="3" t="n">
        <v>0</v>
      </c>
      <c r="E38" s="3" t="n">
        <v>0</v>
      </c>
      <c r="F38" s="3" t="n">
        <v>0</v>
      </c>
      <c r="G38" s="3" t="n">
        <v>0</v>
      </c>
      <c r="H38" s="2" t="inlineStr">
        <is>
          <t>Blank: zero under the agreed unavailable-data rule</t>
        </is>
      </c>
      <c r="I38" s="3" t="n">
        <v>0</v>
      </c>
      <c r="J38" s="3" t="n">
        <v>40</v>
      </c>
      <c r="K38" s="2" t="inlineStr">
        <is>
          <t>Full-time staffing missing/unknown scored 0; Volunteer staffing missing/unknown scored 0; Service-delivery field not applicable/unknown scored 0</t>
        </is>
      </c>
    </row>
    <row r="39">
      <c r="A39" s="2" t="inlineStr">
        <is>
          <t>dokieli</t>
        </is>
      </c>
      <c r="B39" s="3" t="n">
        <v>55.55555555555556</v>
      </c>
      <c r="C39" s="3" t="n">
        <v>100</v>
      </c>
      <c r="D39" s="3" t="n">
        <v>0</v>
      </c>
      <c r="E39" s="3" t="n">
        <v>0</v>
      </c>
      <c r="F39" s="3" t="n">
        <v>0</v>
      </c>
      <c r="G39" s="3" t="n">
        <v>0</v>
      </c>
      <c r="H39" s="2" t="inlineStr">
        <is>
          <t>Blank: zero under the agreed unavailable-data rule</t>
        </is>
      </c>
      <c r="I39" s="3" t="n">
        <v>0</v>
      </c>
      <c r="J39" s="3" t="n">
        <v>31.11111111111111</v>
      </c>
      <c r="K39" s="2" t="inlineStr">
        <is>
          <t>Full-time staffing missing/unknown scored 0; Volunteer staffing missing/unknown scored 0; Service-delivery field not applicable/unknown scored 0</t>
        </is>
      </c>
    </row>
    <row r="40">
      <c r="A40" s="2" t="inlineStr">
        <is>
          <t>Dryad</t>
        </is>
      </c>
      <c r="B40" s="3" t="n">
        <v>100</v>
      </c>
      <c r="C40" s="3" t="n">
        <v>100</v>
      </c>
      <c r="D40" s="3" t="n">
        <v>0</v>
      </c>
      <c r="E40" s="3" t="n">
        <v>0</v>
      </c>
      <c r="F40" s="3" t="n">
        <v>0</v>
      </c>
      <c r="G40" s="3" t="n">
        <v>0</v>
      </c>
      <c r="H40" s="2" t="inlineStr">
        <is>
          <t>Blank: zero under the agreed unavailable-data rule</t>
        </is>
      </c>
      <c r="I40" s="3" t="n">
        <v>0</v>
      </c>
      <c r="J40" s="3" t="n">
        <v>40</v>
      </c>
      <c r="K40" s="2" t="inlineStr">
        <is>
          <t>Full-time staffing missing/unknown scored 0; Volunteer staffing missing/unknown scored 0; Service-delivery field not applicable/unknown scored 0</t>
        </is>
      </c>
    </row>
    <row r="41">
      <c r="A41" s="2" t="inlineStr">
        <is>
          <t>DSpace</t>
        </is>
      </c>
      <c r="B41" s="3" t="n">
        <v>100</v>
      </c>
      <c r="C41" s="3" t="n">
        <v>100</v>
      </c>
      <c r="D41" s="3" t="n">
        <v>25</v>
      </c>
      <c r="E41" s="3" t="n">
        <v>0</v>
      </c>
      <c r="F41" s="3" t="n">
        <v>12.5</v>
      </c>
      <c r="G41" s="3" t="n">
        <v>0</v>
      </c>
      <c r="H41" s="2" t="inlineStr">
        <is>
          <t>Blank: zero under the agreed unavailable-data rule</t>
        </is>
      </c>
      <c r="I41" s="3" t="n">
        <v>100</v>
      </c>
      <c r="J41" s="3" t="n">
        <v>62.5</v>
      </c>
      <c r="K41" s="2" t="inlineStr"/>
    </row>
    <row r="42">
      <c r="A42" s="2" t="inlineStr">
        <is>
          <t>DuraCloud</t>
        </is>
      </c>
      <c r="B42" s="3" t="n">
        <v>100</v>
      </c>
      <c r="C42" s="3" t="n">
        <v>100</v>
      </c>
      <c r="D42" s="3" t="n">
        <v>0</v>
      </c>
      <c r="E42" s="3" t="n">
        <v>0</v>
      </c>
      <c r="F42" s="3" t="n">
        <v>0</v>
      </c>
      <c r="G42" s="3" t="n">
        <v>0</v>
      </c>
      <c r="H42" s="2" t="inlineStr">
        <is>
          <t>Explicit absence or placeholder</t>
        </is>
      </c>
      <c r="I42" s="3" t="n">
        <v>100</v>
      </c>
      <c r="J42" s="3" t="n">
        <v>60</v>
      </c>
      <c r="K42" s="2" t="inlineStr">
        <is>
          <t>Full-time staffing missing/unknown scored 0; Volunteer staffing missing/unknown scored 0; Review affiliation coding; override available</t>
        </is>
      </c>
    </row>
    <row r="43">
      <c r="A43" s="2" t="inlineStr">
        <is>
          <t>Episciences</t>
        </is>
      </c>
      <c r="B43" s="3" t="n">
        <v>100</v>
      </c>
      <c r="C43" s="3" t="n">
        <v>100</v>
      </c>
      <c r="D43" s="3" t="n">
        <v>25</v>
      </c>
      <c r="E43" s="3" t="n">
        <v>100</v>
      </c>
      <c r="F43" s="3" t="n">
        <v>62.5</v>
      </c>
      <c r="G43" s="3" t="n">
        <v>50</v>
      </c>
      <c r="H43" s="2" t="inlineStr">
        <is>
          <t>Substantive affiliation or membership reported; level of operational support not established</t>
        </is>
      </c>
      <c r="I43" s="3" t="n">
        <v>0</v>
      </c>
      <c r="J43" s="3" t="n">
        <v>62.5</v>
      </c>
      <c r="K43" s="2" t="inlineStr">
        <is>
          <t>Review affiliation coding; override available; Service-delivery field not applicable/unknown scored 0</t>
        </is>
      </c>
    </row>
    <row r="44">
      <c r="A44" s="2" t="inlineStr">
        <is>
          <t>EPrints</t>
        </is>
      </c>
      <c r="B44" s="3" t="n">
        <v>100</v>
      </c>
      <c r="C44" s="3" t="n">
        <v>100</v>
      </c>
      <c r="D44" s="3" t="n">
        <v>0</v>
      </c>
      <c r="E44" s="3" t="n">
        <v>0</v>
      </c>
      <c r="F44" s="3" t="n">
        <v>0</v>
      </c>
      <c r="G44" s="3" t="n">
        <v>50</v>
      </c>
      <c r="H44" s="2" t="inlineStr">
        <is>
          <t>Substantive affiliation or membership reported; level of operational support not established</t>
        </is>
      </c>
      <c r="I44" s="3" t="n">
        <v>100</v>
      </c>
      <c r="J44" s="3" t="n">
        <v>70</v>
      </c>
      <c r="K44" s="2" t="inlineStr">
        <is>
          <t>Full-time staffing missing/unknown scored 0; Volunteer staffing missing/unknown scored 0; Review affiliation coding; override available</t>
        </is>
      </c>
    </row>
    <row r="45">
      <c r="A45" s="2" t="inlineStr">
        <is>
          <t>Érudit</t>
        </is>
      </c>
      <c r="B45" s="3" t="n">
        <v>100</v>
      </c>
      <c r="C45" s="3" t="n">
        <v>100</v>
      </c>
      <c r="D45" s="3" t="n">
        <v>0</v>
      </c>
      <c r="E45" s="3" t="n">
        <v>0</v>
      </c>
      <c r="F45" s="3" t="n">
        <v>0</v>
      </c>
      <c r="G45" s="3" t="n">
        <v>0</v>
      </c>
      <c r="H45" s="2" t="inlineStr">
        <is>
          <t>Blank: zero under the agreed unavailable-data rule</t>
        </is>
      </c>
      <c r="I45" s="3" t="n">
        <v>0</v>
      </c>
      <c r="J45" s="3" t="n">
        <v>40</v>
      </c>
      <c r="K45" s="2" t="inlineStr">
        <is>
          <t>Full-time staffing missing/unknown scored 0; Volunteer staffing missing/unknown scored 0; Service-delivery field not applicable/unknown scored 0</t>
        </is>
      </c>
    </row>
    <row r="46">
      <c r="A46" s="2" t="inlineStr">
        <is>
          <t>Europe PMC</t>
        </is>
      </c>
      <c r="B46" s="3" t="n">
        <v>100</v>
      </c>
      <c r="C46" s="3" t="n">
        <v>100</v>
      </c>
      <c r="D46" s="3" t="n">
        <v>75</v>
      </c>
      <c r="E46" s="3" t="n">
        <v>0</v>
      </c>
      <c r="F46" s="3" t="n">
        <v>37.5</v>
      </c>
      <c r="G46" s="3" t="n">
        <v>0</v>
      </c>
      <c r="H46" s="2" t="inlineStr">
        <is>
          <t>Blank: zero under the agreed unavailable-data rule</t>
        </is>
      </c>
      <c r="I46" s="3" t="n">
        <v>0</v>
      </c>
      <c r="J46" s="3" t="n">
        <v>47.5</v>
      </c>
      <c r="K46" s="2" t="inlineStr">
        <is>
          <t>Volunteer staffing missing/unknown scored 0; Service-delivery field not applicable/unknown scored 0</t>
        </is>
      </c>
    </row>
    <row r="47">
      <c r="A47" s="2" t="inlineStr">
        <is>
          <t>FAIR Wizard</t>
        </is>
      </c>
      <c r="B47" s="3" t="n">
        <v>100</v>
      </c>
      <c r="C47" s="3" t="n">
        <v>100</v>
      </c>
      <c r="D47" s="3" t="n">
        <v>25</v>
      </c>
      <c r="E47" s="3" t="n">
        <v>0</v>
      </c>
      <c r="F47" s="3" t="n">
        <v>12.5</v>
      </c>
      <c r="G47" s="3" t="n">
        <v>50</v>
      </c>
      <c r="H47" s="2" t="inlineStr">
        <is>
          <t>Substantive affiliation or membership reported; level of operational support not established</t>
        </is>
      </c>
      <c r="I47" s="3" t="n">
        <v>100</v>
      </c>
      <c r="J47" s="3" t="n">
        <v>72.5</v>
      </c>
      <c r="K47" s="2" t="inlineStr">
        <is>
          <t>Volunteer staffing missing/unknown scored 0; Review affiliation coding; override available</t>
        </is>
      </c>
    </row>
    <row r="48">
      <c r="A48" s="2" t="inlineStr">
        <is>
          <t>Fedora</t>
        </is>
      </c>
      <c r="B48" s="3" t="n">
        <v>100</v>
      </c>
      <c r="C48" s="3" t="n">
        <v>100</v>
      </c>
      <c r="D48" s="3" t="n">
        <v>25</v>
      </c>
      <c r="E48" s="3" t="n">
        <v>0</v>
      </c>
      <c r="F48" s="3" t="n">
        <v>12.5</v>
      </c>
      <c r="G48" s="3" t="n">
        <v>0</v>
      </c>
      <c r="H48" s="2" t="inlineStr">
        <is>
          <t>Blank: zero under the agreed unavailable-data rule</t>
        </is>
      </c>
      <c r="I48" s="3" t="n">
        <v>100</v>
      </c>
      <c r="J48" s="3" t="n">
        <v>62.5</v>
      </c>
      <c r="K48" s="2" t="inlineStr"/>
    </row>
    <row r="49">
      <c r="A49" s="2" t="inlineStr">
        <is>
          <t>fido</t>
        </is>
      </c>
      <c r="B49" s="3" t="n">
        <v>100</v>
      </c>
      <c r="C49" s="3" t="n">
        <v>100</v>
      </c>
      <c r="D49" s="3" t="n">
        <v>50</v>
      </c>
      <c r="E49" s="3" t="n">
        <v>0</v>
      </c>
      <c r="F49" s="3" t="n">
        <v>25</v>
      </c>
      <c r="G49" s="3" t="n">
        <v>50</v>
      </c>
      <c r="H49" s="2" t="inlineStr">
        <is>
          <t>Substantive affiliation or membership reported; level of operational support not established</t>
        </is>
      </c>
      <c r="I49" s="3" t="n">
        <v>0</v>
      </c>
      <c r="J49" s="3" t="n">
        <v>55</v>
      </c>
      <c r="K49" s="2" t="inlineStr">
        <is>
          <t>Volunteer staffing missing/unknown scored 0; Review affiliation coding; override available; Service-delivery field not applicable/unknown scored 0</t>
        </is>
      </c>
    </row>
    <row r="50">
      <c r="A50" s="2" t="inlineStr">
        <is>
          <t>Fulcrum</t>
        </is>
      </c>
      <c r="B50" s="3" t="n">
        <v>100</v>
      </c>
      <c r="C50" s="3" t="n">
        <v>100</v>
      </c>
      <c r="D50" s="3" t="n">
        <v>0</v>
      </c>
      <c r="E50" s="3" t="n">
        <v>0</v>
      </c>
      <c r="F50" s="3" t="n">
        <v>0</v>
      </c>
      <c r="G50" s="3" t="n">
        <v>0</v>
      </c>
      <c r="H50" s="2" t="inlineStr">
        <is>
          <t>Blank: zero under the agreed unavailable-data rule</t>
        </is>
      </c>
      <c r="I50" s="3" t="n">
        <v>100</v>
      </c>
      <c r="J50" s="3" t="n">
        <v>60</v>
      </c>
      <c r="K50" s="2" t="inlineStr">
        <is>
          <t>Full-time staffing missing/unknown scored 0; Volunteer staffing missing/unknown scored 0</t>
        </is>
      </c>
    </row>
    <row r="51">
      <c r="A51" s="2" t="inlineStr">
        <is>
          <t>Galaxy</t>
        </is>
      </c>
      <c r="B51" s="3" t="n">
        <v>100</v>
      </c>
      <c r="C51" s="3" t="n">
        <v>100</v>
      </c>
      <c r="D51" s="3" t="n">
        <v>100</v>
      </c>
      <c r="E51" s="3" t="n">
        <v>100</v>
      </c>
      <c r="F51" s="3" t="n">
        <v>100</v>
      </c>
      <c r="G51" s="3" t="n">
        <v>50</v>
      </c>
      <c r="H51" s="2" t="inlineStr">
        <is>
          <t>Substantive affiliation or membership reported; level of operational support not established</t>
        </is>
      </c>
      <c r="I51" s="3" t="n">
        <v>100</v>
      </c>
      <c r="J51" s="3" t="n">
        <v>90</v>
      </c>
      <c r="K51" s="2" t="inlineStr">
        <is>
          <t>Review affiliation coding; override available</t>
        </is>
      </c>
    </row>
    <row r="52">
      <c r="A52" s="2" t="inlineStr">
        <is>
          <t>GeoServer</t>
        </is>
      </c>
      <c r="B52" s="3" t="n">
        <v>100</v>
      </c>
      <c r="C52" s="3" t="n">
        <v>100</v>
      </c>
      <c r="D52" s="3" t="n">
        <v>0</v>
      </c>
      <c r="E52" s="3" t="n">
        <v>100</v>
      </c>
      <c r="F52" s="3" t="n">
        <v>50</v>
      </c>
      <c r="G52" s="3" t="n">
        <v>50</v>
      </c>
      <c r="H52" s="2" t="inlineStr">
        <is>
          <t>Substantive affiliation or membership reported; level of operational support not established</t>
        </is>
      </c>
      <c r="I52" s="3" t="n">
        <v>100</v>
      </c>
      <c r="J52" s="3" t="n">
        <v>80</v>
      </c>
      <c r="K52" s="2" t="inlineStr">
        <is>
          <t>Review affiliation coding; override available</t>
        </is>
      </c>
    </row>
    <row r="53">
      <c r="A53" s="2" t="inlineStr">
        <is>
          <t>Hyku</t>
        </is>
      </c>
      <c r="B53" s="3" t="n">
        <v>100</v>
      </c>
      <c r="C53" s="3" t="n">
        <v>100</v>
      </c>
      <c r="D53" s="3" t="n">
        <v>25</v>
      </c>
      <c r="E53" s="3" t="n">
        <v>25</v>
      </c>
      <c r="F53" s="3" t="n">
        <v>25</v>
      </c>
      <c r="G53" s="3" t="n">
        <v>0</v>
      </c>
      <c r="H53" s="2" t="inlineStr">
        <is>
          <t>Blank: zero under the agreed unavailable-data rule</t>
        </is>
      </c>
      <c r="I53" s="3" t="n">
        <v>100</v>
      </c>
      <c r="J53" s="3" t="n">
        <v>65</v>
      </c>
      <c r="K53" s="2" t="inlineStr"/>
    </row>
    <row r="54">
      <c r="A54" s="2" t="inlineStr">
        <is>
          <t>Hyrax</t>
        </is>
      </c>
      <c r="B54" s="3" t="n">
        <v>100</v>
      </c>
      <c r="C54" s="3" t="n">
        <v>100</v>
      </c>
      <c r="D54" s="3" t="n">
        <v>25</v>
      </c>
      <c r="E54" s="3" t="n">
        <v>25</v>
      </c>
      <c r="F54" s="3" t="n">
        <v>25</v>
      </c>
      <c r="G54" s="3" t="n">
        <v>0</v>
      </c>
      <c r="H54" s="2" t="inlineStr">
        <is>
          <t>Explicit absence or placeholder</t>
        </is>
      </c>
      <c r="I54" s="3" t="n">
        <v>100</v>
      </c>
      <c r="J54" s="3" t="n">
        <v>65</v>
      </c>
      <c r="K54" s="2" t="inlineStr">
        <is>
          <t>Review affiliation coding; override available</t>
        </is>
      </c>
    </row>
    <row r="55">
      <c r="A55" s="2" t="inlineStr">
        <is>
          <t>IIIF</t>
        </is>
      </c>
      <c r="B55" s="3" t="n">
        <v>100</v>
      </c>
      <c r="C55" s="3" t="n">
        <v>100</v>
      </c>
      <c r="D55" s="3" t="n">
        <v>0</v>
      </c>
      <c r="E55" s="3" t="n">
        <v>0</v>
      </c>
      <c r="F55" s="3" t="n">
        <v>0</v>
      </c>
      <c r="G55" s="3" t="n">
        <v>0</v>
      </c>
      <c r="H55" s="2" t="inlineStr">
        <is>
          <t>Blank: zero under the agreed unavailable-data rule</t>
        </is>
      </c>
      <c r="I55" s="3" t="n">
        <v>0</v>
      </c>
      <c r="J55" s="3" t="n">
        <v>40</v>
      </c>
      <c r="K55" s="2" t="inlineStr">
        <is>
          <t>Full-time staffing missing/unknown scored 0; Volunteer staffing missing/unknown scored 0; Service-delivery field not applicable/unknown scored 0</t>
        </is>
      </c>
    </row>
    <row r="56">
      <c r="A56" s="2" t="inlineStr">
        <is>
          <t>ImpactU</t>
        </is>
      </c>
      <c r="B56" s="3" t="n">
        <v>100</v>
      </c>
      <c r="C56" s="3" t="n">
        <v>100</v>
      </c>
      <c r="D56" s="3" t="n">
        <v>0</v>
      </c>
      <c r="E56" s="3" t="n">
        <v>0</v>
      </c>
      <c r="F56" s="3" t="n">
        <v>0</v>
      </c>
      <c r="G56" s="3" t="n">
        <v>50</v>
      </c>
      <c r="H56" s="2" t="inlineStr">
        <is>
          <t>Substantive affiliation or membership reported; level of operational support not established</t>
        </is>
      </c>
      <c r="I56" s="3" t="n">
        <v>100</v>
      </c>
      <c r="J56" s="3" t="n">
        <v>70</v>
      </c>
      <c r="K56" s="2" t="inlineStr">
        <is>
          <t>Full-time staffing missing/unknown scored 0; Volunteer staffing missing/unknown scored 0; Review affiliation coding; override available</t>
        </is>
      </c>
    </row>
    <row r="57">
      <c r="A57" s="2" t="inlineStr">
        <is>
          <t>International Generic Sample Number (IGSN)</t>
        </is>
      </c>
      <c r="B57" s="3" t="n">
        <v>100</v>
      </c>
      <c r="C57" s="3" t="n">
        <v>100</v>
      </c>
      <c r="D57" s="3" t="n">
        <v>25</v>
      </c>
      <c r="E57" s="3" t="n">
        <v>75</v>
      </c>
      <c r="F57" s="3" t="n">
        <v>50</v>
      </c>
      <c r="G57" s="3" t="n">
        <v>50</v>
      </c>
      <c r="H57" s="2" t="inlineStr">
        <is>
          <t>Substantive affiliation or membership reported; level of operational support not established</t>
        </is>
      </c>
      <c r="I57" s="3" t="n">
        <v>100</v>
      </c>
      <c r="J57" s="3" t="n">
        <v>80</v>
      </c>
      <c r="K57" s="2" t="inlineStr">
        <is>
          <t>Review affiliation coding; override available</t>
        </is>
      </c>
    </row>
    <row r="58">
      <c r="A58" s="2" t="inlineStr">
        <is>
          <t>InvenioRDM</t>
        </is>
      </c>
      <c r="B58" s="3" t="n">
        <v>88.88888888888889</v>
      </c>
      <c r="C58" s="3" t="n">
        <v>100</v>
      </c>
      <c r="D58" s="3" t="n">
        <v>0</v>
      </c>
      <c r="E58" s="3" t="n">
        <v>0</v>
      </c>
      <c r="F58" s="3" t="n">
        <v>0</v>
      </c>
      <c r="G58" s="3" t="n">
        <v>0</v>
      </c>
      <c r="H58" s="2" t="inlineStr">
        <is>
          <t>Blank: zero under the agreed unavailable-data rule</t>
        </is>
      </c>
      <c r="I58" s="3" t="n">
        <v>0</v>
      </c>
      <c r="J58" s="3" t="n">
        <v>37.77777777777778</v>
      </c>
      <c r="K58" s="2" t="inlineStr">
        <is>
          <t>Full-time staffing missing/unknown scored 0; Volunteer staffing missing/unknown scored 0</t>
        </is>
      </c>
    </row>
    <row r="59">
      <c r="A59" s="2" t="inlineStr">
        <is>
          <t>iRODS</t>
        </is>
      </c>
      <c r="B59" s="3" t="n">
        <v>100</v>
      </c>
      <c r="C59" s="3" t="n">
        <v>100</v>
      </c>
      <c r="D59" s="3" t="n">
        <v>50</v>
      </c>
      <c r="E59" s="3" t="n">
        <v>0</v>
      </c>
      <c r="F59" s="3" t="n">
        <v>25</v>
      </c>
      <c r="G59" s="3" t="n">
        <v>50</v>
      </c>
      <c r="H59" s="2" t="inlineStr">
        <is>
          <t>Substantive affiliation or membership reported; level of operational support not established</t>
        </is>
      </c>
      <c r="I59" s="3" t="n">
        <v>100</v>
      </c>
      <c r="J59" s="3" t="n">
        <v>75</v>
      </c>
      <c r="K59" s="2" t="inlineStr">
        <is>
          <t>Review affiliation coding; override available</t>
        </is>
      </c>
    </row>
    <row r="60">
      <c r="A60" s="2" t="inlineStr">
        <is>
          <t>Islandora</t>
        </is>
      </c>
      <c r="B60" s="3" t="n">
        <v>100</v>
      </c>
      <c r="C60" s="3" t="n">
        <v>100</v>
      </c>
      <c r="D60" s="3" t="n">
        <v>0</v>
      </c>
      <c r="E60" s="3" t="n">
        <v>0</v>
      </c>
      <c r="F60" s="3" t="n">
        <v>0</v>
      </c>
      <c r="G60" s="3" t="n">
        <v>0</v>
      </c>
      <c r="H60" s="2" t="inlineStr">
        <is>
          <t>Blank: zero under the agreed unavailable-data rule</t>
        </is>
      </c>
      <c r="I60" s="3" t="n">
        <v>100</v>
      </c>
      <c r="J60" s="3" t="n">
        <v>60</v>
      </c>
      <c r="K60" s="2" t="inlineStr">
        <is>
          <t>Full-time staffing missing/unknown scored 0; Volunteer staffing missing/unknown scored 0</t>
        </is>
      </c>
    </row>
    <row r="61">
      <c r="A61" s="2" t="inlineStr">
        <is>
          <t>Janeway</t>
        </is>
      </c>
      <c r="B61" s="3" t="n">
        <v>100</v>
      </c>
      <c r="C61" s="3" t="n">
        <v>100</v>
      </c>
      <c r="D61" s="3" t="n">
        <v>0</v>
      </c>
      <c r="E61" s="3" t="n">
        <v>0</v>
      </c>
      <c r="F61" s="3" t="n">
        <v>0</v>
      </c>
      <c r="G61" s="3" t="n">
        <v>0</v>
      </c>
      <c r="H61" s="2" t="inlineStr">
        <is>
          <t>Blank: zero under the agreed unavailable-data rule</t>
        </is>
      </c>
      <c r="I61" s="3" t="n">
        <v>100</v>
      </c>
      <c r="J61" s="3" t="n">
        <v>60</v>
      </c>
      <c r="K61" s="2" t="inlineStr">
        <is>
          <t>Full-time staffing missing/unknown scored 0; Volunteer staffing missing/unknown scored 0</t>
        </is>
      </c>
    </row>
    <row r="62">
      <c r="A62" s="2" t="inlineStr">
        <is>
          <t>JHOVE</t>
        </is>
      </c>
      <c r="B62" s="3" t="n">
        <v>100</v>
      </c>
      <c r="C62" s="3" t="n">
        <v>100</v>
      </c>
      <c r="D62" s="3" t="n">
        <v>25</v>
      </c>
      <c r="E62" s="3" t="n">
        <v>0</v>
      </c>
      <c r="F62" s="3" t="n">
        <v>12.5</v>
      </c>
      <c r="G62" s="3" t="n">
        <v>50</v>
      </c>
      <c r="H62" s="2" t="inlineStr">
        <is>
          <t>Substantive affiliation or membership reported; level of operational support not established</t>
        </is>
      </c>
      <c r="I62" s="3" t="n">
        <v>0</v>
      </c>
      <c r="J62" s="3" t="n">
        <v>52.5</v>
      </c>
      <c r="K62" s="2" t="inlineStr">
        <is>
          <t>Review affiliation coding; override available</t>
        </is>
      </c>
    </row>
    <row r="63">
      <c r="A63" s="2" t="inlineStr">
        <is>
          <t>LA Referencia</t>
        </is>
      </c>
      <c r="B63" s="3" t="n">
        <v>100</v>
      </c>
      <c r="C63" s="3" t="n">
        <v>100</v>
      </c>
      <c r="D63" s="3" t="n">
        <v>0</v>
      </c>
      <c r="E63" s="3" t="n">
        <v>0</v>
      </c>
      <c r="F63" s="3" t="n">
        <v>0</v>
      </c>
      <c r="G63" s="3" t="n">
        <v>0</v>
      </c>
      <c r="H63" s="2" t="inlineStr">
        <is>
          <t>Blank: zero under the agreed unavailable-data rule</t>
        </is>
      </c>
      <c r="I63" s="3" t="n">
        <v>0</v>
      </c>
      <c r="J63" s="3" t="n">
        <v>40</v>
      </c>
      <c r="K63" s="2" t="inlineStr">
        <is>
          <t>Full-time staffing missing/unknown scored 0; Volunteer staffing missing/unknown scored 0; Service-delivery field not applicable/unknown scored 0</t>
        </is>
      </c>
    </row>
    <row r="64">
      <c r="A64" s="2" t="inlineStr">
        <is>
          <t>Manifold</t>
        </is>
      </c>
      <c r="B64" s="3" t="n">
        <v>100</v>
      </c>
      <c r="C64" s="3" t="n">
        <v>100</v>
      </c>
      <c r="D64" s="3" t="n">
        <v>0</v>
      </c>
      <c r="E64" s="3" t="n">
        <v>0</v>
      </c>
      <c r="F64" s="3" t="n">
        <v>0</v>
      </c>
      <c r="G64" s="3" t="n">
        <v>0</v>
      </c>
      <c r="H64" s="2" t="inlineStr">
        <is>
          <t>Blank: zero under the agreed unavailable-data rule</t>
        </is>
      </c>
      <c r="I64" s="3" t="n">
        <v>100</v>
      </c>
      <c r="J64" s="3" t="n">
        <v>60</v>
      </c>
      <c r="K64" s="2" t="inlineStr">
        <is>
          <t>Full-time staffing missing/unknown scored 0; Volunteer staffing missing/unknown scored 0</t>
        </is>
      </c>
    </row>
    <row r="65">
      <c r="A65" s="2" t="inlineStr">
        <is>
          <t>medRxiv</t>
        </is>
      </c>
      <c r="B65" s="3" t="n">
        <v>100</v>
      </c>
      <c r="C65" s="3" t="n">
        <v>100</v>
      </c>
      <c r="D65" s="3" t="n">
        <v>0</v>
      </c>
      <c r="E65" s="3" t="n">
        <v>0</v>
      </c>
      <c r="F65" s="3" t="n">
        <v>0</v>
      </c>
      <c r="G65" s="3" t="n">
        <v>0</v>
      </c>
      <c r="H65" s="2" t="inlineStr">
        <is>
          <t>Blank: zero under the agreed unavailable-data rule</t>
        </is>
      </c>
      <c r="I65" s="3" t="n">
        <v>100</v>
      </c>
      <c r="J65" s="3" t="n">
        <v>60</v>
      </c>
      <c r="K65" s="2" t="inlineStr">
        <is>
          <t>Full-time staffing missing/unknown scored 0; Volunteer staffing missing/unknown scored 0</t>
        </is>
      </c>
    </row>
    <row r="66">
      <c r="A66" s="2" t="inlineStr">
        <is>
          <t>Metadata Encoding and Transmission Standard (METS)</t>
        </is>
      </c>
      <c r="B66" s="3" t="n">
        <v>100</v>
      </c>
      <c r="C66" s="3" t="n">
        <v>100</v>
      </c>
      <c r="D66" s="3" t="n">
        <v>0</v>
      </c>
      <c r="E66" s="3" t="n">
        <v>25</v>
      </c>
      <c r="F66" s="3" t="n">
        <v>12.5</v>
      </c>
      <c r="G66" s="3" t="n">
        <v>50</v>
      </c>
      <c r="H66" s="2" t="inlineStr">
        <is>
          <t>Substantive affiliation or membership reported; level of operational support not established</t>
        </is>
      </c>
      <c r="I66" s="3" t="n">
        <v>0</v>
      </c>
      <c r="J66" s="3" t="n">
        <v>52.5</v>
      </c>
      <c r="K66" s="2" t="inlineStr">
        <is>
          <t>Review affiliation coding; override available; Service-delivery field not applicable/unknown scored 0</t>
        </is>
      </c>
    </row>
    <row r="67">
      <c r="A67" s="2" t="inlineStr">
        <is>
          <t>Mirador</t>
        </is>
      </c>
      <c r="B67" s="3" t="n">
        <v>100</v>
      </c>
      <c r="C67" s="3" t="n">
        <v>100</v>
      </c>
      <c r="D67" s="3" t="n">
        <v>0</v>
      </c>
      <c r="E67" s="3" t="n">
        <v>0</v>
      </c>
      <c r="F67" s="3" t="n">
        <v>0</v>
      </c>
      <c r="G67" s="3" t="n">
        <v>0</v>
      </c>
      <c r="H67" s="2" t="inlineStr">
        <is>
          <t>Blank: zero under the agreed unavailable-data rule</t>
        </is>
      </c>
      <c r="I67" s="3" t="n">
        <v>0</v>
      </c>
      <c r="J67" s="3" t="n">
        <v>40</v>
      </c>
      <c r="K67" s="2" t="inlineStr">
        <is>
          <t>Full-time staffing missing/unknown scored 0; Volunteer staffing missing/unknown scored 0; Service-delivery field not applicable/unknown scored 0</t>
        </is>
      </c>
    </row>
    <row r="68">
      <c r="A68" s="2" t="inlineStr">
        <is>
          <t>Mukurtu CMS</t>
        </is>
      </c>
      <c r="B68" s="3" t="n">
        <v>100</v>
      </c>
      <c r="C68" s="3" t="n">
        <v>100</v>
      </c>
      <c r="D68" s="3" t="n">
        <v>0</v>
      </c>
      <c r="E68" s="3" t="n">
        <v>0</v>
      </c>
      <c r="F68" s="3" t="n">
        <v>0</v>
      </c>
      <c r="G68" s="3" t="n">
        <v>0</v>
      </c>
      <c r="H68" s="2" t="inlineStr">
        <is>
          <t>Blank: zero under the agreed unavailable-data rule</t>
        </is>
      </c>
      <c r="I68" s="3" t="n">
        <v>100</v>
      </c>
      <c r="J68" s="3" t="n">
        <v>60</v>
      </c>
      <c r="K68" s="2" t="inlineStr">
        <is>
          <t>Full-time staffing missing/unknown scored 0; Volunteer staffing missing/unknown scored 0</t>
        </is>
      </c>
    </row>
    <row r="69">
      <c r="A69" s="2" t="inlineStr">
        <is>
          <t>MyCoRe</t>
        </is>
      </c>
      <c r="B69" s="3" t="n">
        <v>100</v>
      </c>
      <c r="C69" s="3" t="n">
        <v>100</v>
      </c>
      <c r="D69" s="3" t="n">
        <v>25</v>
      </c>
      <c r="E69" s="3" t="n">
        <v>50</v>
      </c>
      <c r="F69" s="3" t="n">
        <v>37.5</v>
      </c>
      <c r="G69" s="3" t="n">
        <v>50</v>
      </c>
      <c r="H69" s="2" t="inlineStr">
        <is>
          <t>Substantive affiliation or membership reported; level of operational support not established</t>
        </is>
      </c>
      <c r="I69" s="3" t="n">
        <v>100</v>
      </c>
      <c r="J69" s="3" t="n">
        <v>77.5</v>
      </c>
      <c r="K69" s="2" t="inlineStr">
        <is>
          <t>Review affiliation coding; override available</t>
        </is>
      </c>
    </row>
    <row r="70">
      <c r="A70" s="2" t="inlineStr">
        <is>
          <t>NumPy</t>
        </is>
      </c>
      <c r="B70" s="3" t="n">
        <v>100</v>
      </c>
      <c r="C70" s="3" t="n">
        <v>100</v>
      </c>
      <c r="D70" s="3" t="n">
        <v>25</v>
      </c>
      <c r="E70" s="3" t="n">
        <v>50</v>
      </c>
      <c r="F70" s="3" t="n">
        <v>37.5</v>
      </c>
      <c r="G70" s="3" t="n">
        <v>50</v>
      </c>
      <c r="H70" s="2" t="inlineStr">
        <is>
          <t>Substantive affiliation or membership reported; level of operational support not established</t>
        </is>
      </c>
      <c r="I70" s="3" t="n">
        <v>0</v>
      </c>
      <c r="J70" s="3" t="n">
        <v>57.5</v>
      </c>
      <c r="K70" s="2" t="inlineStr">
        <is>
          <t>Review affiliation coding; override available; Service-delivery field not applicable/unknown scored 0</t>
        </is>
      </c>
    </row>
    <row r="71">
      <c r="A71" s="2" t="inlineStr">
        <is>
          <t>OA.Report</t>
        </is>
      </c>
      <c r="B71" s="3" t="n">
        <v>100</v>
      </c>
      <c r="C71" s="3" t="n">
        <v>100</v>
      </c>
      <c r="D71" s="3" t="n">
        <v>50</v>
      </c>
      <c r="E71" s="3" t="n">
        <v>0</v>
      </c>
      <c r="F71" s="3" t="n">
        <v>25</v>
      </c>
      <c r="G71" s="3" t="n">
        <v>100</v>
      </c>
      <c r="H71" s="2" t="inlineStr">
        <is>
          <t>Explicit host or operational/financial support language</t>
        </is>
      </c>
      <c r="I71" s="3" t="n">
        <v>100</v>
      </c>
      <c r="J71" s="3" t="n">
        <v>85</v>
      </c>
      <c r="K71" s="2" t="inlineStr">
        <is>
          <t>Review affiliation coding; override available</t>
        </is>
      </c>
    </row>
    <row r="72">
      <c r="A72" s="2" t="inlineStr">
        <is>
          <t>OA Switchboard</t>
        </is>
      </c>
      <c r="B72" s="3" t="n">
        <v>100</v>
      </c>
      <c r="C72" s="3" t="n">
        <v>100</v>
      </c>
      <c r="D72" s="3" t="n">
        <v>0</v>
      </c>
      <c r="E72" s="3" t="n">
        <v>0</v>
      </c>
      <c r="F72" s="3" t="n">
        <v>0</v>
      </c>
      <c r="G72" s="3" t="n">
        <v>0</v>
      </c>
      <c r="H72" s="2" t="inlineStr">
        <is>
          <t>Blank: zero under the agreed unavailable-data rule</t>
        </is>
      </c>
      <c r="I72" s="3" t="n">
        <v>0</v>
      </c>
      <c r="J72" s="3" t="n">
        <v>40</v>
      </c>
      <c r="K72" s="2" t="inlineStr">
        <is>
          <t>Full-time staffing missing/unknown scored 0; Volunteer staffing missing/unknown scored 0; Service-delivery field not applicable/unknown scored 0</t>
        </is>
      </c>
    </row>
    <row r="73">
      <c r="A73" s="2" t="inlineStr">
        <is>
          <t>Omeka</t>
        </is>
      </c>
      <c r="B73" s="3" t="n">
        <v>100</v>
      </c>
      <c r="C73" s="3" t="n">
        <v>100</v>
      </c>
      <c r="D73" s="3" t="n">
        <v>0</v>
      </c>
      <c r="E73" s="3" t="n">
        <v>0</v>
      </c>
      <c r="F73" s="3" t="n">
        <v>0</v>
      </c>
      <c r="G73" s="3" t="n">
        <v>0</v>
      </c>
      <c r="H73" s="2" t="inlineStr">
        <is>
          <t>Blank: zero under the agreed unavailable-data rule</t>
        </is>
      </c>
      <c r="I73" s="3" t="n">
        <v>100</v>
      </c>
      <c r="J73" s="3" t="n">
        <v>60</v>
      </c>
      <c r="K73" s="2" t="inlineStr">
        <is>
          <t>Full-time staffing missing/unknown scored 0; Volunteer staffing missing/unknown scored 0</t>
        </is>
      </c>
    </row>
    <row r="74">
      <c r="A74" s="2" t="inlineStr">
        <is>
          <t>OpenAIRE Graph</t>
        </is>
      </c>
      <c r="B74" s="3" t="n">
        <v>100</v>
      </c>
      <c r="C74" s="3" t="n">
        <v>100</v>
      </c>
      <c r="D74" s="3" t="n">
        <v>0</v>
      </c>
      <c r="E74" s="3" t="n">
        <v>0</v>
      </c>
      <c r="F74" s="3" t="n">
        <v>0</v>
      </c>
      <c r="G74" s="3" t="n">
        <v>50</v>
      </c>
      <c r="H74" s="2" t="inlineStr">
        <is>
          <t>Substantive affiliation or membership reported; level of operational support not established</t>
        </is>
      </c>
      <c r="I74" s="3" t="n">
        <v>0</v>
      </c>
      <c r="J74" s="3" t="n">
        <v>50</v>
      </c>
      <c r="K74" s="2" t="inlineStr">
        <is>
          <t>Full-time staffing missing/unknown scored 0; Volunteer staffing missing/unknown scored 0; Review affiliation coding; override available; Service-delivery field not applicable/unknown scored 0</t>
        </is>
      </c>
    </row>
    <row r="75">
      <c r="A75" s="2" t="inlineStr">
        <is>
          <t>OpenAlex</t>
        </is>
      </c>
      <c r="B75" s="3" t="n">
        <v>100</v>
      </c>
      <c r="C75" s="3" t="n">
        <v>100</v>
      </c>
      <c r="D75" s="3" t="n">
        <v>0</v>
      </c>
      <c r="E75" s="3" t="n">
        <v>0</v>
      </c>
      <c r="F75" s="3" t="n">
        <v>0</v>
      </c>
      <c r="G75" s="3" t="n">
        <v>0</v>
      </c>
      <c r="H75" s="2" t="inlineStr">
        <is>
          <t>Blank: zero under the agreed unavailable-data rule</t>
        </is>
      </c>
      <c r="I75" s="3" t="n">
        <v>0</v>
      </c>
      <c r="J75" s="3" t="n">
        <v>40</v>
      </c>
      <c r="K75" s="2" t="inlineStr">
        <is>
          <t>Full-time staffing missing/unknown scored 0; Volunteer staffing missing/unknown scored 0; Service-delivery field not applicable/unknown scored 0</t>
        </is>
      </c>
    </row>
    <row r="76">
      <c r="A76" s="2" t="inlineStr">
        <is>
          <t>OpenAPC</t>
        </is>
      </c>
      <c r="B76" s="3" t="n">
        <v>100</v>
      </c>
      <c r="C76" s="3" t="n">
        <v>100</v>
      </c>
      <c r="D76" s="3" t="n">
        <v>25</v>
      </c>
      <c r="E76" s="3" t="n">
        <v>0</v>
      </c>
      <c r="F76" s="3" t="n">
        <v>12.5</v>
      </c>
      <c r="G76" s="3" t="n">
        <v>50</v>
      </c>
      <c r="H76" s="2" t="inlineStr">
        <is>
          <t>Substantive affiliation or membership reported; level of operational support not established</t>
        </is>
      </c>
      <c r="I76" s="3" t="n">
        <v>0</v>
      </c>
      <c r="J76" s="3" t="n">
        <v>52.5</v>
      </c>
      <c r="K76" s="2" t="inlineStr">
        <is>
          <t>Review affiliation coding; override available; Service-delivery field not applicable/unknown scored 0</t>
        </is>
      </c>
    </row>
    <row r="77">
      <c r="A77" s="2" t="inlineStr">
        <is>
          <t>OpenCitations</t>
        </is>
      </c>
      <c r="B77" s="3" t="n">
        <v>100</v>
      </c>
      <c r="C77" s="3" t="n">
        <v>100</v>
      </c>
      <c r="D77" s="3" t="n">
        <v>50</v>
      </c>
      <c r="E77" s="3" t="n">
        <v>25</v>
      </c>
      <c r="F77" s="3" t="n">
        <v>37.5</v>
      </c>
      <c r="G77" s="3" t="n">
        <v>50</v>
      </c>
      <c r="H77" s="2" t="inlineStr">
        <is>
          <t>Substantive affiliation or membership reported; level of operational support not established</t>
        </is>
      </c>
      <c r="I77" s="3" t="n">
        <v>0</v>
      </c>
      <c r="J77" s="3" t="n">
        <v>57.5</v>
      </c>
      <c r="K77" s="2" t="inlineStr">
        <is>
          <t>Review affiliation coding; override available; Service-delivery field not applicable/unknown scored 0</t>
        </is>
      </c>
    </row>
    <row r="78">
      <c r="A78" s="2" t="inlineStr">
        <is>
          <t>openCost</t>
        </is>
      </c>
      <c r="B78" s="3" t="n">
        <v>100</v>
      </c>
      <c r="C78" s="3" t="n">
        <v>100</v>
      </c>
      <c r="D78" s="3" t="n">
        <v>0</v>
      </c>
      <c r="E78" s="3" t="n">
        <v>0</v>
      </c>
      <c r="F78" s="3" t="n">
        <v>0</v>
      </c>
      <c r="G78" s="3" t="n">
        <v>50</v>
      </c>
      <c r="H78" s="2" t="inlineStr">
        <is>
          <t>Substantive affiliation or membership reported; level of operational support not established</t>
        </is>
      </c>
      <c r="I78" s="3" t="n">
        <v>0</v>
      </c>
      <c r="J78" s="3" t="n">
        <v>50</v>
      </c>
      <c r="K78" s="2" t="inlineStr">
        <is>
          <t>Full-time staffing missing/unknown scored 0; Volunteer staffing missing/unknown scored 0; Review affiliation coding; override available; Service-delivery field not applicable/unknown scored 0</t>
        </is>
      </c>
    </row>
    <row r="79">
      <c r="A79" s="2" t="inlineStr">
        <is>
          <t>Open Data Editor</t>
        </is>
      </c>
      <c r="B79" s="3" t="n">
        <v>100</v>
      </c>
      <c r="C79" s="3" t="n">
        <v>100</v>
      </c>
      <c r="D79" s="3" t="n">
        <v>75</v>
      </c>
      <c r="E79" s="3" t="n">
        <v>100</v>
      </c>
      <c r="F79" s="3" t="n">
        <v>87.5</v>
      </c>
      <c r="G79" s="3" t="n">
        <v>50</v>
      </c>
      <c r="H79" s="2" t="inlineStr">
        <is>
          <t>Substantive affiliation or membership reported; level of operational support not established</t>
        </is>
      </c>
      <c r="I79" s="3" t="n">
        <v>0</v>
      </c>
      <c r="J79" s="3" t="n">
        <v>67.5</v>
      </c>
      <c r="K79" s="2" t="inlineStr">
        <is>
          <t>Review affiliation coding; override available; Service-delivery field not applicable/unknown scored 0</t>
        </is>
      </c>
    </row>
    <row r="80">
      <c r="A80" s="2" t="inlineStr">
        <is>
          <t>OpenEdition</t>
        </is>
      </c>
      <c r="B80" s="3" t="n">
        <v>100</v>
      </c>
      <c r="C80" s="3" t="n">
        <v>0</v>
      </c>
      <c r="D80" s="3" t="n">
        <v>0</v>
      </c>
      <c r="E80" s="3" t="n">
        <v>0</v>
      </c>
      <c r="F80" s="3" t="n">
        <v>0</v>
      </c>
      <c r="G80" s="3" t="n">
        <v>0</v>
      </c>
      <c r="H80" s="2" t="inlineStr">
        <is>
          <t>Blank: zero under the agreed unavailable-data rule</t>
        </is>
      </c>
      <c r="I80" s="3" t="n">
        <v>0</v>
      </c>
      <c r="J80" s="3" t="n">
        <v>20</v>
      </c>
      <c r="K80" s="2" t="inlineStr">
        <is>
          <t>Full-time staffing missing/unknown scored 0; Volunteer staffing missing/unknown scored 0; Service-delivery field not applicable/unknown scored 0</t>
        </is>
      </c>
    </row>
    <row r="81">
      <c r="A81" s="2" t="inlineStr">
        <is>
          <t>Open Journal Systems (OJS)</t>
        </is>
      </c>
      <c r="B81" s="3" t="n">
        <v>100</v>
      </c>
      <c r="C81" s="3" t="n">
        <v>100</v>
      </c>
      <c r="D81" s="3" t="n">
        <v>0</v>
      </c>
      <c r="E81" s="3" t="n">
        <v>0</v>
      </c>
      <c r="F81" s="3" t="n">
        <v>0</v>
      </c>
      <c r="G81" s="3" t="n">
        <v>0</v>
      </c>
      <c r="H81" s="2" t="inlineStr">
        <is>
          <t>Blank: zero under the agreed unavailable-data rule</t>
        </is>
      </c>
      <c r="I81" s="3" t="n">
        <v>100</v>
      </c>
      <c r="J81" s="3" t="n">
        <v>60</v>
      </c>
      <c r="K81" s="2" t="inlineStr">
        <is>
          <t>Full-time staffing missing/unknown scored 0; Volunteer staffing missing/unknown scored 0</t>
        </is>
      </c>
    </row>
    <row r="82">
      <c r="A82" s="2" t="inlineStr">
        <is>
          <t>Open Monograph Press (OMP)</t>
        </is>
      </c>
      <c r="B82" s="3" t="n">
        <v>100</v>
      </c>
      <c r="C82" s="3" t="n">
        <v>100</v>
      </c>
      <c r="D82" s="3" t="n">
        <v>0</v>
      </c>
      <c r="E82" s="3" t="n">
        <v>0</v>
      </c>
      <c r="F82" s="3" t="n">
        <v>0</v>
      </c>
      <c r="G82" s="3" t="n">
        <v>0</v>
      </c>
      <c r="H82" s="2" t="inlineStr">
        <is>
          <t>Blank: zero under the agreed unavailable-data rule</t>
        </is>
      </c>
      <c r="I82" s="3" t="n">
        <v>100</v>
      </c>
      <c r="J82" s="3" t="n">
        <v>60</v>
      </c>
      <c r="K82" s="2" t="inlineStr">
        <is>
          <t>Full-time staffing missing/unknown scored 0; Volunteer staffing missing/unknown scored 0</t>
        </is>
      </c>
    </row>
    <row r="83">
      <c r="A83" s="2" t="inlineStr">
        <is>
          <t>Open Preprint Systems (OPS)</t>
        </is>
      </c>
      <c r="B83" s="3" t="n">
        <v>100</v>
      </c>
      <c r="C83" s="3" t="n">
        <v>100</v>
      </c>
      <c r="D83" s="3" t="n">
        <v>0</v>
      </c>
      <c r="E83" s="3" t="n">
        <v>0</v>
      </c>
      <c r="F83" s="3" t="n">
        <v>0</v>
      </c>
      <c r="G83" s="3" t="n">
        <v>0</v>
      </c>
      <c r="H83" s="2" t="inlineStr">
        <is>
          <t>Blank: zero under the agreed unavailable-data rule</t>
        </is>
      </c>
      <c r="I83" s="3" t="n">
        <v>100</v>
      </c>
      <c r="J83" s="3" t="n">
        <v>60</v>
      </c>
      <c r="K83" s="2" t="inlineStr">
        <is>
          <t>Full-time staffing missing/unknown scored 0; Volunteer staffing missing/unknown scored 0</t>
        </is>
      </c>
    </row>
    <row r="84">
      <c r="A84" s="2" t="inlineStr">
        <is>
          <t>Openverse</t>
        </is>
      </c>
      <c r="B84" s="3" t="n">
        <v>100</v>
      </c>
      <c r="C84" s="3" t="n">
        <v>100</v>
      </c>
      <c r="D84" s="3" t="n">
        <v>50</v>
      </c>
      <c r="E84" s="3" t="n">
        <v>0</v>
      </c>
      <c r="F84" s="3" t="n">
        <v>25</v>
      </c>
      <c r="G84" s="3" t="n">
        <v>50</v>
      </c>
      <c r="H84" s="2" t="inlineStr">
        <is>
          <t>Substantive affiliation or membership reported; level of operational support not established</t>
        </is>
      </c>
      <c r="I84" s="3" t="n">
        <v>0</v>
      </c>
      <c r="J84" s="3" t="n">
        <v>55</v>
      </c>
      <c r="K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3" t="n">
        <v>100</v>
      </c>
      <c r="C85" s="3" t="n">
        <v>100</v>
      </c>
      <c r="D85" s="3" t="n">
        <v>0</v>
      </c>
      <c r="E85" s="3" t="n">
        <v>0</v>
      </c>
      <c r="F85" s="3" t="n">
        <v>0</v>
      </c>
      <c r="G85" s="3" t="n">
        <v>0</v>
      </c>
      <c r="H85" s="2" t="inlineStr">
        <is>
          <t>Blank: zero under the agreed unavailable-data rule</t>
        </is>
      </c>
      <c r="I85" s="3" t="n">
        <v>0</v>
      </c>
      <c r="J85" s="3" t="n">
        <v>40</v>
      </c>
      <c r="K85" s="2" t="inlineStr">
        <is>
          <t>Full-time staffing missing/unknown scored 0; Volunteer staffing missing/unknown scored 0; Service-delivery field not applicable/unknown scored 0</t>
        </is>
      </c>
    </row>
    <row r="86">
      <c r="A86" s="2" t="inlineStr">
        <is>
          <t>OSF (Open Science Framework)</t>
        </is>
      </c>
      <c r="B86" s="3" t="n">
        <v>100</v>
      </c>
      <c r="C86" s="3" t="n">
        <v>100</v>
      </c>
      <c r="D86" s="3" t="n">
        <v>0</v>
      </c>
      <c r="E86" s="3" t="n">
        <v>0</v>
      </c>
      <c r="F86" s="3" t="n">
        <v>0</v>
      </c>
      <c r="G86" s="3" t="n">
        <v>0</v>
      </c>
      <c r="H86" s="2" t="inlineStr">
        <is>
          <t>Blank: zero under the agreed unavailable-data rule</t>
        </is>
      </c>
      <c r="I86" s="3" t="n">
        <v>100</v>
      </c>
      <c r="J86" s="3" t="n">
        <v>60</v>
      </c>
      <c r="K86" s="2" t="inlineStr">
        <is>
          <t>Full-time staffing missing/unknown scored 0; Volunteer staffing missing/unknown scored 0</t>
        </is>
      </c>
    </row>
    <row r="87">
      <c r="A87" s="2" t="inlineStr">
        <is>
          <t>Oxford Common File Layout</t>
        </is>
      </c>
      <c r="B87" s="3" t="n">
        <v>100</v>
      </c>
      <c r="C87" s="3" t="n">
        <v>100</v>
      </c>
      <c r="D87" s="3" t="n">
        <v>0</v>
      </c>
      <c r="E87" s="3" t="n">
        <v>0</v>
      </c>
      <c r="F87" s="3" t="n">
        <v>0</v>
      </c>
      <c r="G87" s="3" t="n">
        <v>0</v>
      </c>
      <c r="H87" s="2" t="inlineStr">
        <is>
          <t>Blank: zero under the agreed unavailable-data rule</t>
        </is>
      </c>
      <c r="I87" s="3" t="n">
        <v>0</v>
      </c>
      <c r="J87" s="3" t="n">
        <v>40</v>
      </c>
      <c r="K87" s="2" t="inlineStr">
        <is>
          <t>Full-time staffing missing/unknown scored 0; Volunteer staffing missing/unknown scored 0; Service-delivery field not applicable/unknown scored 0</t>
        </is>
      </c>
    </row>
    <row r="88">
      <c r="A88" s="2" t="inlineStr">
        <is>
          <t>Peer Community In</t>
        </is>
      </c>
      <c r="B88" s="3" t="n">
        <v>100</v>
      </c>
      <c r="C88" s="3" t="n">
        <v>100</v>
      </c>
      <c r="D88" s="3" t="n">
        <v>0</v>
      </c>
      <c r="E88" s="3" t="n">
        <v>0</v>
      </c>
      <c r="F88" s="3" t="n">
        <v>0</v>
      </c>
      <c r="G88" s="3" t="n">
        <v>0</v>
      </c>
      <c r="H88" s="2" t="inlineStr">
        <is>
          <t>Blank: zero under the agreed unavailable-data rule</t>
        </is>
      </c>
      <c r="I88" s="3" t="n">
        <v>0</v>
      </c>
      <c r="J88" s="3" t="n">
        <v>40</v>
      </c>
      <c r="K88" s="2" t="inlineStr">
        <is>
          <t>Full-time staffing missing/unknown scored 0; Volunteer staffing missing/unknown scored 0; Service-delivery field not applicable/unknown scored 0</t>
        </is>
      </c>
    </row>
    <row r="89">
      <c r="A89" s="2" t="inlineStr">
        <is>
          <t>PKP Preservation Network</t>
        </is>
      </c>
      <c r="B89" s="3" t="n">
        <v>100</v>
      </c>
      <c r="C89" s="3" t="n">
        <v>100</v>
      </c>
      <c r="D89" s="3" t="n">
        <v>100</v>
      </c>
      <c r="E89" s="3" t="n">
        <v>0</v>
      </c>
      <c r="F89" s="3" t="n">
        <v>50</v>
      </c>
      <c r="G89" s="3" t="n">
        <v>50</v>
      </c>
      <c r="H89" s="2" t="inlineStr">
        <is>
          <t>Substantive affiliation or membership reported; level of operational support not established</t>
        </is>
      </c>
      <c r="I89" s="3" t="n">
        <v>0</v>
      </c>
      <c r="J89" s="3" t="n">
        <v>60</v>
      </c>
      <c r="K89" s="2" t="inlineStr">
        <is>
          <t>Volunteer staffing missing/unknown scored 0; Review affiliation coding; override available; Service-delivery field not applicable/unknown scored 0</t>
        </is>
      </c>
    </row>
    <row r="90">
      <c r="A90" s="2" t="inlineStr">
        <is>
          <t>PREreview</t>
        </is>
      </c>
      <c r="B90" s="3" t="n">
        <v>100</v>
      </c>
      <c r="C90" s="3" t="n">
        <v>100</v>
      </c>
      <c r="D90" s="3" t="n">
        <v>25</v>
      </c>
      <c r="E90" s="3" t="n">
        <v>0</v>
      </c>
      <c r="F90" s="3" t="n">
        <v>12.5</v>
      </c>
      <c r="G90" s="3" t="n">
        <v>0</v>
      </c>
      <c r="H90" s="2" t="inlineStr">
        <is>
          <t>Blank: zero under the agreed unavailable-data rule</t>
        </is>
      </c>
      <c r="I90" s="3" t="n">
        <v>0</v>
      </c>
      <c r="J90" s="3" t="n">
        <v>42.5</v>
      </c>
      <c r="K90" s="2" t="inlineStr">
        <is>
          <t>Volunteer staffing missing/unknown scored 0; Service-delivery field not applicable/unknown scored 0</t>
        </is>
      </c>
    </row>
    <row r="91">
      <c r="A91" s="2" t="inlineStr">
        <is>
          <t>Pressbooks</t>
        </is>
      </c>
      <c r="B91" s="3" t="n">
        <v>100</v>
      </c>
      <c r="C91" s="3" t="n">
        <v>100</v>
      </c>
      <c r="D91" s="3" t="n">
        <v>0</v>
      </c>
      <c r="E91" s="3" t="n">
        <v>0</v>
      </c>
      <c r="F91" s="3" t="n">
        <v>0</v>
      </c>
      <c r="G91" s="3" t="n">
        <v>0</v>
      </c>
      <c r="H91" s="2" t="inlineStr">
        <is>
          <t>Blank: zero under the agreed unavailable-data rule</t>
        </is>
      </c>
      <c r="I91" s="3" t="n">
        <v>100</v>
      </c>
      <c r="J91" s="3" t="n">
        <v>60</v>
      </c>
      <c r="K91" s="2" t="inlineStr">
        <is>
          <t>Full-time staffing missing/unknown scored 0; Volunteer staffing missing/unknown scored 0</t>
        </is>
      </c>
    </row>
    <row r="92">
      <c r="A92" s="2" t="inlineStr">
        <is>
          <t>Public Access Submission System</t>
        </is>
      </c>
      <c r="B92" s="3" t="n">
        <v>100</v>
      </c>
      <c r="C92" s="3" t="n">
        <v>100</v>
      </c>
      <c r="D92" s="3" t="n">
        <v>0</v>
      </c>
      <c r="E92" s="3" t="n">
        <v>0</v>
      </c>
      <c r="F92" s="3" t="n">
        <v>0</v>
      </c>
      <c r="G92" s="3" t="n">
        <v>0</v>
      </c>
      <c r="H92" s="2" t="inlineStr">
        <is>
          <t>Blank: zero under the agreed unavailable-data rule</t>
        </is>
      </c>
      <c r="I92" s="3" t="n">
        <v>0</v>
      </c>
      <c r="J92" s="3" t="n">
        <v>40</v>
      </c>
      <c r="K92" s="2" t="inlineStr">
        <is>
          <t>Full-time staffing missing/unknown scored 0; Volunteer staffing missing/unknown scored 0</t>
        </is>
      </c>
    </row>
    <row r="93">
      <c r="A93" s="2" t="inlineStr">
        <is>
          <t>Public Utility Data Liberation (PUDL)</t>
        </is>
      </c>
      <c r="B93" s="3" t="n">
        <v>100</v>
      </c>
      <c r="C93" s="3" t="n">
        <v>100</v>
      </c>
      <c r="D93" s="3" t="n">
        <v>50</v>
      </c>
      <c r="E93" s="3" t="n">
        <v>0</v>
      </c>
      <c r="F93" s="3" t="n">
        <v>25</v>
      </c>
      <c r="G93" s="3" t="n">
        <v>50</v>
      </c>
      <c r="H93" s="2" t="inlineStr">
        <is>
          <t>Substantive affiliation or membership reported; level of operational support not established</t>
        </is>
      </c>
      <c r="I93" s="3" t="n">
        <v>0</v>
      </c>
      <c r="J93" s="3" t="n">
        <v>55</v>
      </c>
      <c r="K93" s="2" t="inlineStr">
        <is>
          <t>Review affiliation coding; override available</t>
        </is>
      </c>
    </row>
    <row r="94">
      <c r="A94" s="2" t="inlineStr">
        <is>
          <t>PubPub</t>
        </is>
      </c>
      <c r="B94" s="3" t="n">
        <v>88.88888888888889</v>
      </c>
      <c r="C94" s="3" t="n">
        <v>100</v>
      </c>
      <c r="D94" s="3" t="n">
        <v>0</v>
      </c>
      <c r="E94" s="3" t="n">
        <v>0</v>
      </c>
      <c r="F94" s="3" t="n">
        <v>0</v>
      </c>
      <c r="G94" s="3" t="n">
        <v>0</v>
      </c>
      <c r="H94" s="2" t="inlineStr">
        <is>
          <t>Blank: zero under the agreed unavailable-data rule</t>
        </is>
      </c>
      <c r="I94" s="3" t="n">
        <v>100</v>
      </c>
      <c r="J94" s="3" t="n">
        <v>57.77777777777779</v>
      </c>
      <c r="K94" s="2" t="inlineStr">
        <is>
          <t>Full-time staffing missing/unknown scored 0; Volunteer staffing missing/unknown scored 0</t>
        </is>
      </c>
    </row>
    <row r="95">
      <c r="A95" s="2" t="inlineStr">
        <is>
          <t>Pundit</t>
        </is>
      </c>
      <c r="B95" s="3" t="n">
        <v>100</v>
      </c>
      <c r="C95" s="3" t="n">
        <v>100</v>
      </c>
      <c r="D95" s="3" t="n">
        <v>100</v>
      </c>
      <c r="E95" s="3" t="n">
        <v>0</v>
      </c>
      <c r="F95" s="3" t="n">
        <v>50</v>
      </c>
      <c r="G95" s="3" t="n">
        <v>0</v>
      </c>
      <c r="H95" s="2" t="inlineStr">
        <is>
          <t>Explicit absence or placeholder</t>
        </is>
      </c>
      <c r="I95" s="3" t="n">
        <v>100</v>
      </c>
      <c r="J95" s="3" t="n">
        <v>70</v>
      </c>
      <c r="K95" s="2" t="inlineStr">
        <is>
          <t>Review affiliation coding; override available</t>
        </is>
      </c>
    </row>
    <row r="96">
      <c r="A96" s="2" t="inlineStr">
        <is>
          <t>pyOpenSci</t>
        </is>
      </c>
      <c r="B96" s="3" t="n">
        <v>100</v>
      </c>
      <c r="C96" s="3" t="n">
        <v>100</v>
      </c>
      <c r="D96" s="3" t="n">
        <v>25</v>
      </c>
      <c r="E96" s="3" t="n">
        <v>100</v>
      </c>
      <c r="F96" s="3" t="n">
        <v>62.5</v>
      </c>
      <c r="G96" s="3" t="n">
        <v>100</v>
      </c>
      <c r="H96" s="2" t="inlineStr">
        <is>
          <t>Explicit host or operational/financial support language</t>
        </is>
      </c>
      <c r="I96" s="3" t="n">
        <v>0</v>
      </c>
      <c r="J96" s="3" t="n">
        <v>72.5</v>
      </c>
      <c r="K96" s="2" t="inlineStr">
        <is>
          <t>Review affiliation coding; override available; Service-delivery field not applicable/unknown scored 0</t>
        </is>
      </c>
    </row>
    <row r="97">
      <c r="A97" s="2" t="inlineStr">
        <is>
          <t>Renku</t>
        </is>
      </c>
      <c r="B97" s="3" t="n">
        <v>100</v>
      </c>
      <c r="C97" s="3" t="n">
        <v>100</v>
      </c>
      <c r="D97" s="3" t="n">
        <v>75</v>
      </c>
      <c r="E97" s="3" t="n">
        <v>25</v>
      </c>
      <c r="F97" s="3" t="n">
        <v>50</v>
      </c>
      <c r="G97" s="3" t="n">
        <v>50</v>
      </c>
      <c r="H97" s="2" t="inlineStr">
        <is>
          <t>Substantive affiliation or membership reported; level of operational support not established</t>
        </is>
      </c>
      <c r="I97" s="3" t="n">
        <v>100</v>
      </c>
      <c r="J97" s="3" t="n">
        <v>80</v>
      </c>
      <c r="K97" s="2" t="inlineStr">
        <is>
          <t>Review affiliation coding; override available</t>
        </is>
      </c>
    </row>
    <row r="98">
      <c r="A98" s="2" t="inlineStr">
        <is>
          <t>RePEc</t>
        </is>
      </c>
      <c r="B98" s="3" t="n">
        <v>100</v>
      </c>
      <c r="C98" s="3" t="n">
        <v>50</v>
      </c>
      <c r="D98" s="3" t="n">
        <v>0</v>
      </c>
      <c r="E98" s="3" t="n">
        <v>0</v>
      </c>
      <c r="F98" s="3" t="n">
        <v>0</v>
      </c>
      <c r="G98" s="3" t="n">
        <v>50</v>
      </c>
      <c r="H98" s="2" t="inlineStr">
        <is>
          <t>Substantive affiliation or membership reported; level of operational support not established</t>
        </is>
      </c>
      <c r="I98" s="3" t="n">
        <v>0</v>
      </c>
      <c r="J98" s="3" t="n">
        <v>40</v>
      </c>
      <c r="K98" s="2" t="inlineStr">
        <is>
          <t>Volunteer staffing missing/unknown scored 0; Review affiliation coding; override available; Service-delivery field not applicable/unknown scored 0</t>
        </is>
      </c>
    </row>
    <row r="99">
      <c r="A99" s="2" t="inlineStr">
        <is>
          <t>Research Organization Registry (ROR)</t>
        </is>
      </c>
      <c r="B99" s="3" t="n">
        <v>100</v>
      </c>
      <c r="C99" s="3" t="n">
        <v>100</v>
      </c>
      <c r="D99" s="3" t="n">
        <v>0</v>
      </c>
      <c r="E99" s="3" t="n">
        <v>0</v>
      </c>
      <c r="F99" s="3" t="n">
        <v>0</v>
      </c>
      <c r="G99" s="3" t="n">
        <v>0</v>
      </c>
      <c r="H99" s="2" t="inlineStr">
        <is>
          <t>Blank: zero under the agreed unavailable-data rule</t>
        </is>
      </c>
      <c r="I99" s="3" t="n">
        <v>0</v>
      </c>
      <c r="J99" s="3" t="n">
        <v>40</v>
      </c>
      <c r="K99" s="2" t="inlineStr">
        <is>
          <t>Full-time staffing missing/unknown scored 0; Volunteer staffing missing/unknown scored 0; Service-delivery field not applicable/unknown scored 0</t>
        </is>
      </c>
    </row>
    <row r="100">
      <c r="A100" s="2" t="inlineStr">
        <is>
          <t>Rogue Scholar</t>
        </is>
      </c>
      <c r="B100" s="3" t="n">
        <v>100</v>
      </c>
      <c r="C100" s="3" t="n">
        <v>100</v>
      </c>
      <c r="D100" s="3" t="n">
        <v>0</v>
      </c>
      <c r="E100" s="3" t="n">
        <v>0</v>
      </c>
      <c r="F100" s="3" t="n">
        <v>0</v>
      </c>
      <c r="G100" s="3" t="n">
        <v>0</v>
      </c>
      <c r="H100" s="2" t="inlineStr">
        <is>
          <t>Blank: zero under the agreed unavailable-data rule</t>
        </is>
      </c>
      <c r="I100" s="3" t="n">
        <v>0</v>
      </c>
      <c r="J100" s="3" t="n">
        <v>40</v>
      </c>
      <c r="K100" s="2" t="inlineStr">
        <is>
          <t>Full-time staffing missing/unknown scored 0; Volunteer staffing missing/unknown scored 0; Service-delivery field not applicable/unknown scored 0</t>
        </is>
      </c>
    </row>
    <row r="101">
      <c r="A101" s="2" t="inlineStr">
        <is>
          <t>RSpace</t>
        </is>
      </c>
      <c r="B101" s="3" t="n">
        <v>100</v>
      </c>
      <c r="C101" s="3" t="n">
        <v>100</v>
      </c>
      <c r="D101" s="3" t="n">
        <v>75</v>
      </c>
      <c r="E101" s="3" t="n">
        <v>0</v>
      </c>
      <c r="F101" s="3" t="n">
        <v>37.5</v>
      </c>
      <c r="G101" s="3" t="n">
        <v>0</v>
      </c>
      <c r="H101" s="2" t="inlineStr">
        <is>
          <t>Explicit absence or placeholder</t>
        </is>
      </c>
      <c r="I101" s="3" t="n">
        <v>100</v>
      </c>
      <c r="J101" s="3" t="n">
        <v>67.5</v>
      </c>
      <c r="K101" s="2" t="inlineStr">
        <is>
          <t>Review affiliation coding; override available</t>
        </is>
      </c>
    </row>
    <row r="102">
      <c r="A102" s="2" t="inlineStr">
        <is>
          <t>Sciety</t>
        </is>
      </c>
      <c r="B102" s="3" t="n">
        <v>100</v>
      </c>
      <c r="C102" s="3" t="n">
        <v>100</v>
      </c>
      <c r="D102" s="3" t="n">
        <v>25</v>
      </c>
      <c r="E102" s="3" t="n">
        <v>0</v>
      </c>
      <c r="F102" s="3" t="n">
        <v>12.5</v>
      </c>
      <c r="G102" s="3" t="n">
        <v>50</v>
      </c>
      <c r="H102" s="2" t="inlineStr">
        <is>
          <t>Substantive affiliation or membership reported; level of operational support not established</t>
        </is>
      </c>
      <c r="I102" s="3" t="n">
        <v>0</v>
      </c>
      <c r="J102" s="3" t="n">
        <v>52.5</v>
      </c>
      <c r="K102" s="2" t="inlineStr">
        <is>
          <t>Review affiliation coding; override available; Service-delivery field not applicable/unknown scored 0</t>
        </is>
      </c>
    </row>
    <row r="103">
      <c r="A103" s="2" t="inlineStr">
        <is>
          <t>Synapse</t>
        </is>
      </c>
      <c r="B103" s="3" t="n">
        <v>100</v>
      </c>
      <c r="C103" s="3" t="n">
        <v>100</v>
      </c>
      <c r="D103" s="3" t="n">
        <v>100</v>
      </c>
      <c r="E103" s="3" t="n">
        <v>0</v>
      </c>
      <c r="F103" s="3" t="n">
        <v>50</v>
      </c>
      <c r="G103" s="3" t="n">
        <v>0</v>
      </c>
      <c r="H103" s="2" t="inlineStr">
        <is>
          <t>Explicit absence or placeholder</t>
        </is>
      </c>
      <c r="I103" s="3" t="n">
        <v>100</v>
      </c>
      <c r="J103" s="3" t="n">
        <v>70</v>
      </c>
      <c r="K103" s="2" t="inlineStr">
        <is>
          <t>Review affiliation coding; override available</t>
        </is>
      </c>
    </row>
    <row r="104">
      <c r="A104" s="2" t="inlineStr">
        <is>
          <t>TagTeam</t>
        </is>
      </c>
      <c r="B104" s="3" t="n">
        <v>100</v>
      </c>
      <c r="C104" s="3" t="n">
        <v>50</v>
      </c>
      <c r="D104" s="3" t="n">
        <v>0</v>
      </c>
      <c r="E104" s="3" t="n">
        <v>100</v>
      </c>
      <c r="F104" s="3" t="n">
        <v>50</v>
      </c>
      <c r="G104" s="3" t="n">
        <v>50</v>
      </c>
      <c r="H104" s="2" t="inlineStr">
        <is>
          <t>Substantive affiliation or membership reported; level of operational support not established</t>
        </is>
      </c>
      <c r="I104" s="3" t="n">
        <v>0</v>
      </c>
      <c r="J104" s="3" t="n">
        <v>50</v>
      </c>
      <c r="K104" s="2" t="inlineStr">
        <is>
          <t>Review affiliation coding; override available; Service-delivery field not applicable/unknown scored 0</t>
        </is>
      </c>
    </row>
    <row r="105">
      <c r="A105" s="2" t="inlineStr">
        <is>
          <t>Thoth Open Metadata</t>
        </is>
      </c>
      <c r="B105" s="3" t="n">
        <v>100</v>
      </c>
      <c r="C105" s="3" t="n">
        <v>100</v>
      </c>
      <c r="D105" s="3" t="n">
        <v>25</v>
      </c>
      <c r="E105" s="3" t="n">
        <v>0</v>
      </c>
      <c r="F105" s="3" t="n">
        <v>12.5</v>
      </c>
      <c r="G105" s="3" t="n">
        <v>50</v>
      </c>
      <c r="H105" s="2" t="inlineStr">
        <is>
          <t>Substantive affiliation or membership reported; level of operational support not established</t>
        </is>
      </c>
      <c r="I105" s="3" t="n">
        <v>100</v>
      </c>
      <c r="J105" s="3" t="n">
        <v>72.5</v>
      </c>
      <c r="K105" s="2" t="inlineStr">
        <is>
          <t>Review affiliation coding; override available</t>
        </is>
      </c>
    </row>
    <row r="106">
      <c r="A106" s="2" t="inlineStr">
        <is>
          <t>Tropy</t>
        </is>
      </c>
      <c r="B106" s="3" t="n">
        <v>100</v>
      </c>
      <c r="C106" s="3" t="n">
        <v>100</v>
      </c>
      <c r="D106" s="3" t="n">
        <v>0</v>
      </c>
      <c r="E106" s="3" t="n">
        <v>0</v>
      </c>
      <c r="F106" s="3" t="n">
        <v>0</v>
      </c>
      <c r="G106" s="3" t="n">
        <v>0</v>
      </c>
      <c r="H106" s="2" t="inlineStr">
        <is>
          <t>Explicit absence or placeholder</t>
        </is>
      </c>
      <c r="I106" s="3" t="n">
        <v>0</v>
      </c>
      <c r="J106" s="3" t="n">
        <v>40</v>
      </c>
      <c r="K106" s="2" t="inlineStr">
        <is>
          <t>Full-time staffing missing/unknown scored 0; Volunteer staffing missing/unknown scored 0; Review affiliation coding; override available; Service-delivery field not applicable/unknown scored 0</t>
        </is>
      </c>
    </row>
    <row r="107">
      <c r="A107" s="2" t="inlineStr">
        <is>
          <t>veraPDF</t>
        </is>
      </c>
      <c r="B107" s="3" t="n">
        <v>100</v>
      </c>
      <c r="C107" s="3" t="n">
        <v>100</v>
      </c>
      <c r="D107" s="3" t="n">
        <v>25</v>
      </c>
      <c r="E107" s="3" t="n">
        <v>0</v>
      </c>
      <c r="F107" s="3" t="n">
        <v>12.5</v>
      </c>
      <c r="G107" s="3" t="n">
        <v>50</v>
      </c>
      <c r="H107" s="2" t="inlineStr">
        <is>
          <t>Substantive affiliation or membership reported; level of operational support not established</t>
        </is>
      </c>
      <c r="I107" s="3" t="n">
        <v>0</v>
      </c>
      <c r="J107" s="3" t="n">
        <v>52.5</v>
      </c>
      <c r="K107" s="2" t="inlineStr">
        <is>
          <t>Review affiliation coding; override available; Service-delivery field not applicable/unknown scored 0</t>
        </is>
      </c>
    </row>
    <row r="108">
      <c r="A108" s="2" t="inlineStr">
        <is>
          <t>ViPER</t>
        </is>
      </c>
      <c r="B108" s="3" t="n">
        <v>100</v>
      </c>
      <c r="C108" s="3" t="n">
        <v>100</v>
      </c>
      <c r="D108" s="3" t="n">
        <v>50</v>
      </c>
      <c r="E108" s="3" t="n">
        <v>0</v>
      </c>
      <c r="F108" s="3" t="n">
        <v>25</v>
      </c>
      <c r="G108" s="3" t="n">
        <v>50</v>
      </c>
      <c r="H108" s="2" t="inlineStr">
        <is>
          <t>Substantive affiliation or membership reported; level of operational support not established</t>
        </is>
      </c>
      <c r="I108" s="3" t="n">
        <v>0</v>
      </c>
      <c r="J108" s="3" t="n">
        <v>55</v>
      </c>
      <c r="K108" s="2" t="inlineStr">
        <is>
          <t>Volunteer staffing missing/unknown scored 0; Review affiliation coding; override available; Service-delivery field not applicable/unknown scored 0</t>
        </is>
      </c>
    </row>
    <row r="109">
      <c r="A109" s="2" t="inlineStr">
        <is>
          <t>Vireo ETD</t>
        </is>
      </c>
      <c r="B109" s="3" t="n">
        <v>100</v>
      </c>
      <c r="C109" s="3" t="n">
        <v>100</v>
      </c>
      <c r="D109" s="3" t="n">
        <v>25</v>
      </c>
      <c r="E109" s="3" t="n">
        <v>0</v>
      </c>
      <c r="F109" s="3" t="n">
        <v>12.5</v>
      </c>
      <c r="G109" s="3" t="n">
        <v>50</v>
      </c>
      <c r="H109" s="2" t="inlineStr">
        <is>
          <t>Substantive affiliation or membership reported; level of operational support not established</t>
        </is>
      </c>
      <c r="I109" s="3" t="n">
        <v>100</v>
      </c>
      <c r="J109" s="3" t="n">
        <v>72.5</v>
      </c>
      <c r="K109" s="2" t="inlineStr">
        <is>
          <t>Review affiliation coding; override available</t>
        </is>
      </c>
    </row>
    <row r="110">
      <c r="A110" s="2" t="inlineStr">
        <is>
          <t>VIVO</t>
        </is>
      </c>
      <c r="B110" s="3" t="n">
        <v>100</v>
      </c>
      <c r="C110" s="3" t="n">
        <v>100</v>
      </c>
      <c r="D110" s="3" t="n">
        <v>25</v>
      </c>
      <c r="E110" s="3" t="n">
        <v>0</v>
      </c>
      <c r="F110" s="3" t="n">
        <v>12.5</v>
      </c>
      <c r="G110" s="3" t="n">
        <v>100</v>
      </c>
      <c r="H110" s="2" t="inlineStr">
        <is>
          <t>Explicit host or operational/financial support language</t>
        </is>
      </c>
      <c r="I110" s="3" t="n">
        <v>100</v>
      </c>
      <c r="J110" s="3" t="n">
        <v>82.5</v>
      </c>
      <c r="K110" s="2" t="inlineStr">
        <is>
          <t>Review affiliation coding; override available</t>
        </is>
      </c>
    </row>
    <row r="111">
      <c r="A111" s="2" t="inlineStr">
        <is>
          <t>VuFind®</t>
        </is>
      </c>
      <c r="B111" s="3" t="n">
        <v>100</v>
      </c>
      <c r="C111" s="3" t="n">
        <v>100</v>
      </c>
      <c r="D111" s="3" t="n">
        <v>0</v>
      </c>
      <c r="E111" s="3" t="n">
        <v>0</v>
      </c>
      <c r="F111" s="3" t="n">
        <v>0</v>
      </c>
      <c r="G111" s="3" t="n">
        <v>0</v>
      </c>
      <c r="H111" s="2" t="inlineStr">
        <is>
          <t>Blank: zero under the agreed unavailable-data rule</t>
        </is>
      </c>
      <c r="I111" s="3" t="n">
        <v>100</v>
      </c>
      <c r="J111" s="3" t="n">
        <v>60</v>
      </c>
      <c r="K111" s="2" t="inlineStr">
        <is>
          <t>Full-time staffing missing/unknown scored 0; Volunteer staffing missing/unknown scored 0</t>
        </is>
      </c>
    </row>
    <row r="112">
      <c r="A112" s="2" t="inlineStr">
        <is>
          <t>Zenodo</t>
        </is>
      </c>
      <c r="B112" s="3" t="n">
        <v>100</v>
      </c>
      <c r="C112" s="3" t="n">
        <v>100</v>
      </c>
      <c r="D112" s="3" t="n">
        <v>0</v>
      </c>
      <c r="E112" s="3" t="n">
        <v>0</v>
      </c>
      <c r="F112" s="3" t="n">
        <v>0</v>
      </c>
      <c r="G112" s="3" t="n">
        <v>0</v>
      </c>
      <c r="H112" s="2" t="inlineStr">
        <is>
          <t>Blank: zero under the agreed unavailable-data rule</t>
        </is>
      </c>
      <c r="I112" s="3" t="n">
        <v>0</v>
      </c>
      <c r="J112" s="3" t="n">
        <v>40</v>
      </c>
      <c r="K112" s="2" t="inlineStr">
        <is>
          <t>Full-time staffing missing/unknown scored 0; Volunteer staffing missing/unknown scored 0; Service-delivery field not applicable/unknown scored 0</t>
        </is>
      </c>
    </row>
    <row r="113">
      <c r="A113" s="2" t="inlineStr">
        <is>
          <t>Zotero</t>
        </is>
      </c>
      <c r="B113" s="3" t="n">
        <v>100</v>
      </c>
      <c r="C113" s="3" t="n">
        <v>100</v>
      </c>
      <c r="D113" s="3" t="n">
        <v>0</v>
      </c>
      <c r="E113" s="3" t="n">
        <v>0</v>
      </c>
      <c r="F113" s="3" t="n">
        <v>0</v>
      </c>
      <c r="G113" s="3" t="n">
        <v>0</v>
      </c>
      <c r="H113" s="2" t="inlineStr">
        <is>
          <t>Explicit absence or placeholder</t>
        </is>
      </c>
      <c r="I113" s="3" t="n">
        <v>100</v>
      </c>
      <c r="J113" s="3" t="n">
        <v>60</v>
      </c>
      <c r="K113" s="2" t="inlineStr">
        <is>
          <t>Full-time staffing missing/unknown scored 0; Volunteer staffing missing/unknown scored 0; Review affiliation coding; override available</t>
        </is>
      </c>
    </row>
  </sheetData>
  <autoFilter ref="A1:K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11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6" customWidth="1" min="3" max="3"/>
    <col width="16" customWidth="1" min="4" max="4"/>
    <col width="23" customWidth="1" min="5" max="5"/>
    <col width="30" customWidth="1" min="6" max="6"/>
    <col width="19" customWidth="1" min="7" max="7"/>
    <col width="19" customWidth="1" min="8" max="8"/>
    <col width="25" customWidth="1" min="9" max="9"/>
    <col width="22" customWidth="1" min="10" max="10"/>
    <col width="18" customWidth="1" min="11" max="11"/>
    <col width="24" customWidth="1" min="12" max="12"/>
    <col width="24" customWidth="1" min="13" max="13"/>
    <col width="17" customWidth="1" min="14" max="14"/>
    <col width="28" customWidth="1" min="15" max="15"/>
    <col width="18" customWidth="1" min="16" max="16"/>
    <col width="16" customWidth="1" min="17" max="17"/>
    <col width="28" customWidth="1" min="18" max="18"/>
    <col width="34" customWidth="1" min="19" max="19"/>
    <col width="18" customWidth="1" min="20" max="20"/>
    <col width="34" customWidth="1" min="21" max="21"/>
    <col width="26" customWidth="1" min="22" max="22"/>
    <col width="24" customWidth="1" min="23" max="23"/>
    <col width="16" customWidth="1" min="24" max="24"/>
    <col width="21" customWidth="1" min="25" max="25"/>
    <col width="20" customWidth="1" min="26" max="26"/>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017_funding_needs</t>
        </is>
      </c>
      <c r="H1" s="1" t="inlineStr">
        <is>
          <t>051_business_form</t>
        </is>
      </c>
      <c r="I1" s="1" t="inlineStr">
        <is>
          <t>951_business_form_other</t>
        </is>
      </c>
      <c r="J1" s="1" t="inlineStr">
        <is>
          <t>052_nonprofit_status</t>
        </is>
      </c>
      <c r="K1" s="1" t="inlineStr">
        <is>
          <t>053_shareholders</t>
        </is>
      </c>
      <c r="L1" s="1" t="inlineStr">
        <is>
          <t>054_staffing_full_time</t>
        </is>
      </c>
      <c r="M1" s="1" t="inlineStr">
        <is>
          <t>055_staffing_volunteer</t>
        </is>
      </c>
      <c r="N1" s="1" t="inlineStr">
        <is>
          <t>056_launch_date</t>
        </is>
      </c>
      <c r="O1" s="1" t="inlineStr">
        <is>
          <t>057_organizational_history</t>
        </is>
      </c>
      <c r="P1" s="1" t="inlineStr">
        <is>
          <t>058_affiliations</t>
        </is>
      </c>
      <c r="Q1" s="1" t="inlineStr">
        <is>
          <t>059_founders</t>
        </is>
      </c>
      <c r="R1" s="1" t="inlineStr">
        <is>
          <t>061_primary_funding_source</t>
        </is>
      </c>
      <c r="S1" s="1" t="inlineStr">
        <is>
          <t>961_primary_funding_source_other</t>
        </is>
      </c>
      <c r="T1" s="1" t="inlineStr">
        <is>
          <t>076_saas_options</t>
        </is>
      </c>
      <c r="U1" s="1" t="inlineStr">
        <is>
          <t>077_registered_service_providers</t>
        </is>
      </c>
      <c r="V1" s="1" t="inlineStr">
        <is>
          <t>079_technology_readiness</t>
        </is>
      </c>
      <c r="W1" s="1" t="inlineStr">
        <is>
          <t>080_maintenance_status</t>
        </is>
      </c>
      <c r="X1" s="1" t="inlineStr">
        <is>
          <t>099_scoss</t>
        </is>
      </c>
      <c r="Y1" s="1" t="inlineStr">
        <is>
          <t>verification_status</t>
        </is>
      </c>
      <c r="Z1" s="1" t="inlineStr">
        <is>
          <t>verification_notes</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t>
        </is>
      </c>
      <c r="H2" s="2" t="inlineStr">
        <is>
          <t>Fiscal sponsorship (non-profit)</t>
        </is>
      </c>
      <c r="I2" s="2" t="n"/>
      <c r="J2" s="2" t="n"/>
      <c r="K2" s="2" t="inlineStr">
        <is>
          <t>FALSE</t>
        </is>
      </c>
      <c r="L2" s="2" t="n"/>
      <c r="M2" s="2" t="n"/>
      <c r="N2" s="2" t="inlineStr">
        <is>
          <t>2020-01-01</t>
        </is>
      </c>
      <c r="O2" s="2" t="inlineStr">
        <is>
          <t>&lt;p&gt;2i2c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t>
        </is>
      </c>
      <c r="P2" s="2" t="n"/>
      <c r="Q2" s="2" t="n"/>
      <c r="R2" s="2" t="inlineStr">
        <is>
          <t>Contributions</t>
        </is>
      </c>
      <c r="S2" s="2" t="n"/>
      <c r="T2" s="2" t="inlineStr">
        <is>
          <t>Not applicable</t>
        </is>
      </c>
      <c r="U2" s="2" t="n"/>
      <c r="V2" s="2" t="inlineStr">
        <is>
          <t>Actual system proven in operational environment</t>
        </is>
      </c>
      <c r="W2" s="2" t="inlineStr">
        <is>
          <t>Actively Maintained</t>
        </is>
      </c>
      <c r="X2" s="2" t="inlineStr">
        <is>
          <t>FALSE</t>
        </is>
      </c>
      <c r="Y2" s="2" t="n"/>
      <c r="Z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t>
        </is>
      </c>
      <c r="H3" s="2" t="inlineStr">
        <is>
          <t>Fiscal sponsorship (academic institution)</t>
        </is>
      </c>
      <c r="I3" s="2" t="n"/>
      <c r="J3" s="2" t="n"/>
      <c r="K3" s="2" t="inlineStr">
        <is>
          <t>FALSE</t>
        </is>
      </c>
      <c r="L3" s="2" t="inlineStr">
        <is>
          <t>1-5</t>
        </is>
      </c>
      <c r="M3" s="2" t="n"/>
      <c r="N3" s="2" t="inlineStr">
        <is>
          <t>2014-01-01</t>
        </is>
      </c>
      <c r="O3" s="2" t="inlineStr">
        <is>
          <t>https://aptrust.org/about/background/</t>
        </is>
      </c>
      <c r="P3" s="2" t="inlineStr">
        <is>
          <t>University of Virginia</t>
        </is>
      </c>
      <c r="Q3" s="2" t="inlineStr">
        <is>
          <t>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t>
        </is>
      </c>
      <c r="R3" s="2" t="inlineStr">
        <is>
          <t>Program service revenue</t>
        </is>
      </c>
      <c r="S3" s="2" t="n"/>
      <c r="T3" s="2" t="inlineStr">
        <is>
          <t>Through solution provider only</t>
        </is>
      </c>
      <c r="U3" s="2" t="n"/>
      <c r="V3" s="2" t="inlineStr">
        <is>
          <t>Actual system proven in operational environment</t>
        </is>
      </c>
      <c r="W3" s="2" t="inlineStr">
        <is>
          <t>Actively Maintained</t>
        </is>
      </c>
      <c r="X3" s="2" t="inlineStr">
        <is>
          <t>FALSE</t>
        </is>
      </c>
      <c r="Y3" s="2" t="n"/>
      <c r="Z3" s="2" t="n"/>
    </row>
    <row r="4">
      <c r="A4" s="2" t="inlineStr">
        <is>
          <t>AfricArXiv</t>
        </is>
      </c>
      <c r="B4" s="2" t="inlineStr">
        <is>
          <t>UbuntuNet Alliance</t>
        </is>
      </c>
      <c r="C4" s="2" t="inlineStr">
        <is>
          <t>https://africarxiv.org/</t>
        </is>
      </c>
      <c r="D4" s="2" t="inlineStr">
        <is>
          <t>MW</t>
        </is>
      </c>
      <c r="E4" s="2" t="inlineStr">
        <is>
          <t>Repository service</t>
        </is>
      </c>
      <c r="F4" s="2" t="n"/>
      <c r="G4" s="2" t="inlineStr">
        <is>
          <t>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t>
        </is>
      </c>
      <c r="H4" s="2" t="inlineStr">
        <is>
          <t>Fiscal sponsorship (non-profit)</t>
        </is>
      </c>
      <c r="I4" s="2" t="n"/>
      <c r="J4" s="2" t="n"/>
      <c r="K4" s="2" t="inlineStr">
        <is>
          <t>FALSE</t>
        </is>
      </c>
      <c r="L4" s="2" t="inlineStr">
        <is>
          <t>1-5</t>
        </is>
      </c>
      <c r="M4" s="2" t="inlineStr">
        <is>
          <t>1-5</t>
        </is>
      </c>
      <c r="N4" s="2" t="inlineStr">
        <is>
          <t>2018-01-01</t>
        </is>
      </c>
      <c r="O4" s="2" t="inlineStr">
        <is>
          <t>AfricArXiv Reports, articles, presentations, and datasets that the team created for the AfricArXiv community. are available at https://africarxiv.ubuntunet.net/handle/1/1535</t>
        </is>
      </c>
      <c r="P4" s="2" t="inlineStr">
        <is>
          <t>Access 2 Perspectives coordinates AfricArXiv’s operations. This includes managing day-to-day activities, overseeing submission processes, ensuring quality control, and facilitating the integration of AfricArXiv with other scholarly services</t>
        </is>
      </c>
      <c r="Q4" s="2" t="inlineStr">
        <is>
          <t>Dr. Johanna Havemann (concept and coordination)
Justin Ahinon (technical assistance and community engagement)</t>
        </is>
      </c>
      <c r="R4" s="2" t="inlineStr">
        <is>
          <t>Contributions</t>
        </is>
      </c>
      <c r="S4" s="2" t="n"/>
      <c r="T4" s="2" t="inlineStr">
        <is>
          <t>Not applicable</t>
        </is>
      </c>
      <c r="U4" s="2" t="n"/>
      <c r="V4" s="2" t="inlineStr">
        <is>
          <t>Actual system proven in operational environment</t>
        </is>
      </c>
      <c r="W4" s="2" t="inlineStr">
        <is>
          <t>Actively Maintained</t>
        </is>
      </c>
      <c r="X4" s="2" t="inlineStr">
        <is>
          <t>FALSE</t>
        </is>
      </c>
      <c r="Y4" s="2" t="n"/>
      <c r="Z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n"/>
      <c r="H5" s="2" t="inlineStr">
        <is>
          <t>Non-profit organization</t>
        </is>
      </c>
      <c r="I5" s="2" t="n"/>
      <c r="J5" s="2" t="inlineStr">
        <is>
          <t>501(c)3</t>
        </is>
      </c>
      <c r="K5" s="2" t="inlineStr">
        <is>
          <t>FALSE</t>
        </is>
      </c>
      <c r="L5" s="2" t="n"/>
      <c r="M5" s="2" t="n"/>
      <c r="N5" s="2" t="inlineStr">
        <is>
          <t>2013-01-01</t>
        </is>
      </c>
      <c r="O5" s="2" t="inlineStr">
        <is>
          <t>https://www.archesproject.org/archestimeline/</t>
        </is>
      </c>
      <c r="P5" s="2" t="inlineStr">
        <is>
          <t>Getty Conservation Institute
Farallon Geographics</t>
        </is>
      </c>
      <c r="Q5" s="2" t="inlineStr">
        <is>
          <t>Getty Conservation Institute
World Monuments Fund</t>
        </is>
      </c>
      <c r="R5" s="2" t="inlineStr">
        <is>
          <t>Contributions</t>
        </is>
      </c>
      <c r="S5" s="2" t="n"/>
      <c r="T5" s="2" t="inlineStr">
        <is>
          <t>Through third party vendor only</t>
        </is>
      </c>
      <c r="U5" s="2" t="inlineStr">
        <is>
          <t>https://www.archesproject.org/service-providers/</t>
        </is>
      </c>
      <c r="V5" s="2" t="inlineStr">
        <is>
          <t>Actual system proven in operational environment</t>
        </is>
      </c>
      <c r="W5" s="2" t="inlineStr">
        <is>
          <t>Actively Maintained</t>
        </is>
      </c>
      <c r="X5" s="2" t="inlineStr">
        <is>
          <t>FALSE</t>
        </is>
      </c>
      <c r="Y5" s="2" t="n"/>
      <c r="Z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Stable funding provided via METRO and managed services.</t>
        </is>
      </c>
      <c r="H6" s="2" t="inlineStr">
        <is>
          <t>Fiscal sponsorship (non-profit) | Non-profit organization</t>
        </is>
      </c>
      <c r="I6" s="2" t="n"/>
      <c r="J6" s="2" t="n"/>
      <c r="K6" s="2" t="inlineStr">
        <is>
          <t>FALSE</t>
        </is>
      </c>
      <c r="L6" s="2" t="n"/>
      <c r="M6" s="2" t="n"/>
      <c r="N6" s="2" t="inlineStr">
        <is>
          <t>2018-01-01</t>
        </is>
      </c>
      <c r="O6" s="2" t="inlineStr">
        <is>
          <t>&lt;a href="https://metro.org/about" target="_blank"&gt;https://metro.org/about&lt;/a&gt;</t>
        </is>
      </c>
      <c r="P6" s="2" t="n"/>
      <c r="Q6" s="2" t="n"/>
      <c r="R6" s="2" t="inlineStr">
        <is>
          <t>Other</t>
        </is>
      </c>
      <c r="S6" s="2" t="n"/>
      <c r="T6" s="2" t="inlineStr">
        <is>
          <t>Through solution provider or third party vendor</t>
        </is>
      </c>
      <c r="U6" s="2" t="n"/>
      <c r="V6" s="2" t="inlineStr">
        <is>
          <t>Actual system proven in operational environment</t>
        </is>
      </c>
      <c r="W6" s="2" t="inlineStr">
        <is>
          <t>Actively Maintained</t>
        </is>
      </c>
      <c r="X6" s="2" t="inlineStr">
        <is>
          <t>FALSE</t>
        </is>
      </c>
      <c r="Y6" s="2" t="n"/>
      <c r="Z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n"/>
      <c r="H7" s="2" t="inlineStr">
        <is>
          <t>Volunteer community</t>
        </is>
      </c>
      <c r="I7" s="2" t="n"/>
      <c r="J7" s="2" t="n"/>
      <c r="K7" s="2" t="inlineStr">
        <is>
          <t>FALSE</t>
        </is>
      </c>
      <c r="L7" s="2" t="n"/>
      <c r="M7" s="2" t="n"/>
      <c r="N7" s="2" t="inlineStr">
        <is>
          <t>2001-01-01</t>
        </is>
      </c>
      <c r="O7" s="2" t="inlineStr">
        <is>
          <t>In 2018, the California Digital Library and DuraSpace announced a collaboration, initially named ARKs-in-the-Open and then the ARK Alliance, to build an international community around ARKs and their use in open scholarship.</t>
        </is>
      </c>
      <c r="P7" s="2" t="n"/>
      <c r="Q7" s="2" t="n"/>
      <c r="R7" s="2" t="inlineStr">
        <is>
          <t>Other</t>
        </is>
      </c>
      <c r="S7" s="2" t="n"/>
      <c r="T7" s="2" t="inlineStr">
        <is>
          <t>Not applicable</t>
        </is>
      </c>
      <c r="U7" s="2" t="n"/>
      <c r="V7" s="2" t="inlineStr">
        <is>
          <t>Technology validated in relevant environment</t>
        </is>
      </c>
      <c r="W7" s="2" t="inlineStr">
        <is>
          <t>Actively Maintained</t>
        </is>
      </c>
      <c r="X7" s="2" t="inlineStr">
        <is>
          <t>FALSE</t>
        </is>
      </c>
      <c r="Y7" s="2" t="n"/>
      <c r="Z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8" s="2" t="inlineStr">
        <is>
          <t>Commercial (for-profit)</t>
        </is>
      </c>
      <c r="I8" s="2" t="n"/>
      <c r="J8" s="2" t="n"/>
      <c r="K8" s="2" t="inlineStr">
        <is>
          <t>TRUE</t>
        </is>
      </c>
      <c r="L8" s="2" t="inlineStr">
        <is>
          <t>More than 20</t>
        </is>
      </c>
      <c r="M8" s="2" t="n"/>
      <c r="N8" s="2" t="inlineStr">
        <is>
          <t>2009-01-01</t>
        </is>
      </c>
      <c r="O8"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8" s="2" t="inlineStr">
        <is>
          <t>No Affiliations</t>
        </is>
      </c>
      <c r="Q8" s="2" t="inlineStr">
        <is>
          <t>Artefactual Systems Inc.</t>
        </is>
      </c>
      <c r="R8" s="2" t="inlineStr">
        <is>
          <t>Program service revenue</t>
        </is>
      </c>
      <c r="S8" s="2" t="n"/>
      <c r="T8" s="2" t="inlineStr">
        <is>
          <t>Through solution provider or third party vendor</t>
        </is>
      </c>
      <c r="U8" s="2" t="inlineStr">
        <is>
          <t xml:space="preserve">https://www.artefactual.com/pricing </t>
        </is>
      </c>
      <c r="V8" s="2" t="inlineStr">
        <is>
          <t>Actual system proven in operational environment</t>
        </is>
      </c>
      <c r="W8" s="2" t="inlineStr">
        <is>
          <t>Actively Maintained</t>
        </is>
      </c>
      <c r="X8" s="2" t="inlineStr">
        <is>
          <t>FALSE</t>
        </is>
      </c>
      <c r="Y8" s="2" t="n"/>
      <c r="Z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accelerated feature development, improvements to the technical stack, integrations with other applications used in archives, anti-racism and inclusion improvements, expanded engagement and support offerings for the community, expansion of user community, sustainability overall</t>
        </is>
      </c>
      <c r="H9" s="2" t="inlineStr">
        <is>
          <t>Other</t>
        </is>
      </c>
      <c r="I9" s="2" t="inlineStr">
        <is>
          <t>ArchivesSpace is an independent membership-supported entity whose organizational home is at Lyrasis - this means ArchivesSpace pays Lyrasis for various services</t>
        </is>
      </c>
      <c r="J9" s="2" t="n"/>
      <c r="K9" s="2" t="inlineStr">
        <is>
          <t>FALSE</t>
        </is>
      </c>
      <c r="L9" s="2" t="inlineStr">
        <is>
          <t>6-10</t>
        </is>
      </c>
      <c r="M9" s="2" t="n"/>
      <c r="N9" s="2" t="inlineStr">
        <is>
          <t>2013-01-01</t>
        </is>
      </c>
      <c r="O9" s="2" t="inlineStr">
        <is>
          <t>https://archivesspace.org/about/history</t>
        </is>
      </c>
      <c r="P9" s="2" t="inlineStr">
        <is>
          <t>New York University and the University of California San Diego are the founding partners and have permanent seats on the Board; Lyrasis is the organizational home</t>
        </is>
      </c>
      <c r="Q9" s="2" t="inlineStr">
        <is>
          <t>New York University
University of Illinois Urbana-Champaign
University of California San Diego
Andrew W. Mellon Foundation</t>
        </is>
      </c>
      <c r="R9" s="2" t="inlineStr">
        <is>
          <t>Other</t>
        </is>
      </c>
      <c r="S9" s="2" t="inlineStr">
        <is>
          <t>membership</t>
        </is>
      </c>
      <c r="T9" s="2" t="inlineStr">
        <is>
          <t>Through third party vendor only</t>
        </is>
      </c>
      <c r="U9" s="2" t="inlineStr">
        <is>
          <t>&lt;a href="https://archivesspace.org/service-providers" target="_blank"&gt;Service provider list&lt;/a&gt;</t>
        </is>
      </c>
      <c r="V9" s="2" t="inlineStr">
        <is>
          <t>Actual system proven in operational environment</t>
        </is>
      </c>
      <c r="W9" s="2" t="inlineStr">
        <is>
          <t>Actively Maintained</t>
        </is>
      </c>
      <c r="X9" s="2" t="inlineStr">
        <is>
          <t>FALSE</t>
        </is>
      </c>
      <c r="Y9" s="2" t="n"/>
      <c r="Z9" s="2" t="n"/>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n"/>
      <c r="H10" s="2" t="inlineStr">
        <is>
          <t>Non-profit organization</t>
        </is>
      </c>
      <c r="I10" s="2" t="n"/>
      <c r="J10" s="2" t="n"/>
      <c r="K10" s="2" t="inlineStr">
        <is>
          <t>FALSE</t>
        </is>
      </c>
      <c r="L10" s="2" t="n"/>
      <c r="M10" s="2" t="n"/>
      <c r="N10" s="2" t="inlineStr">
        <is>
          <t>2018-01-01</t>
        </is>
      </c>
      <c r="O10"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t>
        </is>
      </c>
      <c r="P10" s="2" t="inlineStr">
        <is>
          <t>Athena Research Center (ARC)
Communication &amp; Information Technologies Experts (CITE)</t>
        </is>
      </c>
      <c r="Q10" s="2" t="inlineStr">
        <is>
          <t>OpenAIRE</t>
        </is>
      </c>
      <c r="R10" s="2" t="inlineStr">
        <is>
          <t>Program service revenue</t>
        </is>
      </c>
      <c r="S10" s="2" t="n"/>
      <c r="T10" s="2" t="inlineStr">
        <is>
          <t>Through solution provider only</t>
        </is>
      </c>
      <c r="U10" s="2" t="n"/>
      <c r="V10" s="2" t="inlineStr">
        <is>
          <t>Actual system proven in operational environment</t>
        </is>
      </c>
      <c r="W10" s="2" t="inlineStr">
        <is>
          <t>Actively Maintained</t>
        </is>
      </c>
      <c r="X10" s="2" t="inlineStr">
        <is>
          <t>FALSE</t>
        </is>
      </c>
      <c r="Y10" s="2" t="n"/>
      <c r="Z10" s="2" t="n"/>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t>
        </is>
      </c>
      <c r="H11" s="2" t="inlineStr">
        <is>
          <t>Fiscal sponsorship (academic institution)</t>
        </is>
      </c>
      <c r="I11" s="2" t="n"/>
      <c r="J11" s="2" t="n"/>
      <c r="K11" s="2" t="inlineStr">
        <is>
          <t>FALSE</t>
        </is>
      </c>
      <c r="L11" s="2" t="n"/>
      <c r="M11" s="2" t="n"/>
      <c r="N11" s="2" t="inlineStr">
        <is>
          <t>1991-01-01</t>
        </is>
      </c>
      <c r="O11" s="2" t="inlineStr">
        <is>
          <t>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t>
        </is>
      </c>
      <c r="P11" s="2" t="n"/>
      <c r="Q11" s="2" t="n"/>
      <c r="R11" s="2" t="inlineStr">
        <is>
          <t>Program service revenue</t>
        </is>
      </c>
      <c r="S11" s="2" t="n"/>
      <c r="T11" s="2" t="inlineStr">
        <is>
          <t>Not applicable</t>
        </is>
      </c>
      <c r="U11" s="2" t="n"/>
      <c r="V11" s="2" t="inlineStr">
        <is>
          <t>Actual system proven in operational environment</t>
        </is>
      </c>
      <c r="W11" s="2" t="inlineStr">
        <is>
          <t>Actively Maintained</t>
        </is>
      </c>
      <c r="X11" s="2" t="inlineStr">
        <is>
          <t>FALSE</t>
        </is>
      </c>
      <c r="Y11" s="2" t="n"/>
      <c r="Z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12" s="2" t="inlineStr">
        <is>
          <t>Commercial (for-profit)</t>
        </is>
      </c>
      <c r="I12" s="2" t="n"/>
      <c r="J12" s="2" t="n"/>
      <c r="K12" s="2" t="inlineStr">
        <is>
          <t>TRUE</t>
        </is>
      </c>
      <c r="L12" s="2" t="inlineStr">
        <is>
          <t>More than 20</t>
        </is>
      </c>
      <c r="M12" s="2" t="inlineStr">
        <is>
          <t>Unknown</t>
        </is>
      </c>
      <c r="N12" s="2" t="inlineStr">
        <is>
          <t>2007-01-01</t>
        </is>
      </c>
      <c r="O12"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12" s="2" t="inlineStr">
        <is>
          <t>No affiliations</t>
        </is>
      </c>
      <c r="Q12" s="2" t="inlineStr">
        <is>
          <t>Peter Van Garderen https://vangarderen.net/</t>
        </is>
      </c>
      <c r="R12" s="2" t="inlineStr">
        <is>
          <t>Program service revenue</t>
        </is>
      </c>
      <c r="S12" s="2" t="n"/>
      <c r="T12" s="2" t="inlineStr">
        <is>
          <t>Through solution provider or third party vendor</t>
        </is>
      </c>
      <c r="U12" s="2" t="inlineStr">
        <is>
          <t xml:space="preserve">https://www.artefactual.com/pricing </t>
        </is>
      </c>
      <c r="V12" s="2" t="inlineStr">
        <is>
          <t>Actual system proven in operational environment</t>
        </is>
      </c>
      <c r="W12" s="2" t="inlineStr">
        <is>
          <t>Actively Maintained</t>
        </is>
      </c>
      <c r="X12" s="2" t="inlineStr">
        <is>
          <t>FALSE</t>
        </is>
      </c>
      <c r="Y12" s="2" t="n"/>
      <c r="Z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Institutions, organizations, funders, and consortia can help advance Avalon via in-kind development of Avalon features; by becoming a Samvera Partner; through grant-funded activities; and by pledging funds or development time to contribute to Avalon development sprints.</t>
        </is>
      </c>
      <c r="H13" s="2" t="inlineStr">
        <is>
          <t>Non-profit organization</t>
        </is>
      </c>
      <c r="I13" s="2" t="n"/>
      <c r="J13" s="2" t="inlineStr">
        <is>
          <t>501(c)6</t>
        </is>
      </c>
      <c r="K13" s="2" t="inlineStr">
        <is>
          <t>FALSE</t>
        </is>
      </c>
      <c r="L13" s="2" t="inlineStr">
        <is>
          <t>1-5</t>
        </is>
      </c>
      <c r="M13" s="2" t="n"/>
      <c r="N13" s="2" t="inlineStr">
        <is>
          <t>2013-01-01</t>
        </is>
      </c>
      <c r="O13" s="2" t="inlineStr">
        <is>
          <t>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t>
        </is>
      </c>
      <c r="P13" s="2" t="inlineStr">
        <is>
          <t>Indiana University Libraries</t>
        </is>
      </c>
      <c r="Q13" s="2" t="inlineStr">
        <is>
          <t>Indiana University Libraries
Northwestern University Libraries</t>
        </is>
      </c>
      <c r="R13" s="2" t="inlineStr">
        <is>
          <t>Other</t>
        </is>
      </c>
      <c r="S13" s="2" t="inlineStr">
        <is>
          <t>Institutional funding from Indiana University Libraries</t>
        </is>
      </c>
      <c r="T13" s="2" t="inlineStr">
        <is>
          <t>No services available</t>
        </is>
      </c>
      <c r="U13" s="2" t="n"/>
      <c r="V13" s="2" t="inlineStr">
        <is>
          <t>Actual system proven in operational environment</t>
        </is>
      </c>
      <c r="W13" s="2" t="inlineStr">
        <is>
          <t>Actively Maintained</t>
        </is>
      </c>
      <c r="X13" s="2" t="inlineStr">
        <is>
          <t>FALSE</t>
        </is>
      </c>
      <c r="Y13" s="2" t="n"/>
      <c r="Z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n"/>
      <c r="H14" s="2" t="inlineStr">
        <is>
          <t>Fiscal sponsorship (non-profit)</t>
        </is>
      </c>
      <c r="I14" s="2" t="n"/>
      <c r="J14" s="2" t="n"/>
      <c r="K14" s="2" t="inlineStr">
        <is>
          <t>FALSE</t>
        </is>
      </c>
      <c r="L14" s="2" t="inlineStr">
        <is>
          <t>1-5</t>
        </is>
      </c>
      <c r="M14" s="2" t="n"/>
      <c r="N14" s="2" t="inlineStr">
        <is>
          <t>2007-01-01</t>
        </is>
      </c>
      <c r="O14" s="2" t="inlineStr">
        <is>
          <t>https://about.biodiversitylibrary.org/about/history-of-bhl/</t>
        </is>
      </c>
      <c r="P14" s="2" t="inlineStr">
        <is>
          <t>BHL’s fiscal sponsor is the Council on Library and Information Resources (CLIR).</t>
        </is>
      </c>
      <c r="Q14" s="2" t="n"/>
      <c r="R14" s="2" t="inlineStr">
        <is>
          <t>Contributions</t>
        </is>
      </c>
      <c r="S14" s="2" t="n"/>
      <c r="T14" s="2" t="inlineStr">
        <is>
          <t>Not applicable</t>
        </is>
      </c>
      <c r="U14" s="2" t="n"/>
      <c r="V14" s="2" t="inlineStr">
        <is>
          <t>Actual system proven in operational environment</t>
        </is>
      </c>
      <c r="W14" s="2" t="inlineStr">
        <is>
          <t>Actively Maintained</t>
        </is>
      </c>
      <c r="X14" s="2" t="inlineStr">
        <is>
          <t>FALSE</t>
        </is>
      </c>
      <c r="Y14" s="2" t="n"/>
      <c r="Z14" s="2" t="n"/>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15" s="2" t="inlineStr">
        <is>
          <t>Fiscal sponsorship (non-profit)</t>
        </is>
      </c>
      <c r="I15" s="2" t="n"/>
      <c r="J15" s="2" t="n"/>
      <c r="K15" s="2" t="inlineStr">
        <is>
          <t>FALSE</t>
        </is>
      </c>
      <c r="L15" s="2" t="n"/>
      <c r="M15" s="2" t="n"/>
      <c r="N15" s="2" t="inlineStr">
        <is>
          <t>2013-01-01</t>
        </is>
      </c>
      <c r="O15" s="2" t="inlineStr">
        <is>
          <t>No change</t>
        </is>
      </c>
      <c r="P15" s="2" t="n"/>
      <c r="Q15" s="2" t="n"/>
      <c r="R15" s="2" t="inlineStr">
        <is>
          <t>Contributions</t>
        </is>
      </c>
      <c r="S15" s="2" t="n"/>
      <c r="T15" s="2" t="inlineStr">
        <is>
          <t>Not applicable</t>
        </is>
      </c>
      <c r="U15" s="2" t="n"/>
      <c r="V15" s="2" t="inlineStr">
        <is>
          <t>Actual system proven in operational environment</t>
        </is>
      </c>
      <c r="W15" s="2" t="inlineStr">
        <is>
          <t>Actively Maintained</t>
        </is>
      </c>
      <c r="X15" s="2" t="inlineStr">
        <is>
          <t>FALSE</t>
        </is>
      </c>
      <c r="Y15" s="2" t="n"/>
      <c r="Z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n"/>
      <c r="H16" s="2" t="inlineStr">
        <is>
          <t>Fiscal sponsorship (non-profit)</t>
        </is>
      </c>
      <c r="I16" s="2" t="n"/>
      <c r="J16" s="2" t="n"/>
      <c r="K16" s="2" t="inlineStr">
        <is>
          <t>FALSE</t>
        </is>
      </c>
      <c r="L16" s="2" t="inlineStr">
        <is>
          <t>0</t>
        </is>
      </c>
      <c r="M16" s="2" t="inlineStr">
        <is>
          <t>6-10</t>
        </is>
      </c>
      <c r="N16" s="2" t="inlineStr">
        <is>
          <t>2012-01-01</t>
        </is>
      </c>
      <c r="O16" s="2" t="inlineStr">
        <is>
          <t>https://bitcuratorconsortium.org/about/#history</t>
        </is>
      </c>
      <c r="P16" s="2" t="inlineStr">
        <is>
          <t>BitCurator Consortium is administratively hosted by the Open Library Foundation.</t>
        </is>
      </c>
      <c r="Q16" s="2" t="inlineStr">
        <is>
          <t>School of Information and Library Science at the University of North Carolina, Chapel Hill
Maryland Institute for Technology in the Humanities</t>
        </is>
      </c>
      <c r="R16" s="2" t="inlineStr">
        <is>
          <t>Program service revenue</t>
        </is>
      </c>
      <c r="S16" s="2" t="n"/>
      <c r="T16" s="2" t="inlineStr">
        <is>
          <t>No services available</t>
        </is>
      </c>
      <c r="U16" s="2" t="n"/>
      <c r="V16" s="2" t="inlineStr">
        <is>
          <t>Actual system proven in operational environment</t>
        </is>
      </c>
      <c r="W16" s="2" t="inlineStr">
        <is>
          <t>Actively Maintained</t>
        </is>
      </c>
      <c r="X16" s="2" t="inlineStr">
        <is>
          <t>FALSE</t>
        </is>
      </c>
      <c r="Y16" s="2" t="n"/>
      <c r="Z16" s="2" t="n"/>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n"/>
      <c r="H17" s="2" t="inlineStr">
        <is>
          <t>Fiscal sponsorship (academic institution)</t>
        </is>
      </c>
      <c r="I17" s="2" t="n"/>
      <c r="J17" s="2" t="n"/>
      <c r="K17" s="2" t="inlineStr">
        <is>
          <t>FALSE</t>
        </is>
      </c>
      <c r="L17" s="2" t="inlineStr">
        <is>
          <t>6-10</t>
        </is>
      </c>
      <c r="M17" s="2" t="n"/>
      <c r="N17" s="2" t="inlineStr">
        <is>
          <t>2006-01-01</t>
        </is>
      </c>
      <c r="O17" s="2" t="inlineStr">
        <is>
          <t>Started as an academic project at UVA, based on the work of Jerry McGann and Bethany Nowviskie's Center for Patacriticism, Blacklight became an open source generalized discovery platform with a loose governance structure.</t>
        </is>
      </c>
      <c r="P17" s="2" t="inlineStr">
        <is>
          <t>See website</t>
        </is>
      </c>
      <c r="Q17" s="2" t="n"/>
      <c r="R17" s="2" t="inlineStr">
        <is>
          <t>Contributions</t>
        </is>
      </c>
      <c r="S17" s="2" t="n"/>
      <c r="T17" s="2" t="inlineStr">
        <is>
          <t>Through solution provider only</t>
        </is>
      </c>
      <c r="U17" s="2" t="n"/>
      <c r="V17" s="2" t="inlineStr">
        <is>
          <t>Actual system proven in operational environment</t>
        </is>
      </c>
      <c r="W17" s="2" t="inlineStr">
        <is>
          <t>Actively Maintained</t>
        </is>
      </c>
      <c r="X17" s="2" t="inlineStr">
        <is>
          <t>FALSE</t>
        </is>
      </c>
      <c r="Y17" s="2" t="n"/>
      <c r="Z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n"/>
      <c r="H18" s="2" t="inlineStr">
        <is>
          <t>Non-profit organization</t>
        </is>
      </c>
      <c r="I18" s="2" t="n"/>
      <c r="J18" s="2" t="n"/>
      <c r="K18" s="2" t="inlineStr">
        <is>
          <t>FALSE</t>
        </is>
      </c>
      <c r="L18" s="2" t="n"/>
      <c r="M18" s="2" t="n"/>
      <c r="N18" s="2" t="inlineStr">
        <is>
          <t>2014-01-01</t>
        </is>
      </c>
      <c r="O18" s="2" t="inlineStr">
        <is>
          <t>&lt;p&gt;The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t>
        </is>
      </c>
      <c r="P18" s="2" t="n"/>
      <c r="Q18" s="2" t="n"/>
      <c r="R18" s="2" t="inlineStr">
        <is>
          <t>Other</t>
        </is>
      </c>
      <c r="S18" s="2" t="n"/>
      <c r="T18" s="2" t="inlineStr">
        <is>
          <t>Not applicable</t>
        </is>
      </c>
      <c r="U18" s="2" t="n"/>
      <c r="V18" s="2" t="inlineStr">
        <is>
          <t>Actual system proven in operational environment</t>
        </is>
      </c>
      <c r="W18" s="2" t="inlineStr">
        <is>
          <t>Actively Maintained</t>
        </is>
      </c>
      <c r="X18" s="2" t="inlineStr">
        <is>
          <t>FALSE</t>
        </is>
      </c>
      <c r="Y18" s="2" t="n"/>
      <c r="Z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n"/>
      <c r="H19" s="2" t="inlineStr">
        <is>
          <t>Commercial (for-profit)</t>
        </is>
      </c>
      <c r="I19" s="2" t="n"/>
      <c r="J19" s="2" t="n"/>
      <c r="K19" s="2" t="inlineStr">
        <is>
          <t>TRUE</t>
        </is>
      </c>
      <c r="L19" s="2" t="inlineStr">
        <is>
          <t>1-5</t>
        </is>
      </c>
      <c r="M19" s="2" t="inlineStr">
        <is>
          <t>0</t>
        </is>
      </c>
      <c r="N19" s="2" t="inlineStr">
        <is>
          <t>2023-01-01</t>
        </is>
      </c>
      <c r="O19" s="2" t="inlineStr">
        <is>
          <t>A brief timeline of Webrecorder's key accomplishments can be found on https://webrecorder.net/about/</t>
        </is>
      </c>
      <c r="P19" s="2" t="inlineStr">
        <is>
          <t>No affiliations have direct involvement in governing or running our products except us.  We are members of the International Internet Preservation Consortium (IIPC).</t>
        </is>
      </c>
      <c r="Q19" s="2" t="inlineStr">
        <is>
          <t>Ilya Kreymer</t>
        </is>
      </c>
      <c r="R19" s="2" t="inlineStr">
        <is>
          <t>Program service revenue</t>
        </is>
      </c>
      <c r="S19" s="2" t="n"/>
      <c r="T19" s="2" t="inlineStr">
        <is>
          <t>Through solution provider or third party vendor</t>
        </is>
      </c>
      <c r="U19" s="2" t="n"/>
      <c r="V19" s="2" t="inlineStr">
        <is>
          <t>Actual system proven in operational environment</t>
        </is>
      </c>
      <c r="W19" s="2" t="inlineStr">
        <is>
          <t>Actively Maintained</t>
        </is>
      </c>
      <c r="X19" s="2" t="inlineStr">
        <is>
          <t>FALSE</t>
        </is>
      </c>
      <c r="Y19" s="2" t="n"/>
      <c r="Z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We would like to extend our preservation services to smaller publishers around the world, and to extend our collections to include more diverse and inclusive perspectives.</t>
        </is>
      </c>
      <c r="H20" s="2" t="inlineStr">
        <is>
          <t>Non-profit organization</t>
        </is>
      </c>
      <c r="I20" s="2" t="n"/>
      <c r="J20" s="2" t="inlineStr">
        <is>
          <t>501(c)3</t>
        </is>
      </c>
      <c r="K20" s="2" t="inlineStr">
        <is>
          <t>FALSE</t>
        </is>
      </c>
      <c r="L20" s="2" t="inlineStr">
        <is>
          <t>1-5</t>
        </is>
      </c>
      <c r="M20" s="2" t="inlineStr">
        <is>
          <t>0</t>
        </is>
      </c>
      <c r="N20" s="2" t="inlineStr">
        <is>
          <t>2008-01-01</t>
        </is>
      </c>
      <c r="O20" s="2" t="inlineStr">
        <is>
          <t>CLOCKSS was spun out from Stanford University and the LOCKSS Program as an independent 501(c)(3) in 2008.</t>
        </is>
      </c>
      <c r="P20" s="2" t="inlineStr">
        <is>
          <t>n/a</t>
        </is>
      </c>
      <c r="Q20" s="2" t="n"/>
      <c r="R20" s="2" t="inlineStr">
        <is>
          <t>Program service revenue</t>
        </is>
      </c>
      <c r="S20" s="2" t="n"/>
      <c r="T20" s="2" t="inlineStr">
        <is>
          <t>Through solution provider or third party vendor</t>
        </is>
      </c>
      <c r="U20" s="2" t="n"/>
      <c r="V20" s="2" t="inlineStr">
        <is>
          <t>Actual system proven in operational environment</t>
        </is>
      </c>
      <c r="W20" s="2" t="inlineStr">
        <is>
          <t>Actively Maintained</t>
        </is>
      </c>
      <c r="X20" s="2" t="inlineStr">
        <is>
          <t>FALSE</t>
        </is>
      </c>
      <c r="Y20" s="2" t="n"/>
      <c r="Z20" s="2" t="n"/>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n"/>
      <c r="H21" s="2" t="inlineStr">
        <is>
          <t>Non-profit organization</t>
        </is>
      </c>
      <c r="I21" s="2" t="n"/>
      <c r="J21" s="2" t="n"/>
      <c r="K21" s="2" t="inlineStr">
        <is>
          <t>FALSE</t>
        </is>
      </c>
      <c r="L21" s="2" t="inlineStr">
        <is>
          <t>1-5</t>
        </is>
      </c>
      <c r="M21" s="2" t="n"/>
      <c r="N21" s="2" t="inlineStr">
        <is>
          <t>2025-01-01</t>
        </is>
      </c>
      <c r="O21" s="2" t="inlineStr">
        <is>
          <t>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t>
        </is>
      </c>
      <c r="P21" s="2" t="inlineStr">
        <is>
          <t>Responsible Organisations: https://ird.coar-repositories.org/about?lang=en</t>
        </is>
      </c>
      <c r="Q21" s="2" t="inlineStr">
        <is>
          <t>COAR https://coar-repositories.org/</t>
        </is>
      </c>
      <c r="R21" s="2" t="inlineStr">
        <is>
          <t>Contributions</t>
        </is>
      </c>
      <c r="S21" s="2" t="n"/>
      <c r="T21" s="2" t="inlineStr">
        <is>
          <t>Not applicable</t>
        </is>
      </c>
      <c r="U21" s="2" t="n"/>
      <c r="V21" s="2" t="inlineStr">
        <is>
          <t>Actual system proven in operational environment</t>
        </is>
      </c>
      <c r="W21" s="2" t="inlineStr">
        <is>
          <t>Actively Maintained</t>
        </is>
      </c>
      <c r="X21" s="2" t="inlineStr">
        <is>
          <t>FALSE</t>
        </is>
      </c>
      <c r="Y21" s="2" t="n"/>
      <c r="Z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n"/>
      <c r="H22" s="2" t="inlineStr">
        <is>
          <t>Non-profit organization</t>
        </is>
      </c>
      <c r="I22" s="2" t="n"/>
      <c r="J22" s="2" t="n"/>
      <c r="K22" s="2" t="inlineStr">
        <is>
          <t>FALSE</t>
        </is>
      </c>
      <c r="L22" s="2" t="n"/>
      <c r="M22" s="2" t="n"/>
      <c r="N22" s="2" t="inlineStr">
        <is>
          <t>2021-01-01</t>
        </is>
      </c>
      <c r="O22" s="2" t="inlineStr">
        <is>
          <t>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t>
        </is>
      </c>
      <c r="P22" s="2" t="inlineStr">
        <is>
          <t>No affiliations.</t>
        </is>
      </c>
      <c r="Q22" s="2" t="inlineStr">
        <is>
          <t>COAR https://coar-repositories.org/
Arcadia https://arcadiafund.org.uk/</t>
        </is>
      </c>
      <c r="R22" s="2" t="inlineStr">
        <is>
          <t>Contributions</t>
        </is>
      </c>
      <c r="S22" s="2" t="n"/>
      <c r="T22" s="2" t="inlineStr">
        <is>
          <t>Through solution provider or third party vendor</t>
        </is>
      </c>
      <c r="U22" s="2" t="n"/>
      <c r="V22" s="2" t="inlineStr">
        <is>
          <t>Actual system proven in operational environment</t>
        </is>
      </c>
      <c r="W22" s="2" t="inlineStr">
        <is>
          <t>Actively Maintained</t>
        </is>
      </c>
      <c r="X22" s="2" t="inlineStr">
        <is>
          <t>FALSE</t>
        </is>
      </c>
      <c r="Y22" s="2" t="n"/>
      <c r="Z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n"/>
      <c r="H23" s="2" t="inlineStr">
        <is>
          <t>Commercial (for-profit)</t>
        </is>
      </c>
      <c r="I23" s="2" t="n"/>
      <c r="J23" s="2" t="n"/>
      <c r="K23" s="2" t="inlineStr">
        <is>
          <t>FALSE</t>
        </is>
      </c>
      <c r="L23" s="2" t="inlineStr">
        <is>
          <t>6-10</t>
        </is>
      </c>
      <c r="M23" s="2" t="inlineStr">
        <is>
          <t>0</t>
        </is>
      </c>
      <c r="N23" s="2" t="inlineStr">
        <is>
          <t>2003-01-01</t>
        </is>
      </c>
      <c r="O23" s="2" t="inlineStr">
        <is>
          <t>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t>
        </is>
      </c>
      <c r="P23" s="2" t="inlineStr">
        <is>
          <t>No affiliations</t>
        </is>
      </c>
      <c r="Q23" s="2" t="inlineStr">
        <is>
          <t>Whirl-i-Gig</t>
        </is>
      </c>
      <c r="R23" s="2" t="inlineStr">
        <is>
          <t>Program service revenue</t>
        </is>
      </c>
      <c r="S23" s="2" t="n"/>
      <c r="T23" s="2" t="inlineStr">
        <is>
          <t>Through solution provider or third party vendor</t>
        </is>
      </c>
      <c r="U23" s="2" t="n"/>
      <c r="V23" s="2" t="inlineStr">
        <is>
          <t>Actual system proven in operational environment</t>
        </is>
      </c>
      <c r="W23" s="2" t="inlineStr">
        <is>
          <t>Actively Maintained</t>
        </is>
      </c>
      <c r="X23" s="2" t="inlineStr">
        <is>
          <t>FALSE</t>
        </is>
      </c>
      <c r="Y23" s="2" t="n"/>
      <c r="Z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t>
        </is>
      </c>
      <c r="H24" s="2" t="inlineStr">
        <is>
          <t>Fiscal sponsorship (academic institution)</t>
        </is>
      </c>
      <c r="I24" s="2" t="n"/>
      <c r="J24" s="2" t="n"/>
      <c r="K24" s="2" t="inlineStr">
        <is>
          <t>FALSE</t>
        </is>
      </c>
      <c r="L24" s="2" t="n"/>
      <c r="M24" s="2" t="n"/>
      <c r="N24" s="2" t="inlineStr">
        <is>
          <t>2010-01-01</t>
        </is>
      </c>
      <c r="O24" s="2" t="inlineStr">
        <is>
          <t>&lt;p&gt;The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t>
        </is>
      </c>
      <c r="P24" s="2" t="n"/>
      <c r="Q24" s="2" t="n"/>
      <c r="R24" s="2" t="inlineStr">
        <is>
          <t>Other</t>
        </is>
      </c>
      <c r="S24" s="2" t="n"/>
      <c r="T24" s="2" t="inlineStr">
        <is>
          <t>Not applicable</t>
        </is>
      </c>
      <c r="U24" s="2" t="n"/>
      <c r="V24" s="2" t="inlineStr">
        <is>
          <t>Actual system proven in operational environment</t>
        </is>
      </c>
      <c r="W24" s="2" t="inlineStr">
        <is>
          <t>Actively Maintained</t>
        </is>
      </c>
      <c r="X24" s="2" t="inlineStr">
        <is>
          <t>FALSE</t>
        </is>
      </c>
      <c r="Y24" s="2" t="n"/>
      <c r="Z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t>
        </is>
      </c>
      <c r="H25" s="2" t="inlineStr">
        <is>
          <t>Non-profit organization</t>
        </is>
      </c>
      <c r="I25" s="2" t="n"/>
      <c r="J25" s="2" t="n"/>
      <c r="K25" s="2" t="inlineStr">
        <is>
          <t>FALSE</t>
        </is>
      </c>
      <c r="L25" s="2" t="n"/>
      <c r="M25" s="2" t="n"/>
      <c r="N25" s="2" t="inlineStr">
        <is>
          <t>2003-01-01</t>
        </is>
      </c>
      <c r="O25" s="2" t="inlineStr">
        <is>
          <t>&lt;p&gt;We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t>
        </is>
      </c>
      <c r="P25" s="2" t="n"/>
      <c r="Q25" s="2" t="n"/>
      <c r="R25" s="2" t="inlineStr">
        <is>
          <t>Contributions</t>
        </is>
      </c>
      <c r="S25" s="2" t="n"/>
      <c r="T25" s="2" t="inlineStr">
        <is>
          <t>Not applicable</t>
        </is>
      </c>
      <c r="U25" s="2" t="n"/>
      <c r="V25" s="2" t="inlineStr">
        <is>
          <t>Actual system proven in operational environment</t>
        </is>
      </c>
      <c r="W25" s="2" t="inlineStr">
        <is>
          <t>Actively Maintained</t>
        </is>
      </c>
      <c r="X25" s="2" t="inlineStr">
        <is>
          <t>FALSE</t>
        </is>
      </c>
      <c r="Y25" s="2" t="n"/>
      <c r="Z25" s="2" t="n"/>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t>
        </is>
      </c>
      <c r="H26" s="2" t="inlineStr">
        <is>
          <t>Non-profit organization</t>
        </is>
      </c>
      <c r="I26" s="2" t="n"/>
      <c r="J26" s="2" t="n"/>
      <c r="K26" s="2" t="inlineStr">
        <is>
          <t>FALSE</t>
        </is>
      </c>
      <c r="L26" s="2" t="n"/>
      <c r="M26" s="2" t="n"/>
      <c r="N26" s="2" t="inlineStr">
        <is>
          <t>2001-01-01</t>
        </is>
      </c>
      <c r="O26" s="2" t="inlineStr">
        <is>
          <t>&lt;a href="https://creativecommons.org/timeline" target="_blank"&gt;https://creativecommons.org/timeline&lt;/a&gt;</t>
        </is>
      </c>
      <c r="P26" s="2" t="n"/>
      <c r="Q26" s="2" t="n"/>
      <c r="R26" s="2" t="inlineStr">
        <is>
          <t>Contributions</t>
        </is>
      </c>
      <c r="S26" s="2" t="n"/>
      <c r="T26" s="2" t="inlineStr">
        <is>
          <t>Not applicable</t>
        </is>
      </c>
      <c r="U26" s="2" t="n"/>
      <c r="V26" s="2" t="inlineStr">
        <is>
          <t>System complete and qualified</t>
        </is>
      </c>
      <c r="W26" s="2" t="inlineStr">
        <is>
          <t>Actively Maintained</t>
        </is>
      </c>
      <c r="X26" s="2" t="inlineStr">
        <is>
          <t>FALSE</t>
        </is>
      </c>
      <c r="Y26" s="2" t="n"/>
      <c r="Z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t>
        </is>
      </c>
      <c r="H27" s="2" t="inlineStr">
        <is>
          <t>Non-profit organization</t>
        </is>
      </c>
      <c r="I27" s="2" t="n"/>
      <c r="J27" s="2" t="n"/>
      <c r="K27" s="2" t="inlineStr">
        <is>
          <t>FALSE</t>
        </is>
      </c>
      <c r="L27" s="2" t="n"/>
      <c r="M27" s="2" t="n"/>
      <c r="N27" s="2" t="inlineStr">
        <is>
          <t>2000-01-01</t>
        </is>
      </c>
      <c r="O27" s="2" t="inlineStr">
        <is>
          <t>&lt;a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t>
        </is>
      </c>
      <c r="P27" s="2" t="n"/>
      <c r="Q27" s="2" t="n"/>
      <c r="R27" s="2" t="inlineStr">
        <is>
          <t>Program service revenue</t>
        </is>
      </c>
      <c r="S27" s="2" t="n"/>
      <c r="T27" s="2" t="inlineStr">
        <is>
          <t>Not applicable</t>
        </is>
      </c>
      <c r="U27" s="2" t="n"/>
      <c r="V27" s="2" t="inlineStr">
        <is>
          <t>Actual system proven in operational environment</t>
        </is>
      </c>
      <c r="W27" s="2" t="inlineStr">
        <is>
          <t>Actively Maintained</t>
        </is>
      </c>
      <c r="X27" s="2" t="inlineStr">
        <is>
          <t>FALSE</t>
        </is>
      </c>
      <c r="Y27" s="2" t="n"/>
      <c r="Z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n"/>
      <c r="H28" s="2" t="inlineStr">
        <is>
          <t>Non-profit organization</t>
        </is>
      </c>
      <c r="I28" s="2" t="n"/>
      <c r="J28" s="2" t="n"/>
      <c r="K28" s="2" t="inlineStr">
        <is>
          <t>FALSE</t>
        </is>
      </c>
      <c r="L28" s="2" t="inlineStr">
        <is>
          <t>6-10</t>
        </is>
      </c>
      <c r="M28" s="2" t="inlineStr">
        <is>
          <t>More than 20</t>
        </is>
      </c>
      <c r="N28" s="2" t="inlineStr">
        <is>
          <t>2004-01-01</t>
        </is>
      </c>
      <c r="O28" s="2" t="inlineStr">
        <is>
          <t>https://www.d4science.org/about-us</t>
        </is>
      </c>
      <c r="P28" s="2" t="inlineStr">
        <is>
          <t>D4Science is managed by the Italian National Research Council (CNR). Its headquarters are hosted by CNR's Institute of Information Science and Technologies "A. Faedo" (CNR-ISTI) in Pisa, Tuscany, Italy.</t>
        </is>
      </c>
      <c r="Q28" s="2" t="n"/>
      <c r="R28" s="2" t="inlineStr">
        <is>
          <t>Program service revenue</t>
        </is>
      </c>
      <c r="S28" s="2" t="n"/>
      <c r="T28" s="2" t="inlineStr">
        <is>
          <t>Through solution provider only</t>
        </is>
      </c>
      <c r="U28" s="2" t="n"/>
      <c r="V28" s="2" t="inlineStr">
        <is>
          <t>Actual system proven in operational environment</t>
        </is>
      </c>
      <c r="W28" s="2" t="inlineStr">
        <is>
          <t>Actively Maintained</t>
        </is>
      </c>
      <c r="X28" s="2" t="inlineStr">
        <is>
          <t>FALSE</t>
        </is>
      </c>
      <c r="Y28" s="2" t="n"/>
      <c r="Z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n"/>
      <c r="H29" s="2" t="inlineStr">
        <is>
          <t>Fiscal sponsorship (academic institution)</t>
        </is>
      </c>
      <c r="I29" s="2" t="n"/>
      <c r="J29" s="2" t="n"/>
      <c r="K29" s="2" t="inlineStr">
        <is>
          <t>FALSE</t>
        </is>
      </c>
      <c r="L29" s="2" t="inlineStr">
        <is>
          <t>1-5</t>
        </is>
      </c>
      <c r="M29" s="2" t="n"/>
      <c r="N29" s="2" t="inlineStr">
        <is>
          <t>2018-01-01</t>
        </is>
      </c>
      <c r="O29" s="2" t="inlineStr">
        <is>
          <t>https://aptrust.org/about/background/</t>
        </is>
      </c>
      <c r="P29" s="2" t="inlineStr">
        <is>
          <t>University of Virginia</t>
        </is>
      </c>
      <c r="Q29" s="2" t="inlineStr">
        <is>
          <t>University of Virginia
University of North Carolina
Syracuse University
University of Notre Dame
Johns Hopkins University
North Carolina State University
University of Maryland
Emory University</t>
        </is>
      </c>
      <c r="R29" s="2" t="inlineStr">
        <is>
          <t>Program service revenue</t>
        </is>
      </c>
      <c r="S29" s="2" t="n"/>
      <c r="T29" s="2" t="inlineStr">
        <is>
          <t>No services available</t>
        </is>
      </c>
      <c r="U29" s="2" t="n"/>
      <c r="V29" s="2" t="inlineStr">
        <is>
          <t>Actual system proven in operational environment</t>
        </is>
      </c>
      <c r="W29" s="2" t="inlineStr">
        <is>
          <t>Actively Maintained</t>
        </is>
      </c>
      <c r="X29" s="2" t="inlineStr">
        <is>
          <t>FALSE</t>
        </is>
      </c>
      <c r="Y29" s="2" t="n"/>
      <c r="Z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n"/>
      <c r="H30" s="2" t="inlineStr">
        <is>
          <t>Fiscal sponsorship (academic institution)</t>
        </is>
      </c>
      <c r="I30" s="2" t="n"/>
      <c r="J30" s="2" t="n"/>
      <c r="K30" s="2" t="inlineStr">
        <is>
          <t>FALSE</t>
        </is>
      </c>
      <c r="L30" s="2" t="n"/>
      <c r="M30" s="2" t="n"/>
      <c r="N30" s="2" t="inlineStr">
        <is>
          <t>2002-01-01</t>
        </is>
      </c>
      <c r="O30" s="2" t="inlineStr">
        <is>
          <t>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t>
        </is>
      </c>
      <c r="P30" s="2" t="inlineStr">
        <is>
          <t>DBIS is operated by the University Library of Regensburg.</t>
        </is>
      </c>
      <c r="Q30" s="2" t="n"/>
      <c r="R30" s="2" t="inlineStr">
        <is>
          <t>Other</t>
        </is>
      </c>
      <c r="S30" s="2" t="inlineStr">
        <is>
          <t>University Library of Regensburg</t>
        </is>
      </c>
      <c r="T30" s="2" t="inlineStr">
        <is>
          <t>Through solution provider or third party vendor</t>
        </is>
      </c>
      <c r="U30" s="2" t="n"/>
      <c r="V30" s="2" t="inlineStr">
        <is>
          <t>Actual system proven in operational environment</t>
        </is>
      </c>
      <c r="W30" s="2" t="inlineStr">
        <is>
          <t>Actively Maintained</t>
        </is>
      </c>
      <c r="X30" s="2" t="inlineStr">
        <is>
          <t>FALSE</t>
        </is>
      </c>
      <c r="Y30" s="2" t="n"/>
      <c r="Z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n"/>
      <c r="H31" s="2" t="inlineStr">
        <is>
          <t>Non-profit organization</t>
        </is>
      </c>
      <c r="I31" s="2" t="n"/>
      <c r="J31" s="2" t="n"/>
      <c r="K31" s="2" t="inlineStr">
        <is>
          <t>FALSE</t>
        </is>
      </c>
      <c r="L31" s="2" t="n"/>
      <c r="M31" s="2" t="inlineStr">
        <is>
          <t>11-20</t>
        </is>
      </c>
      <c r="N31" s="2" t="inlineStr">
        <is>
          <t>2024-01-01</t>
        </is>
      </c>
      <c r="O31" s="2" t="inlineStr">
        <is>
          <t>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t>
        </is>
      </c>
      <c r="P31" s="2" t="inlineStr">
        <is>
          <t>DataCite leads the development of the Data Citation Corpus as part of Make Data Count activities.</t>
        </is>
      </c>
      <c r="Q31" s="2" t="n"/>
      <c r="R31" s="2" t="inlineStr">
        <is>
          <t>Contributions</t>
        </is>
      </c>
      <c r="S31" s="2" t="n"/>
      <c r="T31" s="2" t="inlineStr">
        <is>
          <t>Not applicable</t>
        </is>
      </c>
      <c r="U31" s="2" t="n"/>
      <c r="V31" s="2" t="inlineStr">
        <is>
          <t>Technology validated in relevant environment</t>
        </is>
      </c>
      <c r="W31" s="2" t="inlineStr">
        <is>
          <t>Actively Maintained</t>
        </is>
      </c>
      <c r="X31" s="2" t="inlineStr">
        <is>
          <t>TRUE</t>
        </is>
      </c>
      <c r="Y31" s="2" t="n"/>
      <c r="Z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t>
        </is>
      </c>
      <c r="H32" s="2" t="inlineStr">
        <is>
          <t>Non-profit organization</t>
        </is>
      </c>
      <c r="I32" s="2" t="n"/>
      <c r="J32" s="2" t="n"/>
      <c r="K32" s="2" t="inlineStr">
        <is>
          <t>FALSE</t>
        </is>
      </c>
      <c r="L32" s="2" t="n"/>
      <c r="M32" s="2" t="n"/>
      <c r="N32" s="2" t="inlineStr">
        <is>
          <t>2009-01-01</t>
        </is>
      </c>
      <c r="O32" s="2" t="inlineStr">
        <is>
          <t>We were founded as an international membership association in December of 2009 with a charitable status registered in Hannover, Germany and have not changed our organizational structure.</t>
        </is>
      </c>
      <c r="P32" s="2" t="n"/>
      <c r="Q32" s="2" t="n"/>
      <c r="R32" s="2" t="inlineStr">
        <is>
          <t>Contributions</t>
        </is>
      </c>
      <c r="S32" s="2" t="n"/>
      <c r="T32" s="2" t="inlineStr">
        <is>
          <t>Not applicable</t>
        </is>
      </c>
      <c r="U32" s="2" t="n"/>
      <c r="V32" s="2" t="inlineStr">
        <is>
          <t>Actual system proven in operational environment</t>
        </is>
      </c>
      <c r="W32" s="2" t="inlineStr">
        <is>
          <t>Actively Maintained</t>
        </is>
      </c>
      <c r="X32" s="2" t="inlineStr">
        <is>
          <t>FALSE</t>
        </is>
      </c>
      <c r="Y32" s="2" t="n"/>
      <c r="Z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n"/>
      <c r="H33" s="2" t="inlineStr">
        <is>
          <t>Fiscal sponsorship (non-profit)</t>
        </is>
      </c>
      <c r="I33" s="2" t="n"/>
      <c r="J33" s="2" t="n"/>
      <c r="K33" s="2" t="inlineStr">
        <is>
          <t>FALSE</t>
        </is>
      </c>
      <c r="L33" s="2" t="n"/>
      <c r="M33" s="2" t="n"/>
      <c r="N33" s="2" t="inlineStr">
        <is>
          <t>2018-01-01</t>
        </is>
      </c>
      <c r="O33" s="2" t="inlineStr">
        <is>
          <t>https://ds-wizard.org/dsw-story</t>
        </is>
      </c>
      <c r="P33" s="2" t="inlineStr">
        <is>
          <t>Czech Technical University in Prague / ELIXIR-CZ
Codevence Solutions</t>
        </is>
      </c>
      <c r="Q33" s="2" t="n"/>
      <c r="R33" s="2" t="inlineStr">
        <is>
          <t>Contributions</t>
        </is>
      </c>
      <c r="S33" s="2" t="n"/>
      <c r="T33" s="2" t="inlineStr">
        <is>
          <t>Through third party vendor only</t>
        </is>
      </c>
      <c r="U33" s="2" t="inlineStr">
        <is>
          <t>https://ds-wizard.org/get-started#providers</t>
        </is>
      </c>
      <c r="V33" s="2" t="inlineStr">
        <is>
          <t>Actual system proven in operational environment</t>
        </is>
      </c>
      <c r="W33" s="2" t="inlineStr">
        <is>
          <t>Actively Maintained</t>
        </is>
      </c>
      <c r="X33" s="2" t="inlineStr">
        <is>
          <t>FALSE</t>
        </is>
      </c>
      <c r="Y33" s="2" t="n"/>
      <c r="Z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n"/>
      <c r="H34" s="2" t="inlineStr">
        <is>
          <t>Fiscal sponsorship (academic institution)</t>
        </is>
      </c>
      <c r="I34" s="2" t="n"/>
      <c r="J34" s="2" t="n"/>
      <c r="K34" s="2" t="inlineStr">
        <is>
          <t>FALSE</t>
        </is>
      </c>
      <c r="L34" s="2" t="n"/>
      <c r="M34" s="2" t="n"/>
      <c r="N34" s="2" t="inlineStr">
        <is>
          <t>2007-01-01</t>
        </is>
      </c>
      <c r="O34" s="2" t="inlineStr">
        <is>
          <t>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t>
        </is>
      </c>
      <c r="P34" s="2" t="n"/>
      <c r="Q34" s="2" t="n"/>
      <c r="R34" s="2" t="inlineStr">
        <is>
          <t>Other</t>
        </is>
      </c>
      <c r="S34" s="2" t="n"/>
      <c r="T34" s="2" t="inlineStr">
        <is>
          <t>Through third party vendor only</t>
        </is>
      </c>
      <c r="U34" s="2" t="n"/>
      <c r="V34" s="2" t="inlineStr">
        <is>
          <t>Actual system proven in operational environment</t>
        </is>
      </c>
      <c r="W34" s="2" t="inlineStr">
        <is>
          <t>Actively Maintained</t>
        </is>
      </c>
      <c r="X34" s="2" t="inlineStr">
        <is>
          <t>FALSE</t>
        </is>
      </c>
      <c r="Y34" s="2" t="n"/>
      <c r="Z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More membership</t>
        </is>
      </c>
      <c r="H35" s="2" t="inlineStr">
        <is>
          <t>Fiscal sponsorship (academic institution)</t>
        </is>
      </c>
      <c r="I35" s="2" t="n"/>
      <c r="J35" s="2" t="n"/>
      <c r="K35" s="2" t="inlineStr">
        <is>
          <t>FALSE</t>
        </is>
      </c>
      <c r="L35" s="2" t="inlineStr">
        <is>
          <t>1-5</t>
        </is>
      </c>
      <c r="M35" s="2" t="inlineStr">
        <is>
          <t>1-5</t>
        </is>
      </c>
      <c r="N35" s="2" t="inlineStr">
        <is>
          <t>2017-01-01</t>
        </is>
      </c>
      <c r="O35" s="2" t="inlineStr">
        <is>
          <t>- 2015-2018: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t>
        </is>
      </c>
      <c r="P35" s="2" t="inlineStr">
        <is>
          <t>University of Geneva (https://www.unige.ch/)
HEG, HES-SO (https://www.hesge.ch/heg/en)
UNIFR (https://www.unifr.ch/home/en/)
BFH (https://www.bfh.ch/en/)
OLOS (https://olos.swiss/)</t>
        </is>
      </c>
      <c r="Q35" s="2" t="inlineStr">
        <is>
          <t>HEG (https://www.hesge.ch/heg/en)
UNIFR (https://www.unifr.ch/home/en/)
HES-SO (https://www.hes-so.ch)</t>
        </is>
      </c>
      <c r="R35" s="2" t="inlineStr">
        <is>
          <t>Program service revenue</t>
        </is>
      </c>
      <c r="S35" s="2" t="n"/>
      <c r="T35" s="2" t="inlineStr">
        <is>
          <t>Through third party vendor only</t>
        </is>
      </c>
      <c r="U35" s="2" t="inlineStr">
        <is>
          <t>https://olos.swiss/</t>
        </is>
      </c>
      <c r="V35" s="2" t="inlineStr">
        <is>
          <t>Actual system proven in operational environment</t>
        </is>
      </c>
      <c r="W35" s="2" t="inlineStr">
        <is>
          <t>Actively Maintained</t>
        </is>
      </c>
      <c r="X35" s="2" t="inlineStr">
        <is>
          <t>FALSE</t>
        </is>
      </c>
      <c r="Y35" s="2" t="n"/>
      <c r="Z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More membership</t>
        </is>
      </c>
      <c r="H36" s="2" t="inlineStr">
        <is>
          <t>Fiscal sponsorship (academic institution)</t>
        </is>
      </c>
      <c r="I36" s="2" t="n"/>
      <c r="J36" s="2" t="n"/>
      <c r="K36" s="2" t="inlineStr">
        <is>
          <t>FALSE</t>
        </is>
      </c>
      <c r="L36" s="2" t="inlineStr">
        <is>
          <t>1-5</t>
        </is>
      </c>
      <c r="M36" s="2" t="inlineStr">
        <is>
          <t>1-5</t>
        </is>
      </c>
      <c r="N36" s="2" t="inlineStr">
        <is>
          <t>2017-01-01</t>
        </is>
      </c>
      <c r="O36" s="2" t="inlineStr">
        <is>
          <t>- 2015-2018: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t>
        </is>
      </c>
      <c r="P36" s="2" t="inlineStr">
        <is>
          <t>University of Geneva (https://www.unige.ch/)HEG, HES-SO (https://www.hesge.ch/heg/en)UNIFR (https://www.unifr.ch/home/en/)BFH (https://www.bfh.ch/en/)OLOS (https://olos.swiss/)</t>
        </is>
      </c>
      <c r="Q36" s="2" t="inlineStr">
        <is>
          <t>HEG (https://www.hesge.ch/heg/en)UNIFR (https://www.unifr.ch/home/en/)HES-SO (https://www.hes-so.ch)</t>
        </is>
      </c>
      <c r="R36" s="2" t="inlineStr">
        <is>
          <t>Program service revenue</t>
        </is>
      </c>
      <c r="S36" s="2" t="n"/>
      <c r="T36" s="2" t="inlineStr">
        <is>
          <t>Through third party vendor only</t>
        </is>
      </c>
      <c r="U36" s="2" t="inlineStr">
        <is>
          <t>https://olos.swiss/</t>
        </is>
      </c>
      <c r="V36" s="2" t="inlineStr">
        <is>
          <t>Actual system proven in operational environment</t>
        </is>
      </c>
      <c r="W36" s="2" t="inlineStr">
        <is>
          <t>Actively Maintained</t>
        </is>
      </c>
      <c r="X36" s="2" t="inlineStr">
        <is>
          <t>FALSE</t>
        </is>
      </c>
      <c r="Y36" s="2" t="n"/>
      <c r="Z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n"/>
      <c r="H37" s="2" t="inlineStr">
        <is>
          <t>Fiscal sponsorship (academic institution)</t>
        </is>
      </c>
      <c r="I37" s="2" t="n"/>
      <c r="J37" s="2" t="n"/>
      <c r="K37" s="2" t="inlineStr">
        <is>
          <t>FALSE</t>
        </is>
      </c>
      <c r="L37" s="2" t="inlineStr">
        <is>
          <t>1-5</t>
        </is>
      </c>
      <c r="M37" s="2" t="inlineStr">
        <is>
          <t>0</t>
        </is>
      </c>
      <c r="N37" s="2" t="inlineStr">
        <is>
          <t>2011-01-01</t>
        </is>
      </c>
      <c r="O37" s="2" t="inlineStr">
        <is>
          <t>[Please fill in]</t>
        </is>
      </c>
      <c r="P37" s="2" t="n"/>
      <c r="Q37" s="2" t="n"/>
      <c r="R37" s="2" t="inlineStr">
        <is>
          <t>Other</t>
        </is>
      </c>
      <c r="S37" s="2" t="inlineStr">
        <is>
          <t>Funded as a department within the University of California Office of the President  We also receive some grants for new development.</t>
        </is>
      </c>
      <c r="T37" s="2" t="inlineStr">
        <is>
          <t>Through solution provider only</t>
        </is>
      </c>
      <c r="U37" s="2" t="n"/>
      <c r="V37" s="2" t="inlineStr">
        <is>
          <t>Actual system proven in operational environment</t>
        </is>
      </c>
      <c r="W37" s="2" t="inlineStr">
        <is>
          <t>Actively Maintained</t>
        </is>
      </c>
      <c r="X37" s="2" t="inlineStr">
        <is>
          <t>FALSE</t>
        </is>
      </c>
      <c r="Y37" s="2" t="n"/>
      <c r="Z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t>
        </is>
      </c>
      <c r="H38" s="2" t="inlineStr">
        <is>
          <t>Non-profit organization</t>
        </is>
      </c>
      <c r="I38" s="2" t="inlineStr">
        <is>
          <t>Danish Foundation</t>
        </is>
      </c>
      <c r="J38" s="2" t="n"/>
      <c r="K38" s="2" t="inlineStr">
        <is>
          <t>FALSE</t>
        </is>
      </c>
      <c r="L38" s="2" t="n"/>
      <c r="M38" s="2" t="n"/>
      <c r="N38" s="2" t="inlineStr">
        <is>
          <t>2003-01-01</t>
        </is>
      </c>
      <c r="O38" s="2" t="inlineStr">
        <is>
          <t>&lt;p&gt;On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t>
        </is>
      </c>
      <c r="P38" s="2" t="n"/>
      <c r="Q38" s="2" t="n"/>
      <c r="R38" s="2" t="inlineStr">
        <is>
          <t>Contributions</t>
        </is>
      </c>
      <c r="S38" s="2" t="n"/>
      <c r="T38" s="2" t="inlineStr">
        <is>
          <t>Not applicable</t>
        </is>
      </c>
      <c r="U38" s="2" t="n"/>
      <c r="V38" s="2" t="inlineStr">
        <is>
          <t>Actual system proven in operational environment</t>
        </is>
      </c>
      <c r="W38" s="2" t="inlineStr">
        <is>
          <t>Actively Maintained</t>
        </is>
      </c>
      <c r="X38" s="2" t="inlineStr">
        <is>
          <t>TRUE</t>
        </is>
      </c>
      <c r="Y38" s="2" t="n"/>
      <c r="Z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&lt;li&gt; Hiring of developers and designers to make improvements to the UX and accessibility.
&lt;li&gt; To further education and outreach initiatives.
&lt;li&gt; To improve the developer experience by improving the codebase and tests to grow the open source community around the project.</t>
        </is>
      </c>
      <c r="H39" s="2" t="inlineStr">
        <is>
          <t>Volunteer community</t>
        </is>
      </c>
      <c r="I39" s="2" t="n"/>
      <c r="J39" s="2" t="n"/>
      <c r="K39" s="2" t="inlineStr">
        <is>
          <t>FALSE</t>
        </is>
      </c>
      <c r="L39" s="2" t="n"/>
      <c r="M39" s="2" t="n"/>
      <c r="N39" s="2" t="inlineStr">
        <is>
          <t>2015-01-01</t>
        </is>
      </c>
      <c r="O39" s="2" t="n"/>
      <c r="P39" s="2" t="n"/>
      <c r="Q39" s="2" t="n"/>
      <c r="R39" s="2" t="inlineStr">
        <is>
          <t>Contributions</t>
        </is>
      </c>
      <c r="S39" s="2" t="n"/>
      <c r="T39" s="2" t="inlineStr">
        <is>
          <t>Unknown</t>
        </is>
      </c>
      <c r="U39" s="2" t="n"/>
      <c r="V39" s="2" t="inlineStr">
        <is>
          <t>Technology validated in relevant environment</t>
        </is>
      </c>
      <c r="W39" s="2" t="inlineStr">
        <is>
          <t>Actively Maintained</t>
        </is>
      </c>
      <c r="X39" s="2" t="inlineStr">
        <is>
          <t>FALSE</t>
        </is>
      </c>
      <c r="Y39" s="2" t="n"/>
      <c r="Z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n"/>
      <c r="H40" s="2" t="inlineStr">
        <is>
          <t>Non-profit organization</t>
        </is>
      </c>
      <c r="I40" s="2" t="n"/>
      <c r="J40" s="2" t="n"/>
      <c r="K40" s="2" t="inlineStr">
        <is>
          <t>FALSE</t>
        </is>
      </c>
      <c r="L40" s="2" t="n"/>
      <c r="M40" s="2" t="n"/>
      <c r="N40" s="2" t="inlineStr">
        <is>
          <t>2008-01-01</t>
        </is>
      </c>
      <c r="O40" s="2" t="inlineStr">
        <is>
          <t>https://datadryad.org/stash/about#origins</t>
        </is>
      </c>
      <c r="P40" s="2" t="n"/>
      <c r="Q40" s="2" t="n"/>
      <c r="R40" s="2" t="inlineStr">
        <is>
          <t>Program service revenue</t>
        </is>
      </c>
      <c r="S40" s="2" t="n"/>
      <c r="T40" s="2" t="inlineStr">
        <is>
          <t>Not applicable</t>
        </is>
      </c>
      <c r="U40" s="2" t="n"/>
      <c r="V40" s="2" t="inlineStr">
        <is>
          <t>Actual system proven in operational environment</t>
        </is>
      </c>
      <c r="W40" s="2" t="inlineStr">
        <is>
          <t>Actively Maintained</t>
        </is>
      </c>
      <c r="X40" s="2" t="inlineStr">
        <is>
          <t>FALSE</t>
        </is>
      </c>
      <c r="Y40" s="2" t="n"/>
      <c r="Z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t>
        </is>
      </c>
      <c r="H41" s="2" t="inlineStr">
        <is>
          <t>Other</t>
        </is>
      </c>
      <c r="I41" s="2" t="inlineStr">
        <is>
          <t xml:space="preserve">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t>
        </is>
      </c>
      <c r="J41" s="2" t="inlineStr">
        <is>
          <t>501(c)3</t>
        </is>
      </c>
      <c r="K41" s="2" t="inlineStr">
        <is>
          <t>FALSE</t>
        </is>
      </c>
      <c r="L41" s="2" t="inlineStr">
        <is>
          <t>1-5</t>
        </is>
      </c>
      <c r="M41" s="2" t="inlineStr">
        <is>
          <t>Unknown</t>
        </is>
      </c>
      <c r="N41" s="2" t="inlineStr">
        <is>
          <t>2002-01-01</t>
        </is>
      </c>
      <c r="O41" s="2" t="inlineStr">
        <is>
          <t>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t>
        </is>
      </c>
      <c r="P41" s="2" t="n"/>
      <c r="Q41" s="2" t="inlineStr">
        <is>
          <t>MIT, HP Labs</t>
        </is>
      </c>
      <c r="R41" s="2" t="inlineStr">
        <is>
          <t>Other</t>
        </is>
      </c>
      <c r="S41" s="2" t="inlineStr">
        <is>
          <t>Membership dues, certified partners and service providers.</t>
        </is>
      </c>
      <c r="T41" s="2" t="inlineStr">
        <is>
          <t>Through solution provider or third party vendor</t>
        </is>
      </c>
      <c r="U41" s="2" t="n"/>
      <c r="V41" s="2" t="inlineStr">
        <is>
          <t>Actual system proven in operational environment</t>
        </is>
      </c>
      <c r="W41" s="2" t="inlineStr">
        <is>
          <t>Actively Maintained</t>
        </is>
      </c>
      <c r="X41" s="2" t="inlineStr">
        <is>
          <t>TRUE</t>
        </is>
      </c>
      <c r="Y41" s="2" t="n"/>
      <c r="Z41" s="2" t="n"/>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n"/>
      <c r="H42" s="2" t="inlineStr">
        <is>
          <t>Fiscal sponsorship (non-profit)</t>
        </is>
      </c>
      <c r="I42" s="2" t="n"/>
      <c r="J42" s="2" t="n"/>
      <c r="K42" s="2" t="inlineStr">
        <is>
          <t>FALSE</t>
        </is>
      </c>
      <c r="L42" s="2" t="n"/>
      <c r="M42" s="2" t="n"/>
      <c r="N42" s="2" t="inlineStr">
        <is>
          <t>2009-01-01</t>
        </is>
      </c>
      <c r="O42" s="2" t="inlineStr">
        <is>
          <t>N/A</t>
        </is>
      </c>
      <c r="P42" s="2" t="inlineStr">
        <is>
          <t>N/A</t>
        </is>
      </c>
      <c r="Q42" s="2" t="n"/>
      <c r="R42" s="2" t="inlineStr">
        <is>
          <t>Program service revenue</t>
        </is>
      </c>
      <c r="S42" s="2" t="n"/>
      <c r="T42" s="2" t="inlineStr">
        <is>
          <t>Through solution provider only</t>
        </is>
      </c>
      <c r="U42" s="2" t="n"/>
      <c r="V42" s="2" t="inlineStr">
        <is>
          <t>Actual system proven in operational environment</t>
        </is>
      </c>
      <c r="W42" s="2" t="inlineStr">
        <is>
          <t>Actively Maintained</t>
        </is>
      </c>
      <c r="X42" s="2" t="inlineStr">
        <is>
          <t>FALSE</t>
        </is>
      </c>
      <c r="Y42" s="2" t="n"/>
      <c r="Z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 Developing new services (IT development)
- Supporting copy editing services for the journals
- Supporting the users
- Outreach and engagement
- Finding new funding sources</t>
        </is>
      </c>
      <c r="H43" s="2" t="inlineStr">
        <is>
          <t>Fiscal sponsorship (academic institution)</t>
        </is>
      </c>
      <c r="I43" s="2" t="n"/>
      <c r="J43" s="2" t="n"/>
      <c r="K43" s="2" t="inlineStr">
        <is>
          <t>FALSE</t>
        </is>
      </c>
      <c r="L43" s="2" t="inlineStr">
        <is>
          <t>1-5</t>
        </is>
      </c>
      <c r="M43" s="2" t="inlineStr">
        <is>
          <t>More than 20</t>
        </is>
      </c>
      <c r="N43" s="2" t="inlineStr">
        <is>
          <t>2013-01-01</t>
        </is>
      </c>
      <c r="O43" s="2" t="inlineStr">
        <is>
          <t>https://www.episciences.org/governance/
https://www.ccsd.cnrs.fr/en/governance/</t>
        </is>
      </c>
      <c r="P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Q43" s="2" t="inlineStr">
        <is>
          <t>- CNRS (Research organism)
- Inria (Research organism)
- Institut Fourier  (Research unit)
- Jean-Pierre Demailly (Researcher)</t>
        </is>
      </c>
      <c r="R43" s="2" t="inlineStr">
        <is>
          <t>Contributions</t>
        </is>
      </c>
      <c r="S43" s="2" t="n"/>
      <c r="T43" s="2" t="inlineStr">
        <is>
          <t>Not applicable</t>
        </is>
      </c>
      <c r="U43" s="2" t="n"/>
      <c r="V43" s="2" t="inlineStr">
        <is>
          <t>Actual system proven in operational environment</t>
        </is>
      </c>
      <c r="W43" s="2" t="inlineStr">
        <is>
          <t>Actively Maintained</t>
        </is>
      </c>
      <c r="X43" s="2" t="inlineStr">
        <is>
          <t>TRUE</t>
        </is>
      </c>
      <c r="Y43" s="2" t="n"/>
      <c r="Z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n"/>
      <c r="H44" s="2" t="inlineStr">
        <is>
          <t>Fiscal sponsorship (academic institution)</t>
        </is>
      </c>
      <c r="I44" s="2" t="n"/>
      <c r="J44" s="2" t="n"/>
      <c r="K44" s="2" t="inlineStr">
        <is>
          <t>FALSE</t>
        </is>
      </c>
      <c r="L44" s="2" t="n"/>
      <c r="M44" s="2" t="n"/>
      <c r="N44" s="2" t="inlineStr">
        <is>
          <t>2000-01-01</t>
        </is>
      </c>
      <c r="O44" s="2" t="inlineStr">
        <is>
          <t>The software is open source. Primarily maintained and organised by EPrints Services, based in the University of Southampton.
Other community members contribute to either the core software or to extension components.</t>
        </is>
      </c>
      <c r="P44" s="2" t="inlineStr">
        <is>
          <t>ECS Partners Ltd</t>
        </is>
      </c>
      <c r="Q44" s="2" t="inlineStr">
        <is>
          <t>University of Southampton</t>
        </is>
      </c>
      <c r="R44" s="2" t="inlineStr">
        <is>
          <t>Program service revenue</t>
        </is>
      </c>
      <c r="S44" s="2" t="n"/>
      <c r="T44" s="2" t="inlineStr">
        <is>
          <t>Through solution provider only</t>
        </is>
      </c>
      <c r="U44" s="2" t="n"/>
      <c r="V44" s="2" t="inlineStr">
        <is>
          <t>Actual system proven in operational environment</t>
        </is>
      </c>
      <c r="W44" s="2" t="inlineStr">
        <is>
          <t>Actively Maintained</t>
        </is>
      </c>
      <c r="X44" s="2" t="inlineStr">
        <is>
          <t>FALSE</t>
        </is>
      </c>
      <c r="Y44" s="2" t="n"/>
      <c r="Z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n"/>
      <c r="H45" s="2" t="inlineStr">
        <is>
          <t>Fiscal sponsorship (academic institution)</t>
        </is>
      </c>
      <c r="I45" s="2" t="n"/>
      <c r="J45" s="2" t="n"/>
      <c r="K45" s="2" t="inlineStr">
        <is>
          <t>FALSE</t>
        </is>
      </c>
      <c r="L45" s="2" t="n"/>
      <c r="M45" s="2" t="n"/>
      <c r="N45" s="2" t="inlineStr">
        <is>
          <t>1998-01-01</t>
        </is>
      </c>
      <c r="O45" s="2" t="inlineStr">
        <is>
          <t>&lt;p&gt;1998: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t>
        </is>
      </c>
      <c r="P45" s="2" t="n"/>
      <c r="Q45" s="2" t="n"/>
      <c r="R45" s="2" t="inlineStr">
        <is>
          <t>Program service revenue</t>
        </is>
      </c>
      <c r="S45" s="2" t="n"/>
      <c r="T45" s="2" t="inlineStr">
        <is>
          <t>Not applicable</t>
        </is>
      </c>
      <c r="U45" s="2" t="n"/>
      <c r="V45" s="2" t="inlineStr">
        <is>
          <t>Actual system proven in operational environment</t>
        </is>
      </c>
      <c r="W45" s="2" t="inlineStr">
        <is>
          <t>Actively Maintained</t>
        </is>
      </c>
      <c r="X45" s="2" t="inlineStr">
        <is>
          <t>FALSE</t>
        </is>
      </c>
      <c r="Y45" s="2" t="n"/>
      <c r="Z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t>
        </is>
      </c>
      <c r="H46" s="2" t="inlineStr">
        <is>
          <t>Other</t>
        </is>
      </c>
      <c r="I46" s="2" t="n"/>
      <c r="J46" s="2" t="n"/>
      <c r="K46" s="2" t="inlineStr">
        <is>
          <t>FALSE</t>
        </is>
      </c>
      <c r="L46" s="2" t="inlineStr">
        <is>
          <t>11-20</t>
        </is>
      </c>
      <c r="M46" s="2" t="n"/>
      <c r="N46" s="2" t="inlineStr">
        <is>
          <t>2007-01-01</t>
        </is>
      </c>
      <c r="O46" s="2" t="inlineStr">
        <is>
          <t>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t>
        </is>
      </c>
      <c r="P46" s="2" t="n"/>
      <c r="Q46" s="2" t="n"/>
      <c r="R46" s="2" t="inlineStr">
        <is>
          <t>Contributions</t>
        </is>
      </c>
      <c r="S46" s="2" t="n"/>
      <c r="T46" s="2" t="inlineStr">
        <is>
          <t>Not applicable</t>
        </is>
      </c>
      <c r="U46" s="2" t="n"/>
      <c r="V46" s="2" t="inlineStr">
        <is>
          <t>Actual system proven in operational environment</t>
        </is>
      </c>
      <c r="W46" s="2" t="inlineStr">
        <is>
          <t>Actively Maintained</t>
        </is>
      </c>
      <c r="X46" s="2" t="inlineStr">
        <is>
          <t>FALSE</t>
        </is>
      </c>
      <c r="Y46" s="2" t="n"/>
      <c r="Z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n"/>
      <c r="H47" s="2" t="inlineStr">
        <is>
          <t>Commercial (for-profit)</t>
        </is>
      </c>
      <c r="I47" s="2" t="n"/>
      <c r="J47" s="2" t="n"/>
      <c r="K47" s="2" t="inlineStr">
        <is>
          <t>TRUE</t>
        </is>
      </c>
      <c r="L47" s="2" t="inlineStr">
        <is>
          <t>1-5</t>
        </is>
      </c>
      <c r="M47" s="2" t="n"/>
      <c r="N47" s="2" t="inlineStr">
        <is>
          <t>2021-01-01</t>
        </is>
      </c>
      <c r="O47" s="2" t="inlineStr">
        <is>
          <t>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t>
        </is>
      </c>
      <c r="P47" s="2" t="inlineStr">
        <is>
          <t>Codevence Solutions s.r.o.</t>
        </is>
      </c>
      <c r="Q47" s="2" t="n"/>
      <c r="R47" s="2" t="inlineStr">
        <is>
          <t>Program service revenue</t>
        </is>
      </c>
      <c r="S47" s="2" t="n"/>
      <c r="T47" s="2" t="inlineStr">
        <is>
          <t>Through solution provider only</t>
        </is>
      </c>
      <c r="U47" s="2" t="n"/>
      <c r="V47" s="2" t="inlineStr">
        <is>
          <t>Actual system proven in operational environment</t>
        </is>
      </c>
      <c r="W47" s="2" t="inlineStr">
        <is>
          <t>Actively Maintained</t>
        </is>
      </c>
      <c r="X47" s="2" t="inlineStr">
        <is>
          <t>FALSE</t>
        </is>
      </c>
      <c r="Y47" s="2" t="n"/>
      <c r="Z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t>
        </is>
      </c>
      <c r="H48" s="2" t="inlineStr">
        <is>
          <t>Other</t>
        </is>
      </c>
      <c r="I48" s="2" t="inlineStr">
        <is>
          <t>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t>
        </is>
      </c>
      <c r="J48" s="2" t="inlineStr">
        <is>
          <t>501(c)3</t>
        </is>
      </c>
      <c r="K48" s="2" t="inlineStr">
        <is>
          <t>FALSE</t>
        </is>
      </c>
      <c r="L48" s="2" t="inlineStr">
        <is>
          <t>1-5</t>
        </is>
      </c>
      <c r="M48" s="2" t="inlineStr">
        <is>
          <t>Unknown</t>
        </is>
      </c>
      <c r="N48" s="2" t="inlineStr">
        <is>
          <t>2001-01-01</t>
        </is>
      </c>
      <c r="O48" s="2" t="inlineStr">
        <is>
          <t>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t>
        </is>
      </c>
      <c r="P48" s="2" t="n"/>
      <c r="Q48" s="2" t="n"/>
      <c r="R48" s="2" t="inlineStr">
        <is>
          <t>Other</t>
        </is>
      </c>
      <c r="S48" s="2" t="inlineStr">
        <is>
          <t>Member-supported</t>
        </is>
      </c>
      <c r="T48" s="2" t="inlineStr">
        <is>
          <t>Through third party vendor only</t>
        </is>
      </c>
      <c r="U48" s="2" t="n"/>
      <c r="V48" s="2" t="inlineStr">
        <is>
          <t>Actual system proven in operational environment</t>
        </is>
      </c>
      <c r="W48" s="2" t="inlineStr">
        <is>
          <t>Actively Maintained</t>
        </is>
      </c>
      <c r="X48" s="2" t="inlineStr">
        <is>
          <t>FALSE</t>
        </is>
      </c>
      <c r="Y48" s="2" t="n"/>
      <c r="Z48" s="2" t="n"/>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n"/>
      <c r="H49" s="2" t="inlineStr">
        <is>
          <t>Non-profit organization</t>
        </is>
      </c>
      <c r="I49" s="2" t="n"/>
      <c r="J49" s="2" t="inlineStr">
        <is>
          <t>Company limited by guarantee</t>
        </is>
      </c>
      <c r="K49" s="2" t="inlineStr">
        <is>
          <t>FALSE</t>
        </is>
      </c>
      <c r="L49" s="2" t="inlineStr">
        <is>
          <t>6-10</t>
        </is>
      </c>
      <c r="M49" s="2" t="n"/>
      <c r="N49" s="2" t="inlineStr">
        <is>
          <t>2010-01-01</t>
        </is>
      </c>
      <c r="O49"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49" s="2" t="inlineStr">
        <is>
          <t>Artefactual</t>
        </is>
      </c>
      <c r="Q49" s="2" t="inlineStr">
        <is>
          <t>British Library</t>
        </is>
      </c>
      <c r="R49" s="2" t="inlineStr">
        <is>
          <t>Other</t>
        </is>
      </c>
      <c r="S49" s="2" t="inlineStr">
        <is>
          <t>Membership subscription fees</t>
        </is>
      </c>
      <c r="T49" s="2" t="inlineStr">
        <is>
          <t>Not applicable</t>
        </is>
      </c>
      <c r="U49" s="2" t="n"/>
      <c r="V49" s="2" t="inlineStr">
        <is>
          <t>Actual system proven in operational environment</t>
        </is>
      </c>
      <c r="W49" s="2" t="inlineStr">
        <is>
          <t>Actively Maintained</t>
        </is>
      </c>
      <c r="X49" s="2" t="inlineStr">
        <is>
          <t>FALSE</t>
        </is>
      </c>
      <c r="Y49" s="2" t="n"/>
      <c r="Z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t>
        </is>
      </c>
      <c r="H50" s="2" t="inlineStr">
        <is>
          <t>Fiscal sponsorship (academic institution)</t>
        </is>
      </c>
      <c r="I50" s="2" t="n"/>
      <c r="J50" s="2" t="n"/>
      <c r="K50" s="2" t="inlineStr">
        <is>
          <t>FALSE</t>
        </is>
      </c>
      <c r="L50" s="2" t="n"/>
      <c r="M50" s="2" t="n"/>
      <c r="N50" s="2" t="inlineStr">
        <is>
          <t>2015-01-01</t>
        </is>
      </c>
      <c r="O50" s="2" t="inlineStr">
        <is>
          <t>Fulcrum was established in 2015 with funding from the Andrew W. Mellon Foundation. After several rounds of development funding, the platform became self-sustaining in 2021.</t>
        </is>
      </c>
      <c r="P50" s="2" t="n"/>
      <c r="Q50" s="2" t="n"/>
      <c r="R50" s="2" t="inlineStr">
        <is>
          <t>Program service revenue</t>
        </is>
      </c>
      <c r="S50" s="2" t="n"/>
      <c r="T50" s="2" t="inlineStr">
        <is>
          <t>Through solution provider only</t>
        </is>
      </c>
      <c r="U50" s="2" t="n"/>
      <c r="V50" s="2" t="inlineStr">
        <is>
          <t>Actual system proven in operational environment</t>
        </is>
      </c>
      <c r="W50" s="2" t="inlineStr">
        <is>
          <t>Actively Maintained</t>
        </is>
      </c>
      <c r="X50" s="2" t="inlineStr">
        <is>
          <t>FALSE</t>
        </is>
      </c>
      <c r="Y50" s="2" t="n"/>
      <c r="Z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n"/>
      <c r="H51" s="2" t="inlineStr">
        <is>
          <t>Fiscal sponsorship (academic institution)</t>
        </is>
      </c>
      <c r="I51" s="2" t="n"/>
      <c r="J51" s="2" t="n"/>
      <c r="K51" s="2" t="inlineStr">
        <is>
          <t>FALSE</t>
        </is>
      </c>
      <c r="L51" s="2" t="inlineStr">
        <is>
          <t>More than 20</t>
        </is>
      </c>
      <c r="M51" s="2" t="inlineStr">
        <is>
          <t>More than 20</t>
        </is>
      </c>
      <c r="N51" s="2" t="inlineStr">
        <is>
          <t>2005-01-01</t>
        </is>
      </c>
      <c r="O51" s="2" t="inlineStr">
        <is>
          <t>Founded in 2005 Galaxy now serves 500,000 users.</t>
        </is>
      </c>
      <c r="P51" s="2" t="inlineStr">
        <is>
          <t>It's an open source project with many affiliations.</t>
        </is>
      </c>
      <c r="Q51" s="2" t="n"/>
      <c r="R51" s="2" t="inlineStr">
        <is>
          <t>Contributions</t>
        </is>
      </c>
      <c r="S51" s="2" t="n"/>
      <c r="T51" s="2" t="inlineStr">
        <is>
          <t>Through solution provider or third party vendor</t>
        </is>
      </c>
      <c r="U51" s="2" t="n"/>
      <c r="V51" s="2" t="inlineStr">
        <is>
          <t>Actual system proven in operational environment</t>
        </is>
      </c>
      <c r="W51" s="2" t="inlineStr">
        <is>
          <t>Actively Maintained</t>
        </is>
      </c>
      <c r="X51" s="2" t="inlineStr">
        <is>
          <t>FALSE</t>
        </is>
      </c>
      <c r="Y51" s="2" t="n"/>
      <c r="Z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t>
        </is>
      </c>
      <c r="H52" s="2" t="inlineStr">
        <is>
          <t>Non-profit organization</t>
        </is>
      </c>
      <c r="I52" s="2" t="n"/>
      <c r="J52" s="2" t="n"/>
      <c r="K52" s="2" t="inlineStr">
        <is>
          <t>FALSE</t>
        </is>
      </c>
      <c r="L52" s="2" t="inlineStr">
        <is>
          <t>0</t>
        </is>
      </c>
      <c r="M52" s="2" t="inlineStr">
        <is>
          <t>More than 20</t>
        </is>
      </c>
      <c r="N52" s="2" t="inlineStr">
        <is>
          <t>2001-01-01</t>
        </is>
      </c>
      <c r="O52" s="2" t="inlineStr">
        <is>
          <t>https://docs.geoserver.org/latest/en/user/introduction/history.html</t>
        </is>
      </c>
      <c r="P52" s="2" t="inlineStr">
        <is>
          <t>https://www.osgeo.org
https://www.geosolutionsgroup.com/
https://www.afrigis.co.za/
https://www.geocat.net/
https://camptocamp.com/</t>
        </is>
      </c>
      <c r="Q52" s="2" t="inlineStr">
        <is>
          <t>The Open Planning Project (TOPP)</t>
        </is>
      </c>
      <c r="R52" s="2" t="inlineStr">
        <is>
          <t>Contributions</t>
        </is>
      </c>
      <c r="S52" s="2" t="n"/>
      <c r="T52" s="2" t="inlineStr">
        <is>
          <t>Through third party vendor only</t>
        </is>
      </c>
      <c r="U52" s="2" t="inlineStr">
        <is>
          <t>https://geoserver.org/support/</t>
        </is>
      </c>
      <c r="V52" s="2" t="inlineStr">
        <is>
          <t>Actual system proven in operational environment</t>
        </is>
      </c>
      <c r="W52" s="2" t="inlineStr">
        <is>
          <t>Actively Maintained</t>
        </is>
      </c>
      <c r="X52" s="2" t="inlineStr">
        <is>
          <t>FALSE</t>
        </is>
      </c>
      <c r="Y52" s="2" t="n"/>
      <c r="Z52" s="2" t="n"/>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Institutions, organizations, funders, and consortia can help advance Hyku via in-kind development of Hyku features; by becoming a Samvera Partner; through grant-funded activities; and by pledging funds or development time to contribute Hyku community development sprints.</t>
        </is>
      </c>
      <c r="H53" s="2" t="inlineStr">
        <is>
          <t>Fiscal sponsorship (non-profit)</t>
        </is>
      </c>
      <c r="I53" s="2" t="n"/>
      <c r="J53" s="2" t="inlineStr">
        <is>
          <t>501(c)6</t>
        </is>
      </c>
      <c r="K53" s="2" t="inlineStr">
        <is>
          <t>FALSE</t>
        </is>
      </c>
      <c r="L53" s="2" t="inlineStr">
        <is>
          <t>1-5</t>
        </is>
      </c>
      <c r="M53" s="2" t="inlineStr">
        <is>
          <t>1-5</t>
        </is>
      </c>
      <c r="N53" s="2" t="inlineStr">
        <is>
          <t>2015-01-01</t>
        </is>
      </c>
      <c r="O53" s="2" t="inlineStr">
        <is>
          <t>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t>
        </is>
      </c>
      <c r="P53" s="2" t="n"/>
      <c r="Q53" s="2" t="n"/>
      <c r="R53" s="2" t="inlineStr">
        <is>
          <t>Contributions</t>
        </is>
      </c>
      <c r="S53" s="2" t="n"/>
      <c r="T53" s="2" t="inlineStr">
        <is>
          <t>Through third party vendor only</t>
        </is>
      </c>
      <c r="U53" s="2" t="inlineStr">
        <is>
          <t>See service providers at https://samvera.org/the-community/service-providers</t>
        </is>
      </c>
      <c r="V53" s="2" t="inlineStr">
        <is>
          <t>Actual system proven in operational environment</t>
        </is>
      </c>
      <c r="W53" s="2" t="inlineStr">
        <is>
          <t>Actively Maintained</t>
        </is>
      </c>
      <c r="X53" s="2" t="inlineStr">
        <is>
          <t>FALSE</t>
        </is>
      </c>
      <c r="Y53" s="2" t="n"/>
      <c r="Z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t>
        </is>
      </c>
      <c r="H54" s="2" t="inlineStr">
        <is>
          <t>Fiscal sponsorship (non-profit)</t>
        </is>
      </c>
      <c r="I54" s="2" t="n"/>
      <c r="J54" s="2" t="n"/>
      <c r="K54" s="2" t="inlineStr">
        <is>
          <t>FALSE</t>
        </is>
      </c>
      <c r="L54" s="2" t="inlineStr">
        <is>
          <t>1-5</t>
        </is>
      </c>
      <c r="M54" s="2" t="inlineStr">
        <is>
          <t>1-5</t>
        </is>
      </c>
      <c r="N54" s="2" t="inlineStr">
        <is>
          <t>2018-01-01</t>
        </is>
      </c>
      <c r="O54" s="2" t="inlineStr">
        <is>
          <t>Hyrax was originally created as part of Project Hydra, now known as the Samvera Community. Hyrax was created from earlier OSS repository components including Sufia and Curation Concerns.</t>
        </is>
      </c>
      <c r="P54" s="2" t="inlineStr">
        <is>
          <t>No affiliations</t>
        </is>
      </c>
      <c r="Q54" s="2" t="inlineStr">
        <is>
          <t>Stanford University
University of Hull
University of Virginia</t>
        </is>
      </c>
      <c r="R54" s="2" t="inlineStr">
        <is>
          <t>Contributions</t>
        </is>
      </c>
      <c r="S54" s="2" t="n"/>
      <c r="T54" s="2" t="inlineStr">
        <is>
          <t>Through third party vendor only</t>
        </is>
      </c>
      <c r="U54" s="2" t="inlineStr">
        <is>
          <t>https://samvera.org/the-community/service-providers</t>
        </is>
      </c>
      <c r="V54" s="2" t="inlineStr">
        <is>
          <t>Actual system proven in operational environment</t>
        </is>
      </c>
      <c r="W54" s="2" t="inlineStr">
        <is>
          <t>Actively Maintained</t>
        </is>
      </c>
      <c r="X54" s="2" t="inlineStr">
        <is>
          <t>FALSE</t>
        </is>
      </c>
      <c r="Y54" s="2" t="n"/>
      <c r="Z54" s="2" t="n"/>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t>
        </is>
      </c>
      <c r="H55" s="2" t="inlineStr">
        <is>
          <t>Fiscal sponsorship (non-profit)</t>
        </is>
      </c>
      <c r="I55" s="2" t="n"/>
      <c r="J55" s="2" t="n"/>
      <c r="K55" s="2" t="inlineStr">
        <is>
          <t>FALSE</t>
        </is>
      </c>
      <c r="L55" s="2" t="n"/>
      <c r="M55" s="2" t="n"/>
      <c r="N55" s="2" t="inlineStr">
        <is>
          <t>2011-01-01</t>
        </is>
      </c>
      <c r="O55" s="2" t="inlineStr">
        <is>
          <t>&lt;p&gt;The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t>
        </is>
      </c>
      <c r="P55" s="2" t="n"/>
      <c r="Q55" s="2" t="n"/>
      <c r="R55" s="2" t="inlineStr">
        <is>
          <t>Contributions</t>
        </is>
      </c>
      <c r="S55" s="2" t="n"/>
      <c r="T55" s="2" t="inlineStr">
        <is>
          <t>Not applicable</t>
        </is>
      </c>
      <c r="U55" s="2" t="inlineStr">
        <is>
          <t>We don't formally vet or require particular levels of IIIF compliance, but we do feature community partners that we're aware of in a few different places.</t>
        </is>
      </c>
      <c r="V55" s="2" t="inlineStr">
        <is>
          <t>Actual system proven in operational environment</t>
        </is>
      </c>
      <c r="W55" s="2" t="inlineStr">
        <is>
          <t>Actively Maintained</t>
        </is>
      </c>
      <c r="X55" s="2" t="inlineStr">
        <is>
          <t>FALSE</t>
        </is>
      </c>
      <c r="Y55" s="2" t="n"/>
      <c r="Z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n"/>
      <c r="H56" s="2" t="inlineStr">
        <is>
          <t>Fiscal sponsorship (academic institution)</t>
        </is>
      </c>
      <c r="I56" s="2" t="n"/>
      <c r="J56" s="2" t="n"/>
      <c r="K56" s="2" t="inlineStr">
        <is>
          <t>FALSE</t>
        </is>
      </c>
      <c r="L56" s="2" t="n"/>
      <c r="M56" s="2" t="n"/>
      <c r="N56" s="2" t="inlineStr">
        <is>
          <t>2024-01-01</t>
        </is>
      </c>
      <c r="O56" s="2" t="inlineStr">
        <is>
          <t>Please provide a brief organizational history.</t>
        </is>
      </c>
      <c r="P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Q56" s="2" t="n"/>
      <c r="R56" s="2" t="inlineStr">
        <is>
          <t>Contributions</t>
        </is>
      </c>
      <c r="S56" s="2" t="n"/>
      <c r="T56" s="2" t="inlineStr">
        <is>
          <t>Through solution provider or third party vendor</t>
        </is>
      </c>
      <c r="U56" s="2" t="n"/>
      <c r="V56" s="2" t="inlineStr">
        <is>
          <t>Actual system proven in operational environment</t>
        </is>
      </c>
      <c r="W56" s="2" t="inlineStr">
        <is>
          <t>Actively Maintained</t>
        </is>
      </c>
      <c r="X56" s="2" t="inlineStr">
        <is>
          <t>FALSE</t>
        </is>
      </c>
      <c r="Y56" s="2" t="n"/>
      <c r="Z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n"/>
      <c r="H57" s="2" t="inlineStr">
        <is>
          <t>Non-profit organization</t>
        </is>
      </c>
      <c r="I57" s="2" t="n"/>
      <c r="J57" s="2" t="n"/>
      <c r="K57" s="2" t="inlineStr">
        <is>
          <t>FALSE</t>
        </is>
      </c>
      <c r="L57" s="2" t="inlineStr">
        <is>
          <t>1-5</t>
        </is>
      </c>
      <c r="M57" s="2" t="inlineStr">
        <is>
          <t>11-20</t>
        </is>
      </c>
      <c r="N57" s="2" t="inlineStr">
        <is>
          <t>2011-01-01</t>
        </is>
      </c>
      <c r="O57" s="2" t="inlineStr">
        <is>
          <t>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t>
        </is>
      </c>
      <c r="P57" s="2" t="inlineStr">
        <is>
          <t>DataCite e.V.
SESAR
GFZ Data Services
Kiel University IGSN Service
Lithodat Pty Ltd
Commonwealth Scientific and Industrial Research Organisation
Institut Français de Recherche pour l'Exploitation de la Mer</t>
        </is>
      </c>
      <c r="Q57" s="2" t="inlineStr">
        <is>
          <t>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t>
        </is>
      </c>
      <c r="R57" s="2" t="inlineStr">
        <is>
          <t>Contributions</t>
        </is>
      </c>
      <c r="S57" s="2" t="n"/>
      <c r="T57" s="2" t="inlineStr">
        <is>
          <t>Through solution provider only</t>
        </is>
      </c>
      <c r="U57" s="2" t="inlineStr">
        <is>
          <t>https://ev.igsn.org/resources/igsn-agents-and-registration</t>
        </is>
      </c>
      <c r="V57" s="2" t="inlineStr">
        <is>
          <t>Actual system proven in operational environment</t>
        </is>
      </c>
      <c r="W57" s="2" t="inlineStr">
        <is>
          <t>Actively Maintained</t>
        </is>
      </c>
      <c r="X57" s="2" t="inlineStr">
        <is>
          <t>FALSE</t>
        </is>
      </c>
      <c r="Y57" s="2" t="n"/>
      <c r="Z57" s="2" t="n"/>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InvenioRDM is currently funded by the participating institutions and through grants to the participating. Primary funding needs is related to core maintenance activities such as improving the upgrade experience and system administration documentation.</t>
        </is>
      </c>
      <c r="H58" s="2" t="inlineStr">
        <is>
          <t>Volunteer community</t>
        </is>
      </c>
      <c r="I58" s="2" t="n"/>
      <c r="J58" s="2" t="n"/>
      <c r="K58" s="2" t="inlineStr">
        <is>
          <t>FALSE</t>
        </is>
      </c>
      <c r="L58" s="2" t="n"/>
      <c r="M58" s="2" t="n"/>
      <c r="N58" s="2" t="inlineStr">
        <is>
          <t>2018-01-01</t>
        </is>
      </c>
      <c r="O58" s="2" t="inlineStr">
        <is>
          <t>InvenioRDM has been an open source community since the beginning.</t>
        </is>
      </c>
      <c r="P58" s="2" t="n"/>
      <c r="Q58" s="2" t="n"/>
      <c r="R58" s="2" t="inlineStr">
        <is>
          <t>Contributions</t>
        </is>
      </c>
      <c r="S58" s="2" t="n"/>
      <c r="T58" s="2" t="inlineStr">
        <is>
          <t>No services available</t>
        </is>
      </c>
      <c r="U58" s="2" t="n"/>
      <c r="V58" s="2" t="inlineStr">
        <is>
          <t>System complete and qualified</t>
        </is>
      </c>
      <c r="W58" s="2" t="inlineStr">
        <is>
          <t>Actively Maintained</t>
        </is>
      </c>
      <c r="X58" s="2" t="inlineStr">
        <is>
          <t>FALSE</t>
        </is>
      </c>
      <c r="Y58" s="2" t="n"/>
      <c r="Z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The goal of long-term sustainability of the software within the University environment requires membership and support contracts.</t>
        </is>
      </c>
      <c r="H59" s="2" t="inlineStr">
        <is>
          <t>Fiscal sponsorship (academic institution)</t>
        </is>
      </c>
      <c r="I59" s="2" t="n"/>
      <c r="J59" s="2" t="n"/>
      <c r="K59" s="2" t="inlineStr">
        <is>
          <t>FALSE</t>
        </is>
      </c>
      <c r="L59" s="2" t="inlineStr">
        <is>
          <t>6-10</t>
        </is>
      </c>
      <c r="M59" s="2" t="inlineStr">
        <is>
          <t>0</t>
        </is>
      </c>
      <c r="N59" s="2" t="inlineStr">
        <is>
          <t>2006-01-01</t>
        </is>
      </c>
      <c r="O59" s="2" t="inlineStr">
        <is>
          <t>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t>
        </is>
      </c>
      <c r="P59" s="2" t="inlineStr">
        <is>
          <t>Executive Board Members (Premier Level)</t>
        </is>
      </c>
      <c r="Q59" s="2" t="inlineStr">
        <is>
          <t>Reagan Moore
Arcot Rajasekar
San Diego Supercomputer Center (SDSC)
Charles Schmitt
Jason Coposky
Terrell Russell
Renaissance Computing Institute (RENCI)
University of North Carolina at Chapel Hill (UNC-Chapel Hill)</t>
        </is>
      </c>
      <c r="R59" s="2" t="inlineStr">
        <is>
          <t>Program service revenue</t>
        </is>
      </c>
      <c r="S59" s="2" t="n"/>
      <c r="T59" s="2" t="inlineStr">
        <is>
          <t>Through solution provider or third party vendor</t>
        </is>
      </c>
      <c r="U59" s="2" t="inlineStr">
        <is>
          <t>https://irods.org/general-support/</t>
        </is>
      </c>
      <c r="V59" s="2" t="inlineStr">
        <is>
          <t>Actual system proven in operational environment</t>
        </is>
      </c>
      <c r="W59" s="2" t="inlineStr">
        <is>
          <t>Actively Maintained</t>
        </is>
      </c>
      <c r="X59" s="2" t="inlineStr">
        <is>
          <t>FALSE</t>
        </is>
      </c>
      <c r="Y59" s="2" t="n"/>
      <c r="Z59" s="2" t="n"/>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In an environment of institutional paucity, it is harder to find high-tier memberships that fund the Foundation's work to foster and curate community development. Funding supports the Foundation's mission to maintain key systems, host events, and fund software development.</t>
        </is>
      </c>
      <c r="H60" s="2" t="inlineStr">
        <is>
          <t>Fiscal sponsorship (non-profit)</t>
        </is>
      </c>
      <c r="I60" s="2" t="n"/>
      <c r="J60" s="2" t="n"/>
      <c r="K60" s="2" t="inlineStr">
        <is>
          <t>FALSE</t>
        </is>
      </c>
      <c r="L60" s="2" t="n"/>
      <c r="M60" s="2" t="n"/>
      <c r="N60" s="2" t="inlineStr">
        <is>
          <t>2010-01-01</t>
        </is>
      </c>
      <c r="O60" s="2" t="inlineStr">
        <is>
          <t>Islandora was born at the University of Prince Edward Island. In 2010, UPEI received an Atlantic Innovation Fund grant to take their excellent, home-grown software to the world.</t>
        </is>
      </c>
      <c r="P60" s="2" t="n"/>
      <c r="Q60" s="2" t="n"/>
      <c r="R60" s="2" t="inlineStr">
        <is>
          <t>Contributions</t>
        </is>
      </c>
      <c r="S60" s="2" t="n"/>
      <c r="T60" s="2" t="inlineStr">
        <is>
          <t>Through third party vendor only</t>
        </is>
      </c>
      <c r="U60" s="2" t="n"/>
      <c r="V60" s="2" t="inlineStr">
        <is>
          <t>Actual system proven in operational environment</t>
        </is>
      </c>
      <c r="W60" s="2" t="inlineStr">
        <is>
          <t>Actively Maintained</t>
        </is>
      </c>
      <c r="X60" s="2" t="inlineStr">
        <is>
          <t>FALSE</t>
        </is>
      </c>
      <c r="Y60" s="2" t="n"/>
      <c r="Z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t>
        </is>
      </c>
      <c r="H61" s="2" t="inlineStr">
        <is>
          <t>Fiscal sponsorship (academic institution)</t>
        </is>
      </c>
      <c r="I61" s="2" t="n"/>
      <c r="J61" s="2" t="n"/>
      <c r="K61" s="2" t="inlineStr">
        <is>
          <t>FALSE</t>
        </is>
      </c>
      <c r="L61" s="2" t="n"/>
      <c r="M61" s="2" t="n"/>
      <c r="N61" s="2" t="inlineStr">
        <is>
          <t>2017-01-01</t>
        </is>
      </c>
      <c r="O61" s="2" t="inlineStr">
        <is>
          <t>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t>
        </is>
      </c>
      <c r="P61" s="2" t="n"/>
      <c r="Q61" s="2" t="n"/>
      <c r="R61" s="2" t="inlineStr">
        <is>
          <t>Program service revenue</t>
        </is>
      </c>
      <c r="S61" s="2" t="n"/>
      <c r="T61" s="2" t="inlineStr">
        <is>
          <t>Through solution provider only</t>
        </is>
      </c>
      <c r="U61" s="2" t="n"/>
      <c r="V61" s="2" t="inlineStr">
        <is>
          <t>Actual system proven in operational environment</t>
        </is>
      </c>
      <c r="W61" s="2" t="inlineStr">
        <is>
          <t>Actively Maintained</t>
        </is>
      </c>
      <c r="X61" s="2" t="inlineStr">
        <is>
          <t>FALSE</t>
        </is>
      </c>
      <c r="Y61" s="2" t="n"/>
      <c r="Z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We are grateful for donations of any size which go towards the cost of hosting, development effort, community building and the creation of documentation, user guides, and training materials.</t>
        </is>
      </c>
      <c r="H62" s="2" t="inlineStr">
        <is>
          <t>Non-profit organization</t>
        </is>
      </c>
      <c r="I62" s="2" t="n"/>
      <c r="J62" s="2" t="inlineStr">
        <is>
          <t>Foundation</t>
        </is>
      </c>
      <c r="K62" s="2" t="inlineStr">
        <is>
          <t>FALSE</t>
        </is>
      </c>
      <c r="L62" s="2" t="inlineStr">
        <is>
          <t>1-5</t>
        </is>
      </c>
      <c r="M62" s="2" t="inlineStr">
        <is>
          <t>0</t>
        </is>
      </c>
      <c r="N62" s="2" t="inlineStr">
        <is>
          <t>2006-01-01</t>
        </is>
      </c>
      <c r="O62" s="2" t="inlineStr">
        <is>
          <t>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t>
        </is>
      </c>
      <c r="P62" s="2" t="inlineStr">
        <is>
          <t>&lt;a href="https://openpreservation.org/membership/meet-our-members/" target="_blank"&gt;OPF Membership&lt;/a&gt;</t>
        </is>
      </c>
      <c r="Q62" s="2" t="inlineStr">
        <is>
          <t>Harvard University Library https://library.harvard.edu/
JSTOR http://www.jstor.org/ now part of Ithaka https://www.ithaka.org/
Andrew M Mellon Foundation https://www.mellon.org/</t>
        </is>
      </c>
      <c r="R62" s="2" t="inlineStr">
        <is>
          <t>Contributions</t>
        </is>
      </c>
      <c r="S62" s="2" t="n"/>
      <c r="T62" s="2" t="inlineStr">
        <is>
          <t>No services available</t>
        </is>
      </c>
      <c r="U62" s="2" t="n"/>
      <c r="V62" s="2" t="inlineStr">
        <is>
          <t>Actual system proven in operational environment</t>
        </is>
      </c>
      <c r="W62" s="2" t="inlineStr">
        <is>
          <t>Actively Maintained</t>
        </is>
      </c>
      <c r="X62" s="2" t="inlineStr">
        <is>
          <t>FALSE</t>
        </is>
      </c>
      <c r="Y62" s="2" t="n"/>
      <c r="Z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t>
        </is>
      </c>
      <c r="H63" s="2" t="inlineStr">
        <is>
          <t>Non-profit organization</t>
        </is>
      </c>
      <c r="I63" s="2" t="n"/>
      <c r="J63" s="2" t="n"/>
      <c r="K63" s="2" t="inlineStr">
        <is>
          <t>FALSE</t>
        </is>
      </c>
      <c r="L63" s="2" t="n"/>
      <c r="M63" s="2" t="n"/>
      <c r="N63" s="2" t="inlineStr">
        <is>
          <t>2012-01-01</t>
        </is>
      </c>
      <c r="O63" s="2" t="inlineStr">
        <is>
          <t>&lt;p&gt;LA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t>
        </is>
      </c>
      <c r="P63" s="2" t="n"/>
      <c r="Q63" s="2" t="n"/>
      <c r="R63" s="2" t="inlineStr">
        <is>
          <t>Other</t>
        </is>
      </c>
      <c r="S63" s="2" t="n"/>
      <c r="T63" s="2" t="inlineStr">
        <is>
          <t>Not applicable</t>
        </is>
      </c>
      <c r="U63" s="2" t="n"/>
      <c r="V63" s="2" t="inlineStr">
        <is>
          <t>Actual system proven in operational environment</t>
        </is>
      </c>
      <c r="W63" s="2" t="inlineStr">
        <is>
          <t>Actively Maintained</t>
        </is>
      </c>
      <c r="X63" s="2" t="inlineStr">
        <is>
          <t>FALSE</t>
        </is>
      </c>
      <c r="Y63" s="2" t="n"/>
      <c r="Z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t>
        </is>
      </c>
      <c r="H64" s="2" t="inlineStr">
        <is>
          <t>Non-profit organization</t>
        </is>
      </c>
      <c r="I64" s="2" t="n"/>
      <c r="J64" s="2" t="n"/>
      <c r="K64" s="2" t="inlineStr">
        <is>
          <t>FALSE</t>
        </is>
      </c>
      <c r="L64" s="2" t="n"/>
      <c r="M64" s="2" t="n"/>
      <c r="N64" s="2" t="inlineStr">
        <is>
          <t>2018-01-01</t>
        </is>
      </c>
      <c r="O64" s="2" t="inlineStr">
        <is>
          <t>&lt;a href="https://manifoldapp.org/history" "target=_blank"&gt;Organizational history&lt;/a&gt;</t>
        </is>
      </c>
      <c r="P64" s="2" t="n"/>
      <c r="Q64" s="2" t="n"/>
      <c r="R64" s="2" t="inlineStr">
        <is>
          <t>Program service revenue</t>
        </is>
      </c>
      <c r="S64" s="2" t="n"/>
      <c r="T64" s="2" t="inlineStr">
        <is>
          <t>Through third party vendor only</t>
        </is>
      </c>
      <c r="U64" s="2" t="n"/>
      <c r="V64" s="2" t="inlineStr">
        <is>
          <t>Actual system proven in operational environment</t>
        </is>
      </c>
      <c r="W64" s="2" t="inlineStr">
        <is>
          <t>Actively Maintained</t>
        </is>
      </c>
      <c r="X64" s="2" t="inlineStr">
        <is>
          <t>FALSE</t>
        </is>
      </c>
      <c r="Y64" s="2" t="n"/>
      <c r="Z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65" s="2" t="inlineStr">
        <is>
          <t>Fiscal sponsorship (non-profit)</t>
        </is>
      </c>
      <c r="I65" s="2" t="n"/>
      <c r="J65" s="2" t="n"/>
      <c r="K65" s="2" t="inlineStr">
        <is>
          <t>FALSE</t>
        </is>
      </c>
      <c r="L65" s="2" t="n"/>
      <c r="M65" s="2" t="n"/>
      <c r="N65" s="2" t="inlineStr">
        <is>
          <t>2019-01-01</t>
        </is>
      </c>
      <c r="O65" s="2" t="inlineStr">
        <is>
          <t>No change</t>
        </is>
      </c>
      <c r="P65" s="2" t="n"/>
      <c r="Q65" s="2" t="n"/>
      <c r="R65" s="2" t="inlineStr">
        <is>
          <t>Contributions</t>
        </is>
      </c>
      <c r="S65" s="2" t="n"/>
      <c r="T65" s="2" t="inlineStr">
        <is>
          <t>Through solution provider or third party vendor</t>
        </is>
      </c>
      <c r="U65" s="2" t="n"/>
      <c r="V65" s="2" t="inlineStr">
        <is>
          <t>Actual system proven in operational environment</t>
        </is>
      </c>
      <c r="W65" s="2" t="inlineStr">
        <is>
          <t>Actively Maintained</t>
        </is>
      </c>
      <c r="X65" s="2" t="inlineStr">
        <is>
          <t>FALSE</t>
        </is>
      </c>
      <c r="Y65" s="2" t="n"/>
      <c r="Z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Members of the METS editorial board are reliant on in-kind support from their home institutions through travel and time to support the work of the METS editorial board.</t>
        </is>
      </c>
      <c r="H66" s="2" t="inlineStr">
        <is>
          <t>Volunteer community</t>
        </is>
      </c>
      <c r="I66" s="2" t="n"/>
      <c r="J66" s="2" t="n"/>
      <c r="K66" s="2" t="inlineStr">
        <is>
          <t>FALSE</t>
        </is>
      </c>
      <c r="L66" s="2" t="inlineStr">
        <is>
          <t>0</t>
        </is>
      </c>
      <c r="M66" s="2" t="inlineStr">
        <is>
          <t>1-5</t>
        </is>
      </c>
      <c r="N66" s="2" t="inlineStr">
        <is>
          <t>2001-01-01</t>
        </is>
      </c>
      <c r="O66" s="2" t="inlineStr">
        <is>
          <t>The METS XML schema was created in 2001 under the sponsorship of the Digital Library Federation (DLF). The METS schema and documentation is hosted by the Library of Congress. METS is governed by the METS Editorial Board, which functions as an independent community group.</t>
        </is>
      </c>
      <c r="P66" s="2" t="inlineStr">
        <is>
          <t>Library of Congress provides hosting support for the METS schema; the METS editorial board functions as an independent community group.</t>
        </is>
      </c>
      <c r="Q66" s="2" t="n"/>
      <c r="R66" s="2" t="inlineStr">
        <is>
          <t>Other</t>
        </is>
      </c>
      <c r="S66" s="2" t="inlineStr">
        <is>
          <t>No direct funding</t>
        </is>
      </c>
      <c r="T66" s="2" t="inlineStr">
        <is>
          <t>Not applicable</t>
        </is>
      </c>
      <c r="U66" s="2" t="n"/>
      <c r="V66" s="2" t="inlineStr">
        <is>
          <t>Actual system proven in operational environment</t>
        </is>
      </c>
      <c r="W66" s="2" t="inlineStr">
        <is>
          <t>Actively Maintained</t>
        </is>
      </c>
      <c r="X66" s="2" t="inlineStr">
        <is>
          <t>FALSE</t>
        </is>
      </c>
      <c r="Y66" s="2" t="n"/>
      <c r="Z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n"/>
      <c r="H67" s="2" t="inlineStr">
        <is>
          <t>Volunteer community</t>
        </is>
      </c>
      <c r="I67" s="2" t="n"/>
      <c r="J67" s="2" t="n"/>
      <c r="K67" s="2" t="inlineStr">
        <is>
          <t>FALSE</t>
        </is>
      </c>
      <c r="L67" s="2" t="n"/>
      <c r="M67" s="2" t="n"/>
      <c r="N67" s="2" t="inlineStr">
        <is>
          <t>2013-01-01</t>
        </is>
      </c>
      <c r="O67" s="2" t="inlineStr">
        <is>
          <t>Founded at Stanford University Libraries, DLSS (Digital Library Systems + Services), but developers and contributors from MANY institutions have contributed to make Mirador what it is today.</t>
        </is>
      </c>
      <c r="P67" s="2" t="n"/>
      <c r="Q67" s="2" t="n"/>
      <c r="R67" s="2" t="inlineStr">
        <is>
          <t>Other</t>
        </is>
      </c>
      <c r="S67" s="2" t="n"/>
      <c r="T67" s="2" t="inlineStr">
        <is>
          <t>Not applicable</t>
        </is>
      </c>
      <c r="U67" s="2" t="n"/>
      <c r="V67" s="2" t="inlineStr">
        <is>
          <t>Actual system proven in operational environment</t>
        </is>
      </c>
      <c r="W67" s="2" t="inlineStr">
        <is>
          <t>Actively Maintained</t>
        </is>
      </c>
      <c r="X67" s="2" t="inlineStr">
        <is>
          <t>FALSE</t>
        </is>
      </c>
      <c r="Y67" s="2" t="n"/>
      <c r="Z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n"/>
      <c r="H68" s="2" t="inlineStr">
        <is>
          <t>Fiscal sponsorship (academic institution)</t>
        </is>
      </c>
      <c r="I68" s="2" t="n"/>
      <c r="J68" s="2" t="n"/>
      <c r="K68" s="2" t="inlineStr">
        <is>
          <t>FALSE</t>
        </is>
      </c>
      <c r="L68" s="2" t="n"/>
      <c r="M68" s="2" t="n"/>
      <c r="N68" s="2" t="inlineStr">
        <is>
          <t>2007-01-01</t>
        </is>
      </c>
      <c r="O68" s="2" t="inlineStr">
        <is>
          <t>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t>
        </is>
      </c>
      <c r="P68" s="2" t="n"/>
      <c r="Q68" s="2" t="n"/>
      <c r="R68" s="2" t="inlineStr">
        <is>
          <t>Contributions</t>
        </is>
      </c>
      <c r="S68" s="2" t="n"/>
      <c r="T68" s="2" t="inlineStr">
        <is>
          <t>Through third party vendor only</t>
        </is>
      </c>
      <c r="U68" s="2" t="n"/>
      <c r="V68" s="2" t="inlineStr">
        <is>
          <t>Actual system proven in operational environment</t>
        </is>
      </c>
      <c r="W68" s="2" t="inlineStr">
        <is>
          <t>Actively Maintained</t>
        </is>
      </c>
      <c r="X68" s="2" t="inlineStr">
        <is>
          <t>FALSE</t>
        </is>
      </c>
      <c r="Y68" s="2" t="n"/>
      <c r="Z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n"/>
      <c r="H69" s="2" t="inlineStr">
        <is>
          <t>Volunteer community</t>
        </is>
      </c>
      <c r="I69" s="2" t="n"/>
      <c r="J69" s="2" t="n"/>
      <c r="K69" s="2" t="inlineStr">
        <is>
          <t>FALSE</t>
        </is>
      </c>
      <c r="L69" s="2" t="inlineStr">
        <is>
          <t>1-5</t>
        </is>
      </c>
      <c r="M69" s="2" t="inlineStr">
        <is>
          <t>6-10</t>
        </is>
      </c>
      <c r="N69" s="2" t="inlineStr">
        <is>
          <t>2001-01-01</t>
        </is>
      </c>
      <c r="O69" s="2" t="inlineStr">
        <is>
          <t>The project participants are people who work at german universities, computer centers and libraries an other german institutions.</t>
        </is>
      </c>
      <c r="P69" s="2" t="inlineStr">
        <is>
          <t xml:space="preserve"> Regional Computer Center, Hamburg University</t>
        </is>
      </c>
      <c r="Q69" s="2" t="n"/>
      <c r="R69" s="2" t="inlineStr">
        <is>
          <t>Contributions</t>
        </is>
      </c>
      <c r="S69" s="2" t="n"/>
      <c r="T69" s="2" t="inlineStr">
        <is>
          <t>Through solution provider only</t>
        </is>
      </c>
      <c r="U69" s="2" t="n"/>
      <c r="V69" s="2" t="inlineStr">
        <is>
          <t>Actual system proven in operational environment</t>
        </is>
      </c>
      <c r="W69" s="2" t="inlineStr">
        <is>
          <t>Actively Maintained</t>
        </is>
      </c>
      <c r="X69" s="2" t="inlineStr">
        <is>
          <t>FALSE</t>
        </is>
      </c>
      <c r="Y69" s="2" t="n"/>
      <c r="Z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Sustainable funding for full-time project roles.</t>
        </is>
      </c>
      <c r="H70" s="2" t="inlineStr">
        <is>
          <t>Fiscal sponsorship (non-profit)</t>
        </is>
      </c>
      <c r="I70" s="2" t="n"/>
      <c r="J70" s="2" t="n"/>
      <c r="K70" s="2" t="inlineStr">
        <is>
          <t>FALSE</t>
        </is>
      </c>
      <c r="L70" s="2" t="inlineStr">
        <is>
          <t>1-5</t>
        </is>
      </c>
      <c r="M70" s="2" t="inlineStr">
        <is>
          <t>6-10</t>
        </is>
      </c>
      <c r="N70" s="2" t="inlineStr">
        <is>
          <t>2005-01-01</t>
        </is>
      </c>
      <c r="O70" s="2" t="inlineStr">
        <is>
          <t>https://www.nature.com/articles/s41586-020-2649-2</t>
        </is>
      </c>
      <c r="P70" s="2" t="inlineStr">
        <is>
          <t>NumFOCUS; UC Berkeley; Quansight; NVIDIA</t>
        </is>
      </c>
      <c r="Q70" s="2" t="inlineStr">
        <is>
          <t>Travis Oliphant</t>
        </is>
      </c>
      <c r="R70" s="2" t="inlineStr">
        <is>
          <t>Contributions</t>
        </is>
      </c>
      <c r="S70" s="2" t="inlineStr">
        <is>
          <t>Grants, in-kind contributions</t>
        </is>
      </c>
      <c r="T70" s="2" t="inlineStr">
        <is>
          <t>Not applicable</t>
        </is>
      </c>
      <c r="U70" s="2" t="n"/>
      <c r="V70" s="2" t="inlineStr">
        <is>
          <t>Actual system proven in operational environment</t>
        </is>
      </c>
      <c r="W70" s="2" t="inlineStr">
        <is>
          <t>Actively Maintained</t>
        </is>
      </c>
      <c r="X70" s="2" t="inlineStr">
        <is>
          <t>FALSE</t>
        </is>
      </c>
      <c r="Y70" s="2" t="n"/>
      <c r="Z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t>
        </is>
      </c>
      <c r="H71" s="2" t="inlineStr">
        <is>
          <t>Fiscal sponsorship (non-profit)</t>
        </is>
      </c>
      <c r="I71" s="2" t="n"/>
      <c r="J71" s="2" t="n"/>
      <c r="K71" s="2" t="inlineStr">
        <is>
          <t>FALSE</t>
        </is>
      </c>
      <c r="L71" s="2" t="inlineStr">
        <is>
          <t>6-10</t>
        </is>
      </c>
      <c r="M71" s="2" t="inlineStr">
        <is>
          <t>0</t>
        </is>
      </c>
      <c r="N71" s="2" t="inlineStr">
        <is>
          <t>2020-01-01</t>
        </is>
      </c>
      <c r="O71" s="2" t="inlineStr">
        <is>
          <t>https://oa.works/about/history/</t>
        </is>
      </c>
      <c r="P71" s="2" t="inlineStr">
        <is>
          <t>Code for Science &amp; Society (fiscal sponsor of OA.Works)</t>
        </is>
      </c>
      <c r="Q71" s="2" t="inlineStr">
        <is>
          <t>Joseph McArthur
David Carroll</t>
        </is>
      </c>
      <c r="R71" s="2" t="inlineStr">
        <is>
          <t>Contributions</t>
        </is>
      </c>
      <c r="S71" s="2" t="n"/>
      <c r="T71" s="2" t="inlineStr">
        <is>
          <t>Through solution provider only</t>
        </is>
      </c>
      <c r="U71" s="2" t="n"/>
      <c r="V71" s="2" t="inlineStr">
        <is>
          <t>Actual system proven in operational environment</t>
        </is>
      </c>
      <c r="W71" s="2" t="inlineStr">
        <is>
          <t>Actively Maintained</t>
        </is>
      </c>
      <c r="X71" s="2" t="inlineStr">
        <is>
          <t>FALSE</t>
        </is>
      </c>
      <c r="Y71" s="2" t="n"/>
      <c r="Z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t>
        </is>
      </c>
      <c r="H72" s="2" t="inlineStr">
        <is>
          <t>Non-profit organization</t>
        </is>
      </c>
      <c r="I72" s="2" t="n"/>
      <c r="J72" s="2" t="inlineStr">
        <is>
          <t>Stichting van openbaar nut (SON)</t>
        </is>
      </c>
      <c r="K72" s="2" t="inlineStr">
        <is>
          <t>FALSE</t>
        </is>
      </c>
      <c r="L72" s="2" t="n"/>
      <c r="M72" s="2" t="n"/>
      <c r="N72" s="2" t="inlineStr">
        <is>
          <t>2021-01-01</t>
        </is>
      </c>
      <c r="O72" s="2" t="inlineStr">
        <is>
          <t>&lt;p&gt;The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t>
        </is>
      </c>
      <c r="P72" s="2" t="n"/>
      <c r="Q72" s="2" t="n"/>
      <c r="R72" s="2" t="inlineStr">
        <is>
          <t>Other</t>
        </is>
      </c>
      <c r="S72" s="2" t="n"/>
      <c r="T72" s="2" t="inlineStr">
        <is>
          <t>Not applicable</t>
        </is>
      </c>
      <c r="U72" s="2" t="n"/>
      <c r="V72" s="2" t="inlineStr">
        <is>
          <t>Actual system proven in operational environment</t>
        </is>
      </c>
      <c r="W72" s="2" t="inlineStr">
        <is>
          <t>Actively Maintained</t>
        </is>
      </c>
      <c r="X72" s="2" t="inlineStr">
        <is>
          <t>FALSE</t>
        </is>
      </c>
      <c r="Y72" s="2" t="n"/>
      <c r="Z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Omeka has been independent and sustainable since 2016, through proceeds from responsibly priced hosting, support, training, and custom development services.</t>
        </is>
      </c>
      <c r="H73" s="2" t="inlineStr">
        <is>
          <t>Non-profit organization</t>
        </is>
      </c>
      <c r="I73" s="2" t="n"/>
      <c r="J73" s="2" t="n"/>
      <c r="K73" s="2" t="inlineStr">
        <is>
          <t>FALSE</t>
        </is>
      </c>
      <c r="L73" s="2" t="n"/>
      <c r="M73" s="2" t="n"/>
      <c r="N73" s="2" t="inlineStr">
        <is>
          <t>2008-01-01</t>
        </is>
      </c>
      <c r="O73" s="2" t="inlineStr">
        <is>
          <t>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t>
        </is>
      </c>
      <c r="P73" s="2" t="n"/>
      <c r="Q73" s="2" t="n"/>
      <c r="R73" s="2" t="inlineStr">
        <is>
          <t>Program service revenue</t>
        </is>
      </c>
      <c r="S73" s="2" t="n"/>
      <c r="T73" s="2" t="inlineStr">
        <is>
          <t>Through solution provider only</t>
        </is>
      </c>
      <c r="U73" s="2" t="n"/>
      <c r="V73" s="2" t="inlineStr">
        <is>
          <t>Actual system proven in operational environment</t>
        </is>
      </c>
      <c r="W73" s="2" t="inlineStr">
        <is>
          <t>Actively Maintained</t>
        </is>
      </c>
      <c r="X73" s="2" t="inlineStr">
        <is>
          <t>FALSE</t>
        </is>
      </c>
      <c r="Y73" s="2" t="n"/>
      <c r="Z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n"/>
      <c r="H74" s="2" t="inlineStr">
        <is>
          <t>Non-profit organization</t>
        </is>
      </c>
      <c r="I74" s="2" t="n"/>
      <c r="J74" s="2" t="n"/>
      <c r="K74" s="2" t="inlineStr">
        <is>
          <t>FALSE</t>
        </is>
      </c>
      <c r="L74" s="2" t="n"/>
      <c r="M74" s="2" t="n"/>
      <c r="N74" s="2" t="inlineStr">
        <is>
          <t>2018-01-01</t>
        </is>
      </c>
      <c r="O74"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t>
        </is>
      </c>
      <c r="P74" s="2" t="inlineStr">
        <is>
          <t>Athena Research Centre (ARC)
The National Research Council of Italy Institute of Information Science and Technologies (ISTI-CNR)
Interdisciplinary Centre for Mathematical and Computational Modelling at University of Warsaw (ICM)</t>
        </is>
      </c>
      <c r="Q74" s="2" t="n"/>
      <c r="R74" s="2" t="inlineStr">
        <is>
          <t>Program service revenue</t>
        </is>
      </c>
      <c r="S74" s="2" t="n"/>
      <c r="T74" s="2" t="inlineStr">
        <is>
          <t>Not applicable</t>
        </is>
      </c>
      <c r="U74" s="2" t="n"/>
      <c r="V74" s="2" t="inlineStr">
        <is>
          <t>Actual system proven in operational environment</t>
        </is>
      </c>
      <c r="W74" s="2" t="inlineStr">
        <is>
          <t>Actively Maintained</t>
        </is>
      </c>
      <c r="X74" s="2" t="inlineStr">
        <is>
          <t>FALSE</t>
        </is>
      </c>
      <c r="Y74" s="2" t="n"/>
      <c r="Z74" s="2" t="n"/>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n"/>
      <c r="H75" s="2" t="inlineStr">
        <is>
          <t>Non-profit organization</t>
        </is>
      </c>
      <c r="I75" s="2" t="n"/>
      <c r="J75" s="2" t="n"/>
      <c r="K75" s="2" t="inlineStr">
        <is>
          <t>FALSE</t>
        </is>
      </c>
      <c r="L75" s="2" t="n"/>
      <c r="M75" s="2" t="n"/>
      <c r="N75" s="2" t="inlineStr">
        <is>
          <t>2021-01-01</t>
        </is>
      </c>
      <c r="O75" s="2" t="n"/>
      <c r="P75" s="2" t="n"/>
      <c r="Q75" s="2" t="n"/>
      <c r="R75" s="2" t="inlineStr">
        <is>
          <t>Contributions</t>
        </is>
      </c>
      <c r="S75" s="2" t="n"/>
      <c r="T75" s="2" t="inlineStr">
        <is>
          <t>Not applicable</t>
        </is>
      </c>
      <c r="U75" s="2" t="n"/>
      <c r="V75" s="2" t="inlineStr">
        <is>
          <t>Actual system proven in operational environment</t>
        </is>
      </c>
      <c r="W75" s="2" t="inlineStr">
        <is>
          <t>Actively Maintained</t>
        </is>
      </c>
      <c r="X75" s="2" t="inlineStr">
        <is>
          <t>FALSE</t>
        </is>
      </c>
      <c r="Y75" s="2" t="n"/>
      <c r="Z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n"/>
      <c r="H76" s="2" t="inlineStr">
        <is>
          <t>Fiscal sponsorship (academic institution)</t>
        </is>
      </c>
      <c r="I76" s="2" t="n"/>
      <c r="J76" s="2" t="n"/>
      <c r="K76" s="2" t="inlineStr">
        <is>
          <t>FALSE</t>
        </is>
      </c>
      <c r="L76" s="2" t="inlineStr">
        <is>
          <t>1-5</t>
        </is>
      </c>
      <c r="M76" s="2" t="inlineStr">
        <is>
          <t>0</t>
        </is>
      </c>
      <c r="N76" s="2" t="inlineStr">
        <is>
          <t>2014-01-01</t>
        </is>
      </c>
      <c r="O76" s="2" t="inlineStr">
        <is>
          <t>https://openapc.net/history/</t>
        </is>
      </c>
      <c r="P76" s="2" t="inlineStr">
        <is>
          <t>OpenAPC is located at Bielefeld University Library. The project was set up in collaboration with the DINI working group Electronic Publishing. Since 2021 it is part of OpenAIRE Nexus.</t>
        </is>
      </c>
      <c r="Q76" s="2" t="n"/>
      <c r="R76" s="2" t="inlineStr">
        <is>
          <t>Other</t>
        </is>
      </c>
      <c r="S76" s="2" t="inlineStr">
        <is>
          <t>Public Funding (University Library)</t>
        </is>
      </c>
      <c r="T76" s="2" t="inlineStr">
        <is>
          <t>Not applicable</t>
        </is>
      </c>
      <c r="U76" s="2" t="n"/>
      <c r="V76" s="2" t="inlineStr">
        <is>
          <t>Actual system proven in operational environment</t>
        </is>
      </c>
      <c r="W76" s="2" t="inlineStr">
        <is>
          <t>Actively Maintained</t>
        </is>
      </c>
      <c r="X76" s="2" t="inlineStr">
        <is>
          <t>FALSE</t>
        </is>
      </c>
      <c r="Y76" s="2" t="n"/>
      <c r="Z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t>
        </is>
      </c>
      <c r="H77" s="2" t="inlineStr">
        <is>
          <t>Fiscal sponsorship (academic institution)</t>
        </is>
      </c>
      <c r="I77" s="2" t="n"/>
      <c r="J77" s="2" t="n"/>
      <c r="K77" s="2" t="inlineStr">
        <is>
          <t>FALSE</t>
        </is>
      </c>
      <c r="L77" s="2" t="inlineStr">
        <is>
          <t>6-10</t>
        </is>
      </c>
      <c r="M77" s="2" t="inlineStr">
        <is>
          <t>1-5</t>
        </is>
      </c>
      <c r="N77" s="2" t="inlineStr">
        <is>
          <t>2010-01-01</t>
        </is>
      </c>
      <c r="O77" s="2" t="inlineStr">
        <is>
          <t>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t>
        </is>
      </c>
      <c r="P77" s="2" t="inlineStr">
        <is>
          <t xml:space="preserve">Research Centre for Open Scholarly Metadata, University of Bologna 
</t>
        </is>
      </c>
      <c r="Q77" s="2" t="inlineStr">
        <is>
          <t xml:space="preserve">JISC, University of Oxford, University of Bologna
</t>
        </is>
      </c>
      <c r="R77" s="2" t="inlineStr">
        <is>
          <t>Contributions</t>
        </is>
      </c>
      <c r="S77" s="2" t="n"/>
      <c r="T77" s="2" t="inlineStr">
        <is>
          <t>Not applicable</t>
        </is>
      </c>
      <c r="U77" s="2" t="n"/>
      <c r="V77" s="2" t="inlineStr">
        <is>
          <t>Actual system proven in operational environment</t>
        </is>
      </c>
      <c r="W77" s="2" t="inlineStr">
        <is>
          <t>Actively Maintained</t>
        </is>
      </c>
      <c r="X77" s="2" t="inlineStr">
        <is>
          <t>TRUE</t>
        </is>
      </c>
      <c r="Y77" s="2" t="n"/>
      <c r="Z77" s="2" t="n"/>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n"/>
      <c r="H78" s="2" t="inlineStr">
        <is>
          <t>Fiscal sponsorship (academic institution)</t>
        </is>
      </c>
      <c r="I78" s="2" t="n"/>
      <c r="J78" s="2" t="n"/>
      <c r="K78" s="2" t="inlineStr">
        <is>
          <t>FALSE</t>
        </is>
      </c>
      <c r="L78" s="2" t="n"/>
      <c r="M78" s="2" t="n"/>
      <c r="N78" s="2" t="inlineStr">
        <is>
          <t>2023-01-01</t>
        </is>
      </c>
      <c r="O78" s="2" t="inlineStr">
        <is>
          <t>https://www.opencost.de/en/project/</t>
        </is>
      </c>
      <c r="P78" s="2" t="inlineStr">
        <is>
          <t>Bielefeld University Library, the German Electron Synchrotron DESY (Hamburg) and University Library of Regensburg</t>
        </is>
      </c>
      <c r="Q78" s="2" t="inlineStr">
        <is>
          <t>The openCost project was launched by the project partners Bielefeld University Library, the German Electron Synchrotron DESY (Hamburg) and University Library of Regensburg</t>
        </is>
      </c>
      <c r="R78" s="2" t="inlineStr">
        <is>
          <t>Other</t>
        </is>
      </c>
      <c r="S78" s="2" t="inlineStr">
        <is>
          <t>German Research Foundation (DFG)</t>
        </is>
      </c>
      <c r="T78" s="2" t="inlineStr">
        <is>
          <t>Not applicable</t>
        </is>
      </c>
      <c r="U78" s="2" t="n"/>
      <c r="V78" s="2" t="inlineStr">
        <is>
          <t>Actual system proven in operational environment</t>
        </is>
      </c>
      <c r="W78" s="2" t="inlineStr">
        <is>
          <t>Actively Maintained</t>
        </is>
      </c>
      <c r="X78" s="2" t="inlineStr">
        <is>
          <t>FALSE</t>
        </is>
      </c>
      <c r="Y78" s="2" t="n"/>
      <c r="Z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t>
        </is>
      </c>
      <c r="H79" s="2" t="inlineStr">
        <is>
          <t>Non-profit organization</t>
        </is>
      </c>
      <c r="I79" s="2" t="n"/>
      <c r="J79" s="2" t="inlineStr">
        <is>
          <t>Company limited by guarantee</t>
        </is>
      </c>
      <c r="K79" s="2" t="inlineStr">
        <is>
          <t>FALSE</t>
        </is>
      </c>
      <c r="L79" s="2" t="inlineStr">
        <is>
          <t>11-20</t>
        </is>
      </c>
      <c r="M79" s="2" t="inlineStr">
        <is>
          <t>More than 20</t>
        </is>
      </c>
      <c r="N79" s="2" t="inlineStr">
        <is>
          <t>2023-01-01</t>
        </is>
      </c>
      <c r="O79" s="2" t="inlineStr">
        <is>
          <t>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t>
        </is>
      </c>
      <c r="P79" s="2" t="inlineStr">
        <is>
          <t>Digital Public Goods Alliance, Open Knowledge Brazil, Open Knowledge Nepal, Escuela de Datos help disseminate the tool.</t>
        </is>
      </c>
      <c r="Q79" s="2" t="inlineStr">
        <is>
          <t>ODE was a collective effort of the Open Knowledge Team, the Open Knowledge Foundation was created by Rufus Pollock.</t>
        </is>
      </c>
      <c r="R79" s="2" t="inlineStr">
        <is>
          <t>Program service revenue</t>
        </is>
      </c>
      <c r="S79" s="2" t="n"/>
      <c r="T79" s="2" t="inlineStr">
        <is>
          <t>Not applicable</t>
        </is>
      </c>
      <c r="U79" s="2" t="n"/>
      <c r="V79" s="2" t="inlineStr">
        <is>
          <t>Actual system proven in operational environment</t>
        </is>
      </c>
      <c r="W79" s="2" t="inlineStr">
        <is>
          <t>Actively Maintained</t>
        </is>
      </c>
      <c r="X79" s="2" t="inlineStr">
        <is>
          <t>FALSE</t>
        </is>
      </c>
      <c r="Y79" s="2" t="n"/>
      <c r="Z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t>
        </is>
      </c>
      <c r="H80" s="2" t="inlineStr">
        <is>
          <t>Fiscal sponsorship (academic institution)</t>
        </is>
      </c>
      <c r="I80" s="2" t="n"/>
      <c r="J80" s="2" t="n"/>
      <c r="K80" s="2" t="inlineStr">
        <is>
          <t>FALSE</t>
        </is>
      </c>
      <c r="L80" s="2" t="n"/>
      <c r="M80" s="2" t="n"/>
      <c r="N80" s="2" t="n"/>
      <c r="O80" s="2" t="inlineStr">
        <is>
          <t>&lt;li&gt;Between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t>
        </is>
      </c>
      <c r="P80" s="2" t="n"/>
      <c r="Q80" s="2" t="n"/>
      <c r="R80" s="2" t="inlineStr">
        <is>
          <t>Other</t>
        </is>
      </c>
      <c r="S80" s="2" t="n"/>
      <c r="T80" s="2" t="inlineStr">
        <is>
          <t>Not applicable</t>
        </is>
      </c>
      <c r="U80" s="2" t="n"/>
      <c r="V80" s="2" t="inlineStr">
        <is>
          <t>Actual system proven in operational environment</t>
        </is>
      </c>
      <c r="W80" s="2" t="inlineStr">
        <is>
          <t>Unknown</t>
        </is>
      </c>
      <c r="X80" s="2" t="inlineStr">
        <is>
          <t>FALSE</t>
        </is>
      </c>
      <c r="Y80" s="2" t="n"/>
      <c r="Z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With such a massive global community of users, PKP carries a tremendous responsibility to continue to enhance the functionality and user experience of OJS, and increase interoperability with other open infrastructures.</t>
        </is>
      </c>
      <c r="H81" s="2" t="inlineStr">
        <is>
          <t>Fiscal sponsorship (academic institution)</t>
        </is>
      </c>
      <c r="I81" s="2" t="n"/>
      <c r="J81" s="2" t="n"/>
      <c r="K81" s="2" t="inlineStr">
        <is>
          <t>FALSE</t>
        </is>
      </c>
      <c r="L81" s="2" t="n"/>
      <c r="M81" s="2" t="n"/>
      <c r="N81" s="2" t="inlineStr">
        <is>
          <t>2002-01-01</t>
        </is>
      </c>
      <c r="O81"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1" s="2" t="n"/>
      <c r="Q81" s="2" t="n"/>
      <c r="R81" s="2" t="inlineStr">
        <is>
          <t>Program service revenue</t>
        </is>
      </c>
      <c r="S81" s="2" t="n"/>
      <c r="T81" s="2" t="inlineStr">
        <is>
          <t>Through solution provider or third party vendor</t>
        </is>
      </c>
      <c r="U81" s="2" t="n"/>
      <c r="V81" s="2" t="inlineStr">
        <is>
          <t>Actual system proven in operational environment</t>
        </is>
      </c>
      <c r="W81" s="2" t="inlineStr">
        <is>
          <t>Actively Maintained</t>
        </is>
      </c>
      <c r="X81" s="2" t="inlineStr">
        <is>
          <t>FALSE</t>
        </is>
      </c>
      <c r="Y81" s="2" t="n"/>
      <c r="Z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With such a massive global community of users, PKP carries a tremendous responsibility to continue to enhance the functionality and user experience of OMP, and increase interoperability with other open infrastructures.</t>
        </is>
      </c>
      <c r="H82" s="2" t="inlineStr">
        <is>
          <t>Fiscal sponsorship (academic institution)</t>
        </is>
      </c>
      <c r="I82" s="2" t="n"/>
      <c r="J82" s="2" t="n"/>
      <c r="K82" s="2" t="inlineStr">
        <is>
          <t>FALSE</t>
        </is>
      </c>
      <c r="L82" s="2" t="n"/>
      <c r="M82" s="2" t="n"/>
      <c r="N82" s="2" t="inlineStr">
        <is>
          <t>2012-01-01</t>
        </is>
      </c>
      <c r="O82"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2" s="2" t="n"/>
      <c r="Q82" s="2" t="n"/>
      <c r="R82" s="2" t="inlineStr">
        <is>
          <t>Program service revenue</t>
        </is>
      </c>
      <c r="S82" s="2" t="n"/>
      <c r="T82" s="2" t="inlineStr">
        <is>
          <t>Through solution provider or third party vendor</t>
        </is>
      </c>
      <c r="U82" s="2" t="n"/>
      <c r="V82" s="2" t="inlineStr">
        <is>
          <t>Actual system proven in operational environment</t>
        </is>
      </c>
      <c r="W82" s="2" t="inlineStr">
        <is>
          <t>Actively Maintained</t>
        </is>
      </c>
      <c r="X82" s="2" t="inlineStr">
        <is>
          <t>FALSE</t>
        </is>
      </c>
      <c r="Y82" s="2" t="n"/>
      <c r="Z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With such a massive global community of users, PKP carries a tremendous responsibility to continue to enhance the functionality and user experience of OMP, and increase interoperability with other open infrastructures.</t>
        </is>
      </c>
      <c r="H83" s="2" t="inlineStr">
        <is>
          <t>Fiscal sponsorship (academic institution)</t>
        </is>
      </c>
      <c r="I83" s="2" t="n"/>
      <c r="J83" s="2" t="n"/>
      <c r="K83" s="2" t="inlineStr">
        <is>
          <t>FALSE</t>
        </is>
      </c>
      <c r="L83" s="2" t="n"/>
      <c r="M83" s="2" t="n"/>
      <c r="N83" s="2" t="inlineStr">
        <is>
          <t>2020-01-01</t>
        </is>
      </c>
      <c r="O83"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3" s="2" t="n"/>
      <c r="Q83" s="2" t="n"/>
      <c r="R83" s="2" t="inlineStr">
        <is>
          <t>Program service revenue</t>
        </is>
      </c>
      <c r="S83" s="2" t="n"/>
      <c r="T83" s="2" t="inlineStr">
        <is>
          <t>Through solution provider or third party vendor</t>
        </is>
      </c>
      <c r="U83" s="2" t="n"/>
      <c r="V83" s="2" t="inlineStr">
        <is>
          <t>Actual system proven in operational environment</t>
        </is>
      </c>
      <c r="W83" s="2" t="inlineStr">
        <is>
          <t>Actively Maintained</t>
        </is>
      </c>
      <c r="X83" s="2" t="inlineStr">
        <is>
          <t>FALSE</t>
        </is>
      </c>
      <c r="Y83" s="2" t="n"/>
      <c r="Z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Note: This portion below on financials is skipped due to Openverse being a sub-project of the WordPress Foundation. Openverse does not itself have financials to report.</t>
        </is>
      </c>
      <c r="H84" s="2" t="inlineStr">
        <is>
          <t>Fiscal sponsorship (non-profit)</t>
        </is>
      </c>
      <c r="I84" s="2" t="n"/>
      <c r="J84" s="2" t="n"/>
      <c r="K84" s="2" t="inlineStr">
        <is>
          <t>FALSE</t>
        </is>
      </c>
      <c r="L84" s="2" t="inlineStr">
        <is>
          <t>6-10</t>
        </is>
      </c>
      <c r="M84" s="2" t="inlineStr">
        <is>
          <t>Unknown</t>
        </is>
      </c>
      <c r="N84" s="2" t="inlineStr">
        <is>
          <t>2018-01-01</t>
        </is>
      </c>
      <c r="O84" s="2" t="inlineStr">
        <is>
          <t>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t>
        </is>
      </c>
      <c r="P84" s="2" t="inlineStr">
        <is>
          <t>Openverse is part of the WordPress open source project: https://wordpress.org/</t>
        </is>
      </c>
      <c r="Q84" s="2" t="n"/>
      <c r="R84" s="2" t="inlineStr">
        <is>
          <t>Other</t>
        </is>
      </c>
      <c r="S84" s="2" t="inlineStr">
        <is>
          <t>Infrastructure costs are donated by an individual, and core contributor working hours are donated by Automattic as part of its Five for the Future pledge to the WordPress Foundation.</t>
        </is>
      </c>
      <c r="T84" s="2" t="inlineStr">
        <is>
          <t>Not applicable</t>
        </is>
      </c>
      <c r="U84" s="2" t="n"/>
      <c r="V84" s="2" t="inlineStr">
        <is>
          <t>Actual system proven in operational environment</t>
        </is>
      </c>
      <c r="W84" s="2" t="inlineStr">
        <is>
          <t>Actively Maintained</t>
        </is>
      </c>
      <c r="X84" s="2" t="inlineStr">
        <is>
          <t>FALSE</t>
        </is>
      </c>
      <c r="Y84" s="2" t="n"/>
      <c r="Z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n"/>
      <c r="H85" s="2" t="inlineStr">
        <is>
          <t>Fiscal sponsorship (academic institution)</t>
        </is>
      </c>
      <c r="I85" s="2" t="n"/>
      <c r="J85" s="2" t="n"/>
      <c r="K85" s="2" t="inlineStr">
        <is>
          <t>FALSE</t>
        </is>
      </c>
      <c r="L85" s="2" t="n"/>
      <c r="M85" s="2" t="n"/>
      <c r="N85" s="2" t="inlineStr">
        <is>
          <t>2005-01-01</t>
        </is>
      </c>
      <c r="O85" s="2" t="inlineStr">
        <is>
          <t>&lt;p&gt;In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t>
        </is>
      </c>
      <c r="P85" s="2" t="n"/>
      <c r="Q85" s="2" t="n"/>
      <c r="R85" s="2" t="inlineStr">
        <is>
          <t>Program service revenue</t>
        </is>
      </c>
      <c r="S85" s="2" t="n"/>
      <c r="T85" s="2" t="inlineStr">
        <is>
          <t>Not applicable</t>
        </is>
      </c>
      <c r="U85" s="2" t="n"/>
      <c r="V85" s="2" t="inlineStr">
        <is>
          <t>Actual system proven in operational environment</t>
        </is>
      </c>
      <c r="W85" s="2" t="inlineStr">
        <is>
          <t>Actively Maintained</t>
        </is>
      </c>
      <c r="X85" s="2" t="inlineStr">
        <is>
          <t>FALSE</t>
        </is>
      </c>
      <c r="Y85" s="2" t="n"/>
      <c r="Z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t>
        </is>
      </c>
      <c r="H86" s="2" t="inlineStr">
        <is>
          <t>Non-profit organization</t>
        </is>
      </c>
      <c r="I86" s="2" t="n"/>
      <c r="J86" s="2" t="n"/>
      <c r="K86" s="2" t="inlineStr">
        <is>
          <t>FALSE</t>
        </is>
      </c>
      <c r="L86" s="2" t="n"/>
      <c r="M86" s="2" t="n"/>
      <c r="N86" s="2" t="inlineStr">
        <is>
          <t>2012-01-01</t>
        </is>
      </c>
      <c r="O86" s="2" t="inlineStr">
        <is>
          <t>The Open Science Framework was launched in 2012 as part of a graduate student project. The COS launched in 2013 with the support of the Laura and John Arnold Foundation to build and sustain OSF. &lt;a href="https://www.cos.io/timeline" target="_blank"&gt;See history here.&lt;/a&gt;</t>
        </is>
      </c>
      <c r="P86" s="2" t="n"/>
      <c r="Q86" s="2" t="n"/>
      <c r="R86" s="2" t="inlineStr">
        <is>
          <t>Contributions</t>
        </is>
      </c>
      <c r="S86" s="2" t="n"/>
      <c r="T86" s="2" t="inlineStr">
        <is>
          <t>Through solution provider only</t>
        </is>
      </c>
      <c r="U86" s="2" t="inlineStr">
        <is>
          <t>OSF is a centrally hosted service on GCP and we offer hosted solutions as a service provider for communities, funders, and institutions.</t>
        </is>
      </c>
      <c r="V86" s="2" t="inlineStr">
        <is>
          <t>Actual system proven in operational environment</t>
        </is>
      </c>
      <c r="W86" s="2" t="inlineStr">
        <is>
          <t>Actively Maintained</t>
        </is>
      </c>
      <c r="X86" s="2" t="inlineStr">
        <is>
          <t>FALSE</t>
        </is>
      </c>
      <c r="Y86" s="2" t="n"/>
      <c r="Z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t>
        </is>
      </c>
      <c r="H87" s="2" t="inlineStr">
        <is>
          <t>Volunteer community</t>
        </is>
      </c>
      <c r="I87" s="2" t="n"/>
      <c r="J87" s="2" t="n"/>
      <c r="K87" s="2" t="inlineStr">
        <is>
          <t>FALSE</t>
        </is>
      </c>
      <c r="L87" s="2" t="n"/>
      <c r="M87" s="2" t="n"/>
      <c r="N87" s="2" t="inlineStr">
        <is>
          <t>2017-01-01</t>
        </is>
      </c>
      <c r="O87" s="2" t="inlineStr">
        <is>
          <t>&lt;a href="https://ocfl.io/history/v1/content/" target="_blank"&gt;OCFL history&lt;/a&gt;</t>
        </is>
      </c>
      <c r="P87" s="2" t="n"/>
      <c r="Q87" s="2" t="n"/>
      <c r="R87" s="2" t="inlineStr">
        <is>
          <t>Other</t>
        </is>
      </c>
      <c r="S87" s="2" t="n"/>
      <c r="T87" s="2" t="inlineStr">
        <is>
          <t>Not applicable</t>
        </is>
      </c>
      <c r="U87" s="2" t="n"/>
      <c r="V87" s="2" t="inlineStr">
        <is>
          <t>Actual system proven in operational environment</t>
        </is>
      </c>
      <c r="W87" s="2" t="inlineStr">
        <is>
          <t>Actively Maintained</t>
        </is>
      </c>
      <c r="X87" s="2" t="inlineStr">
        <is>
          <t>FALSE</t>
        </is>
      </c>
      <c r="Y87" s="2" t="n"/>
      <c r="Z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&lt;p&gt;The funding will be used to
&lt;ul&gt;
&lt;li&gt;develop back-office functionalities for PCI sites
&lt;li&gt;Perform a complete revamp of the PCI websites
&lt;li&gt;communicate about PCI
&lt;li&gt;secure an operating and investment budget for the coming years
&lt;/ul&gt;
&lt;/p&gt;</t>
        </is>
      </c>
      <c r="H88" s="2" t="inlineStr">
        <is>
          <t>Non-profit organization</t>
        </is>
      </c>
      <c r="I88" s="2" t="n"/>
      <c r="J88" s="2" t="n"/>
      <c r="K88" s="2" t="inlineStr">
        <is>
          <t>FALSE</t>
        </is>
      </c>
      <c r="L88" s="2" t="n"/>
      <c r="M88" s="2" t="n"/>
      <c r="N88" s="2" t="inlineStr">
        <is>
          <t>2016-01-01</t>
        </is>
      </c>
      <c r="O88" s="2" t="inlineStr">
        <is>
          <t>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t>
        </is>
      </c>
      <c r="P88" s="2" t="n"/>
      <c r="Q88" s="2" t="n"/>
      <c r="R88" s="2" t="inlineStr">
        <is>
          <t>Contributions</t>
        </is>
      </c>
      <c r="S88" s="2" t="n"/>
      <c r="T88" s="2" t="inlineStr">
        <is>
          <t>Not applicable</t>
        </is>
      </c>
      <c r="U88" s="2" t="n"/>
      <c r="V88" s="2" t="inlineStr">
        <is>
          <t>Actual system proven in operational environment</t>
        </is>
      </c>
      <c r="W88" s="2" t="inlineStr">
        <is>
          <t>Actively Maintained</t>
        </is>
      </c>
      <c r="X88" s="2" t="inlineStr">
        <is>
          <t>FALSE</t>
        </is>
      </c>
      <c r="Y88" s="2" t="n"/>
      <c r="Z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Additional funding would help to extend the functionality of the service and expand awareness about the benefits of its use.</t>
        </is>
      </c>
      <c r="H89" s="2" t="inlineStr">
        <is>
          <t>Fiscal sponsorship (academic institution)</t>
        </is>
      </c>
      <c r="I89" s="2" t="n"/>
      <c r="J89" s="2" t="n"/>
      <c r="K89" s="2" t="inlineStr">
        <is>
          <t>FALSE</t>
        </is>
      </c>
      <c r="L89" s="2" t="inlineStr">
        <is>
          <t>More than 20</t>
        </is>
      </c>
      <c r="M89" s="2" t="n"/>
      <c r="N89" s="2" t="inlineStr">
        <is>
          <t>2014-01-01</t>
        </is>
      </c>
      <c r="O89" s="2" t="inlineStr">
        <is>
          <t>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t>
        </is>
      </c>
      <c r="P89" s="2" t="inlineStr">
        <is>
          <t>See OJS for affiliations.</t>
        </is>
      </c>
      <c r="Q89" s="2" t="n"/>
      <c r="R89" s="2" t="inlineStr">
        <is>
          <t>Program service revenue</t>
        </is>
      </c>
      <c r="S89" s="2" t="n"/>
      <c r="T89" s="2" t="inlineStr">
        <is>
          <t>Not applicable</t>
        </is>
      </c>
      <c r="U89" s="2" t="n"/>
      <c r="V89" s="2" t="inlineStr">
        <is>
          <t>Actual system proven in operational environment</t>
        </is>
      </c>
      <c r="W89" s="2" t="inlineStr">
        <is>
          <t>Actively Maintained</t>
        </is>
      </c>
      <c r="X89" s="2" t="inlineStr">
        <is>
          <t>TRUE</t>
        </is>
      </c>
      <c r="Y89" s="2" t="n"/>
      <c r="Z89" s="2" t="n"/>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t>
        </is>
      </c>
      <c r="H90" s="2" t="inlineStr">
        <is>
          <t>Fiscal sponsorship (non-profit)</t>
        </is>
      </c>
      <c r="I90" s="2" t="n"/>
      <c r="J90" s="2" t="n"/>
      <c r="K90" s="2" t="inlineStr">
        <is>
          <t>FALSE</t>
        </is>
      </c>
      <c r="L90" s="2" t="inlineStr">
        <is>
          <t>1-5</t>
        </is>
      </c>
      <c r="M90" s="2" t="n"/>
      <c r="N90" s="2" t="inlineStr">
        <is>
          <t>2017-01-01</t>
        </is>
      </c>
      <c r="O90" s="2" t="inlineStr">
        <is>
          <t>&lt;p&gt;Founded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t>
        </is>
      </c>
      <c r="P90" s="2" t="n"/>
      <c r="Q90" s="2" t="n"/>
      <c r="R90" s="2" t="inlineStr">
        <is>
          <t>Contributions | Program service revenue</t>
        </is>
      </c>
      <c r="S90" s="2" t="n"/>
      <c r="T90" s="2" t="inlineStr">
        <is>
          <t>Not applicable</t>
        </is>
      </c>
      <c r="U90" s="2" t="n"/>
      <c r="V90" s="2" t="inlineStr">
        <is>
          <t>Actual system proven in operational environment</t>
        </is>
      </c>
      <c r="W90" s="2" t="inlineStr">
        <is>
          <t>Actively Maintained</t>
        </is>
      </c>
      <c r="X90" s="2" t="inlineStr">
        <is>
          <t>FALSE</t>
        </is>
      </c>
      <c r="Y90" s="2" t="n"/>
      <c r="Z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t>
        </is>
      </c>
      <c r="H91" s="2" t="inlineStr">
        <is>
          <t>Commercial (for-profit)</t>
        </is>
      </c>
      <c r="I91" s="2" t="n"/>
      <c r="J91" s="2" t="n"/>
      <c r="K91" s="2" t="inlineStr">
        <is>
          <t>FALSE</t>
        </is>
      </c>
      <c r="L91" s="2" t="n"/>
      <c r="M91" s="2" t="n"/>
      <c r="N91" s="2" t="inlineStr">
        <is>
          <t>2011-01-01</t>
        </is>
      </c>
      <c r="O91" s="2" t="inlineStr">
        <is>
          <t>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t>
        </is>
      </c>
      <c r="P91" s="2" t="n"/>
      <c r="Q91" s="2" t="n"/>
      <c r="R91" s="2" t="inlineStr">
        <is>
          <t>Program service revenue</t>
        </is>
      </c>
      <c r="S91" s="2" t="n"/>
      <c r="T91" s="2" t="inlineStr">
        <is>
          <t>Through solution provider only</t>
        </is>
      </c>
      <c r="U91" s="2" t="n"/>
      <c r="V91" s="2" t="inlineStr">
        <is>
          <t>Actual system proven in operational environment</t>
        </is>
      </c>
      <c r="W91" s="2" t="inlineStr">
        <is>
          <t>Actively Maintained</t>
        </is>
      </c>
      <c r="X91" s="2" t="inlineStr">
        <is>
          <t>FALSE</t>
        </is>
      </c>
      <c r="Y91" s="2" t="n"/>
      <c r="Z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t>
        </is>
      </c>
      <c r="H92" s="2" t="inlineStr">
        <is>
          <t>Non-profit organization</t>
        </is>
      </c>
      <c r="I92" s="2" t="n"/>
      <c r="J92" s="2" t="n"/>
      <c r="K92" s="2" t="inlineStr">
        <is>
          <t>FALSE</t>
        </is>
      </c>
      <c r="L92" s="2" t="n"/>
      <c r="M92" s="2" t="n"/>
      <c r="N92" s="2" t="inlineStr">
        <is>
          <t>2018-01-01</t>
        </is>
      </c>
      <c r="O92" s="2" t="inlineStr">
        <is>
          <t>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t>
        </is>
      </c>
      <c r="P92" s="2" t="n"/>
      <c r="Q92" s="2" t="n"/>
      <c r="R92" s="2" t="inlineStr">
        <is>
          <t>Contributions</t>
        </is>
      </c>
      <c r="S92" s="2" t="n"/>
      <c r="T92" s="2" t="inlineStr">
        <is>
          <t>No services available</t>
        </is>
      </c>
      <c r="U92" s="2" t="n"/>
      <c r="V92" s="2" t="inlineStr">
        <is>
          <t>Actual system proven in operational environment</t>
        </is>
      </c>
      <c r="W92" s="2" t="inlineStr">
        <is>
          <t>Actively Maintained</t>
        </is>
      </c>
      <c r="X92" s="2" t="inlineStr">
        <is>
          <t>FALSE</t>
        </is>
      </c>
      <c r="Y92" s="2" t="n"/>
      <c r="Z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t>
        </is>
      </c>
      <c r="H93" s="2" t="inlineStr">
        <is>
          <t>Other</t>
        </is>
      </c>
      <c r="I93" s="2" t="inlineStr">
        <is>
          <t>Worker-owned co-operative</t>
        </is>
      </c>
      <c r="J93" s="2" t="n"/>
      <c r="K93" s="2" t="inlineStr">
        <is>
          <t>TRUE</t>
        </is>
      </c>
      <c r="L93" s="2" t="inlineStr">
        <is>
          <t>6-10</t>
        </is>
      </c>
      <c r="M93" s="2" t="inlineStr">
        <is>
          <t>0</t>
        </is>
      </c>
      <c r="N93" s="2" t="inlineStr">
        <is>
          <t>2017-01-01</t>
        </is>
      </c>
      <c r="O93" s="2" t="inlineStr">
        <is>
          <t>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t>
        </is>
      </c>
      <c r="P93" s="2" t="inlineStr">
        <is>
          <t>RMI
GridLab</t>
        </is>
      </c>
      <c r="Q93" s="2" t="inlineStr">
        <is>
          <t>Christina Gosnell
Zane Selvans
Steve Winter
RMI
Rocky Mountain Farmers Union
Boulder Housing Coalition</t>
        </is>
      </c>
      <c r="R93" s="2" t="inlineStr">
        <is>
          <t>Other</t>
        </is>
      </c>
      <c r="S93" s="2" t="inlineStr">
        <is>
          <t>50% grant-funded, 50% client contracting</t>
        </is>
      </c>
      <c r="T93" s="2" t="inlineStr">
        <is>
          <t>No services available</t>
        </is>
      </c>
      <c r="U93" s="2" t="n"/>
      <c r="V93" s="2" t="inlineStr">
        <is>
          <t>Actual system proven in operational environment</t>
        </is>
      </c>
      <c r="W93" s="2" t="inlineStr">
        <is>
          <t>Actively Maintained</t>
        </is>
      </c>
      <c r="X93" s="2" t="inlineStr">
        <is>
          <t>FALSE</t>
        </is>
      </c>
      <c r="Y93" s="2" t="n"/>
      <c r="Z93" s="2" t="n"/>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t>
        </is>
      </c>
      <c r="H94" s="2" t="inlineStr">
        <is>
          <t>Non-profit organization</t>
        </is>
      </c>
      <c r="I94" s="2" t="n"/>
      <c r="J94" s="2" t="n"/>
      <c r="K94" s="2" t="inlineStr">
        <is>
          <t>FALSE</t>
        </is>
      </c>
      <c r="L94" s="2" t="n"/>
      <c r="M94" s="2" t="n"/>
      <c r="N94" s="2" t="inlineStr">
        <is>
          <t>2018-01-01</t>
        </is>
      </c>
      <c r="O94" s="2" t="inlineStr">
        <is>
          <t>&lt;p&gt;Founded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t>
        </is>
      </c>
      <c r="P94" s="2" t="n"/>
      <c r="Q94" s="2" t="n"/>
      <c r="R94" s="2" t="inlineStr">
        <is>
          <t>Contributions</t>
        </is>
      </c>
      <c r="S94" s="2" t="n"/>
      <c r="T94" s="2" t="inlineStr">
        <is>
          <t>Through solution provider only</t>
        </is>
      </c>
      <c r="U94" s="2" t="n"/>
      <c r="V94" s="2" t="inlineStr">
        <is>
          <t>System complete and qualified</t>
        </is>
      </c>
      <c r="W94" s="2" t="inlineStr">
        <is>
          <t>Actively Maintained</t>
        </is>
      </c>
      <c r="X94" s="2" t="inlineStr">
        <is>
          <t>FALSE</t>
        </is>
      </c>
      <c r="Y94" s="2" t="n"/>
      <c r="Z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Improving features.
Marketing and dissemination.
Community building.
Users support.</t>
        </is>
      </c>
      <c r="H95" s="2" t="inlineStr">
        <is>
          <t>Commercial (for-profit)</t>
        </is>
      </c>
      <c r="I95" s="2" t="n"/>
      <c r="J95" s="2" t="n"/>
      <c r="K95" s="2" t="inlineStr">
        <is>
          <t>FALSE</t>
        </is>
      </c>
      <c r="L95" s="2" t="inlineStr">
        <is>
          <t>More than 20</t>
        </is>
      </c>
      <c r="M95" s="2" t="inlineStr">
        <is>
          <t>0</t>
        </is>
      </c>
      <c r="N95" s="2" t="inlineStr">
        <is>
          <t>2012-01-01</t>
        </is>
      </c>
      <c r="O95" s="2" t="inlineStr">
        <is>
          <t>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t>
        </is>
      </c>
      <c r="P95" s="2" t="inlineStr">
        <is>
          <t>No affiliations</t>
        </is>
      </c>
      <c r="Q95" s="2" t="inlineStr">
        <is>
          <t>Net7 srl</t>
        </is>
      </c>
      <c r="R95" s="2" t="inlineStr">
        <is>
          <t>Contributions</t>
        </is>
      </c>
      <c r="S95" s="2" t="n"/>
      <c r="T95" s="2" t="inlineStr">
        <is>
          <t>Through solution provider only</t>
        </is>
      </c>
      <c r="U95" s="2" t="n"/>
      <c r="V95" s="2" t="inlineStr">
        <is>
          <t>Actual system proven in operational environment</t>
        </is>
      </c>
      <c r="W95" s="2" t="inlineStr">
        <is>
          <t>Actively Maintained</t>
        </is>
      </c>
      <c r="X95" s="2" t="inlineStr">
        <is>
          <t>FALSE</t>
        </is>
      </c>
      <c r="Y95" s="2" t="n"/>
      <c r="Z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t>
        </is>
      </c>
      <c r="H96" s="2" t="inlineStr">
        <is>
          <t>Fiscal sponsorship (non-profit)</t>
        </is>
      </c>
      <c r="I96" s="2" t="n"/>
      <c r="J96" s="2" t="n"/>
      <c r="K96" s="2" t="inlineStr">
        <is>
          <t>FALSE</t>
        </is>
      </c>
      <c r="L96" s="2" t="inlineStr">
        <is>
          <t>1-5</t>
        </is>
      </c>
      <c r="M96" s="2" t="inlineStr">
        <is>
          <t>More than 20</t>
        </is>
      </c>
      <c r="N96" s="2" t="inlineStr">
        <is>
          <t>2018-01-01</t>
        </is>
      </c>
      <c r="O96" s="2" t="inlineStr">
        <is>
          <t>https://www.pyopensci.org/blog/what-pyopensci-accomplished-with-two-years-of-funding.html#a-brief-history-of-pyopensci</t>
        </is>
      </c>
      <c r="P96" s="2" t="inlineStr">
        <is>
          <t>Community Initiatives is our Fiscal sponsor</t>
        </is>
      </c>
      <c r="Q96" s="2" t="inlineStr">
        <is>
          <t>Leah Wasser</t>
        </is>
      </c>
      <c r="R96" s="2" t="inlineStr">
        <is>
          <t>Contributions</t>
        </is>
      </c>
      <c r="S96" s="2" t="n"/>
      <c r="T96" s="2" t="inlineStr">
        <is>
          <t>Not applicable</t>
        </is>
      </c>
      <c r="U96" s="2" t="n"/>
      <c r="V96" s="2" t="inlineStr">
        <is>
          <t>Actual system proven in operational environment</t>
        </is>
      </c>
      <c r="W96" s="2" t="inlineStr">
        <is>
          <t>Actively Maintained</t>
        </is>
      </c>
      <c r="X96" s="2" t="inlineStr">
        <is>
          <t>FALSE</t>
        </is>
      </c>
      <c r="Y96" s="2" t="n"/>
      <c r="Z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n"/>
      <c r="H97" s="2" t="inlineStr">
        <is>
          <t>Fiscal sponsorship (academic institution)</t>
        </is>
      </c>
      <c r="I97" s="2" t="n"/>
      <c r="J97" s="2" t="n"/>
      <c r="K97" s="2" t="inlineStr">
        <is>
          <t>FALSE</t>
        </is>
      </c>
      <c r="L97" s="2" t="inlineStr">
        <is>
          <t>11-20</t>
        </is>
      </c>
      <c r="M97" s="2" t="inlineStr">
        <is>
          <t>1-5</t>
        </is>
      </c>
      <c r="N97" s="2" t="inlineStr">
        <is>
          <t>2018-01-01</t>
        </is>
      </c>
      <c r="O97" s="2" t="inlineStr">
        <is>
          <t>The Renku project was initiated in 2017 at the founding of the Swiss Data Science Center, to serve as a technological counterpart to the data science services provided by the Center.</t>
        </is>
      </c>
      <c r="P97" s="2" t="inlineStr">
        <is>
          <t>The Renku platform at renkulab.io (“Renku”) is managed jointly by the Ecole Polytechnique Fédérale de Lausanne (« EPFL ») and the Eidgenössische Technische Hochschule Zürich (« ETHZ »), Rämistrasse 101, 8092 Zürich, Switzerland.</t>
        </is>
      </c>
      <c r="Q97" s="2" t="n"/>
      <c r="R97" s="2" t="inlineStr">
        <is>
          <t>Contributions</t>
        </is>
      </c>
      <c r="S97" s="2" t="n"/>
      <c r="T97" s="2" t="inlineStr">
        <is>
          <t>Through solution provider or third party vendor</t>
        </is>
      </c>
      <c r="U97" s="2" t="n"/>
      <c r="V97" s="2" t="inlineStr">
        <is>
          <t>Actual system proven in operational environment</t>
        </is>
      </c>
      <c r="W97" s="2" t="inlineStr">
        <is>
          <t>Actively Maintained</t>
        </is>
      </c>
      <c r="X97" s="2" t="inlineStr">
        <is>
          <t>FALSE</t>
        </is>
      </c>
      <c r="Y97" s="2" t="n"/>
      <c r="Z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Long term, we may need to find a way to replace volunteers once they age out.</t>
        </is>
      </c>
      <c r="H98" s="2" t="inlineStr">
        <is>
          <t>Volunteer community</t>
        </is>
      </c>
      <c r="I98" s="2" t="n"/>
      <c r="J98" s="2" t="n"/>
      <c r="K98" s="2" t="inlineStr">
        <is>
          <t>FALSE</t>
        </is>
      </c>
      <c r="L98" s="2" t="inlineStr">
        <is>
          <t>0</t>
        </is>
      </c>
      <c r="M98" s="2" t="n"/>
      <c r="N98" s="2" t="inlineStr">
        <is>
          <t>1997-01-01</t>
        </is>
      </c>
      <c r="O98" s="2" t="inlineStr">
        <is>
          <t>https://ideas.repec.org/history.html</t>
        </is>
      </c>
      <c r="P98" s="2" t="inlineStr">
        <is>
          <t>Since 2010‒10‒01, RePEc has been an independent project of the Open Library Society.</t>
        </is>
      </c>
      <c r="Q98" s="2" t="inlineStr">
        <is>
          <t>Thomas Krichel, idea and concept
Present at founding meeting: José Manuel Barrueco Cruz, Sune Karlsson, Thomas Krichel, Thomas Place, and Corry Stuyts</t>
        </is>
      </c>
      <c r="R98" s="2" t="inlineStr">
        <is>
          <t>Other</t>
        </is>
      </c>
      <c r="S98" s="2" t="inlineStr">
        <is>
          <t>RePEc is largely run by volunteers on donated or shared hardware. Various small projects have been covered by small grants.</t>
        </is>
      </c>
      <c r="T98" s="2" t="inlineStr">
        <is>
          <t>Not applicable</t>
        </is>
      </c>
      <c r="U98" s="2" t="n"/>
      <c r="V98" s="2" t="inlineStr">
        <is>
          <t>Actual system proven in operational environment</t>
        </is>
      </c>
      <c r="W98" s="2" t="inlineStr">
        <is>
          <t>Minimally Maintained</t>
        </is>
      </c>
      <c r="X98" s="2" t="inlineStr">
        <is>
          <t>FALSE</t>
        </is>
      </c>
      <c r="Y98" s="2" t="n"/>
      <c r="Z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ROR receives ongoing financial support from stakeholder organizations. The ROR supporters program strengthens community investment and helps to offset operating costs and fund time-limited projects.See https://ror.org/community/#supporters .</t>
        </is>
      </c>
      <c r="H99" s="2" t="inlineStr">
        <is>
          <t>Other</t>
        </is>
      </c>
      <c r="I99" s="2" t="inlineStr">
        <is>
          <t xml:space="preserve">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t>
        </is>
      </c>
      <c r="J99" s="2" t="n"/>
      <c r="K99" s="2" t="inlineStr">
        <is>
          <t>FALSE</t>
        </is>
      </c>
      <c r="L99" s="2" t="n"/>
      <c r="M99" s="2" t="n"/>
      <c r="N99" s="2" t="inlineStr">
        <is>
          <t>2019-01-01</t>
        </is>
      </c>
      <c r="O99" s="2" t="inlineStr">
        <is>
          <t>&lt;a href="https://ror.org/about/history" target="_blank"&gt;https://ror.org/about/history&lt;/a&gt;</t>
        </is>
      </c>
      <c r="P99" s="2" t="n"/>
      <c r="Q99" s="2" t="n"/>
      <c r="R99" s="2" t="inlineStr">
        <is>
          <t>Other</t>
        </is>
      </c>
      <c r="S99" s="2" t="inlineStr">
        <is>
          <t>ROR's core operating expenses are supported by its three operating organizations. ROR receives additional ad hoc contributions from stakeholder organizations and these funds are used to accelerate and scale ROR's activities.</t>
        </is>
      </c>
      <c r="T99" s="2" t="inlineStr">
        <is>
          <t>Not applicable</t>
        </is>
      </c>
      <c r="U99" s="2" t="n"/>
      <c r="V99" s="2" t="inlineStr">
        <is>
          <t>Actual system proven in operational environment</t>
        </is>
      </c>
      <c r="W99" s="2" t="inlineStr">
        <is>
          <t>Actively Maintained</t>
        </is>
      </c>
      <c r="X99" s="2" t="inlineStr">
        <is>
          <t>TRUE</t>
        </is>
      </c>
      <c r="Y99" s="2" t="n"/>
      <c r="Z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Support the operating costs for Rogue Scholar (DOI registrations with Crossref, archiving with Internet Archive, server infrastructure) to allow Rogue Scholar to scale.</t>
        </is>
      </c>
      <c r="H100" s="2" t="inlineStr">
        <is>
          <t>Commercial (for-profit)</t>
        </is>
      </c>
      <c r="I100" s="2" t="n"/>
      <c r="J100" s="2" t="n"/>
      <c r="K100" s="2" t="inlineStr">
        <is>
          <t>FALSE</t>
        </is>
      </c>
      <c r="L100" s="2" t="n"/>
      <c r="M100" s="2" t="n"/>
      <c r="N100" s="2" t="inlineStr">
        <is>
          <t>2023-01-01</t>
        </is>
      </c>
      <c r="O100" s="2" t="inlineStr">
        <is>
          <t>The Rogue Scholar is available with limited functionality since April 1, 2023, and full functionality (DOI and metadata registration, archiving of full-text content, and full-text search) since July 1, 2023.</t>
        </is>
      </c>
      <c r="P100" s="2" t="n"/>
      <c r="Q100" s="2" t="n"/>
      <c r="R100" s="2" t="inlineStr">
        <is>
          <t>Contributions</t>
        </is>
      </c>
      <c r="S100" s="2" t="n"/>
      <c r="T100" s="2" t="inlineStr">
        <is>
          <t>Not applicable</t>
        </is>
      </c>
      <c r="U100" s="2" t="n"/>
      <c r="V100" s="2" t="inlineStr">
        <is>
          <t>Actual system proven in operational environment</t>
        </is>
      </c>
      <c r="W100" s="2" t="inlineStr">
        <is>
          <t>Actively Maintained</t>
        </is>
      </c>
      <c r="X100" s="2" t="inlineStr">
        <is>
          <t>FALSE</t>
        </is>
      </c>
      <c r="Y100" s="2" t="n"/>
      <c r="Z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Research Space is open to engage and collaborate with research organisations and research infrastructure initiatives to develop open research ecosystems.</t>
        </is>
      </c>
      <c r="H101" s="2" t="inlineStr">
        <is>
          <t>Commercial (for-profit)</t>
        </is>
      </c>
      <c r="I101" s="2" t="n"/>
      <c r="J101" s="2" t="n"/>
      <c r="K101" s="2" t="inlineStr">
        <is>
          <t>TRUE</t>
        </is>
      </c>
      <c r="L101" s="2" t="inlineStr">
        <is>
          <t>11-20</t>
        </is>
      </c>
      <c r="M101" s="2" t="inlineStr">
        <is>
          <t>0</t>
        </is>
      </c>
      <c r="N101" s="2" t="inlineStr">
        <is>
          <t>2017-01-01</t>
        </is>
      </c>
      <c r="O101" s="2" t="inlineStr">
        <is>
          <t>https://www.researchspace.com/about</t>
        </is>
      </c>
      <c r="P101" s="2" t="inlineStr">
        <is>
          <t>No affiliations</t>
        </is>
      </c>
      <c r="Q101" s="2" t="inlineStr">
        <is>
          <t>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t>
        </is>
      </c>
      <c r="R101" s="2" t="inlineStr">
        <is>
          <t>Program service revenue</t>
        </is>
      </c>
      <c r="S101" s="2" t="n"/>
      <c r="T101" s="2" t="inlineStr">
        <is>
          <t>Through solution provider only</t>
        </is>
      </c>
      <c r="U101" s="2" t="n"/>
      <c r="V101" s="2" t="inlineStr">
        <is>
          <t>Actual system proven in operational environment</t>
        </is>
      </c>
      <c r="W101" s="2" t="inlineStr">
        <is>
          <t>Actively Maintained</t>
        </is>
      </c>
      <c r="X101" s="2" t="inlineStr">
        <is>
          <t>FALSE</t>
        </is>
      </c>
      <c r="Y101" s="2" t="n"/>
      <c r="Z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Sciety requires £1m per year in baseline funding with additional funding for accelerating functionality and specific project funding.</t>
        </is>
      </c>
      <c r="H102" s="2" t="inlineStr">
        <is>
          <t>Non-profit organization</t>
        </is>
      </c>
      <c r="I102" s="2" t="n"/>
      <c r="J102" s="2" t="inlineStr">
        <is>
          <t>501(c)3</t>
        </is>
      </c>
      <c r="K102" s="2" t="inlineStr">
        <is>
          <t>FALSE</t>
        </is>
      </c>
      <c r="L102" s="2" t="inlineStr">
        <is>
          <t>1-5</t>
        </is>
      </c>
      <c r="M102" s="2" t="inlineStr">
        <is>
          <t>0</t>
        </is>
      </c>
      <c r="N102" s="2" t="inlineStr">
        <is>
          <t>2020-01-01</t>
        </is>
      </c>
      <c r="O102" s="2" t="inlineStr">
        <is>
          <t>https://elifesciences.org/inside-elife/daf1b699/elife-latest-announcing-a-new-technology-direction</t>
        </is>
      </c>
      <c r="P102" s="2" t="inlineStr">
        <is>
          <t>Howard Hughes Medical Institute, Wellcome Trust</t>
        </is>
      </c>
      <c r="Q102" s="2" t="inlineStr">
        <is>
          <t>Howard Hughes Medical Institute, Wellcome Trust, eLife Sciences</t>
        </is>
      </c>
      <c r="R102" s="2" t="inlineStr">
        <is>
          <t>Contributions</t>
        </is>
      </c>
      <c r="S102" s="2" t="n"/>
      <c r="T102" s="2" t="inlineStr">
        <is>
          <t>Not applicable</t>
        </is>
      </c>
      <c r="U102" s="2" t="n"/>
      <c r="V102" s="2" t="inlineStr">
        <is>
          <t>Actual system proven in operational environment</t>
        </is>
      </c>
      <c r="W102" s="2" t="inlineStr">
        <is>
          <t>Actively Maintained</t>
        </is>
      </c>
      <c r="X102" s="2" t="inlineStr">
        <is>
          <t>FALSE</t>
        </is>
      </c>
      <c r="Y102" s="2" t="n"/>
      <c r="Z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t>
        </is>
      </c>
      <c r="H103" s="2" t="inlineStr">
        <is>
          <t>Non-profit organization</t>
        </is>
      </c>
      <c r="I103" s="2" t="n"/>
      <c r="J103" s="2" t="inlineStr">
        <is>
          <t>501(c)3</t>
        </is>
      </c>
      <c r="K103" s="2" t="inlineStr">
        <is>
          <t>FALSE</t>
        </is>
      </c>
      <c r="L103" s="2" t="inlineStr">
        <is>
          <t>More than 20</t>
        </is>
      </c>
      <c r="M103" s="2" t="inlineStr">
        <is>
          <t>0</t>
        </is>
      </c>
      <c r="N103" s="2" t="inlineStr">
        <is>
          <t>2013-01-01</t>
        </is>
      </c>
      <c r="O103" s="2" t="inlineStr">
        <is>
          <t>https://en.wikipedia.org/wiki/Sage_Bionetworks</t>
        </is>
      </c>
      <c r="P103" s="2" t="inlineStr">
        <is>
          <t>No Affiliations</t>
        </is>
      </c>
      <c r="Q103" s="2" t="inlineStr">
        <is>
          <t xml:space="preserve">Stephen H. Friend MD, PhD
Eric Schadt, PhD
</t>
        </is>
      </c>
      <c r="R103" s="2" t="inlineStr">
        <is>
          <t>Contributions</t>
        </is>
      </c>
      <c r="S103" s="2" t="n"/>
      <c r="T103" s="2" t="inlineStr">
        <is>
          <t>Through solution provider only</t>
        </is>
      </c>
      <c r="U103" s="2" t="n"/>
      <c r="V103" s="2" t="inlineStr">
        <is>
          <t>Actual system proven in operational environment</t>
        </is>
      </c>
      <c r="W103" s="2" t="inlineStr">
        <is>
          <t>Actively Maintained</t>
        </is>
      </c>
      <c r="X103" s="2" t="inlineStr">
        <is>
          <t>FALSE</t>
        </is>
      </c>
      <c r="Y103" s="2" t="n"/>
      <c r="Z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t>
        </is>
      </c>
      <c r="H104" s="2" t="inlineStr">
        <is>
          <t>Volunteer community</t>
        </is>
      </c>
      <c r="I104" s="2" t="n"/>
      <c r="J104" s="2" t="n"/>
      <c r="K104" s="2" t="inlineStr">
        <is>
          <t>FALSE</t>
        </is>
      </c>
      <c r="L104" s="2" t="inlineStr">
        <is>
          <t>0</t>
        </is>
      </c>
      <c r="M104" s="2" t="inlineStr">
        <is>
          <t>More than 20</t>
        </is>
      </c>
      <c r="N104" s="2" t="inlineStr">
        <is>
          <t>2011-01-01</t>
        </is>
      </c>
      <c r="O104" s="2" t="inlineStr">
        <is>
          <t>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t>
        </is>
      </c>
      <c r="P104" s="2" t="inlineStr">
        <is>
          <t xml:space="preserve">Berkman Klein Center for Internet &amp; Society </t>
        </is>
      </c>
      <c r="Q104" s="2" t="inlineStr">
        <is>
          <t>Peter Suber</t>
        </is>
      </c>
      <c r="R104" s="2" t="inlineStr">
        <is>
          <t>Other</t>
        </is>
      </c>
      <c r="S104" s="2" t="inlineStr">
        <is>
          <t>Foundation grants</t>
        </is>
      </c>
      <c r="T104" s="2" t="inlineStr">
        <is>
          <t>Not applicable</t>
        </is>
      </c>
      <c r="U104" s="2" t="n"/>
      <c r="V104" s="2" t="inlineStr">
        <is>
          <t>Actual system proven in operational environment</t>
        </is>
      </c>
      <c r="W104" s="2" t="inlineStr">
        <is>
          <t>Minimally Maintained</t>
        </is>
      </c>
      <c r="X104" s="2" t="inlineStr">
        <is>
          <t>FALSE</t>
        </is>
      </c>
      <c r="Y104" s="2" t="n"/>
      <c r="Z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n"/>
      <c r="H105" s="2" t="inlineStr">
        <is>
          <t>Non-profit organization</t>
        </is>
      </c>
      <c r="I105" s="2" t="n"/>
      <c r="J105" s="2" t="inlineStr">
        <is>
          <t>Community interest company (CIC)</t>
        </is>
      </c>
      <c r="K105" s="2" t="inlineStr">
        <is>
          <t>FALSE</t>
        </is>
      </c>
      <c r="L105" s="2" t="inlineStr">
        <is>
          <t>1-5</t>
        </is>
      </c>
      <c r="M105" s="2" t="inlineStr">
        <is>
          <t>0</t>
        </is>
      </c>
      <c r="N105" s="2" t="inlineStr">
        <is>
          <t>2020-01-01</t>
        </is>
      </c>
      <c r="O105" s="2" t="inlineStr">
        <is>
          <t>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t>
        </is>
      </c>
      <c r="P105" s="2" t="inlineStr">
        <is>
          <t>Community-led Open Publication Infrastructures for Monographs (COPIM)
Copim Open Book Futures
Open Book Collective</t>
        </is>
      </c>
      <c r="Q105" s="2" t="n"/>
      <c r="R105" s="2" t="inlineStr">
        <is>
          <t>Contributions</t>
        </is>
      </c>
      <c r="S105" s="2" t="n"/>
      <c r="T105" s="2" t="inlineStr">
        <is>
          <t>Through solution provider only</t>
        </is>
      </c>
      <c r="U105" s="2" t="n"/>
      <c r="V105" s="2" t="inlineStr">
        <is>
          <t>Actual system proven in operational environment</t>
        </is>
      </c>
      <c r="W105" s="2" t="inlineStr">
        <is>
          <t>Actively Maintained</t>
        </is>
      </c>
      <c r="X105" s="2" t="inlineStr">
        <is>
          <t>FALSE</t>
        </is>
      </c>
      <c r="Y105" s="2" t="n"/>
      <c r="Z105" s="2" t="n"/>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n"/>
      <c r="H106" s="2" t="inlineStr">
        <is>
          <t>Fiscal sponsorship (non-profit)</t>
        </is>
      </c>
      <c r="I106" s="2" t="n"/>
      <c r="J106" s="2" t="n"/>
      <c r="K106" s="2" t="inlineStr">
        <is>
          <t>FALSE</t>
        </is>
      </c>
      <c r="L106" s="2" t="n"/>
      <c r="M106" s="2" t="n"/>
      <c r="N106" s="2" t="inlineStr">
        <is>
          <t>2017-01-01</t>
        </is>
      </c>
      <c r="O106" s="2" t="inlineStr">
        <is>
          <t>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t>
        </is>
      </c>
      <c r="P106" s="2" t="inlineStr">
        <is>
          <t>None.</t>
        </is>
      </c>
      <c r="Q106" s="2" t="n"/>
      <c r="R106" s="2" t="inlineStr">
        <is>
          <t>Program service revenue</t>
        </is>
      </c>
      <c r="S106" s="2" t="n"/>
      <c r="T106" s="2" t="inlineStr">
        <is>
          <t>Not applicable</t>
        </is>
      </c>
      <c r="U106" s="2" t="n"/>
      <c r="V106" s="2" t="inlineStr">
        <is>
          <t>Actual system proven in operational environment</t>
        </is>
      </c>
      <c r="W106" s="2" t="inlineStr">
        <is>
          <t>Actively Maintained</t>
        </is>
      </c>
      <c r="X106" s="2" t="inlineStr">
        <is>
          <t>FALSE</t>
        </is>
      </c>
      <c r="Y106" s="2" t="n"/>
      <c r="Z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We are fairly self sufficient but extra funding would allow us dedicated development staff, these are currently on a best effort basis.</t>
        </is>
      </c>
      <c r="H107" s="2" t="inlineStr">
        <is>
          <t>Non-profit organization</t>
        </is>
      </c>
      <c r="I107" s="2" t="n"/>
      <c r="J107" s="2" t="inlineStr">
        <is>
          <t>Autonomous non-commercial organization</t>
        </is>
      </c>
      <c r="K107" s="2" t="inlineStr">
        <is>
          <t>FALSE</t>
        </is>
      </c>
      <c r="L107" s="2" t="inlineStr">
        <is>
          <t>1-5</t>
        </is>
      </c>
      <c r="M107" s="2" t="inlineStr">
        <is>
          <t>0</t>
        </is>
      </c>
      <c r="N107" s="2" t="inlineStr">
        <is>
          <t>2017-01-01</t>
        </is>
      </c>
      <c r="O107" s="2" t="inlineStr">
        <is>
          <t>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t>
        </is>
      </c>
      <c r="P107" s="2" t="inlineStr">
        <is>
          <t>Open Preservation Foundation
PDF Association
Dual Labs</t>
        </is>
      </c>
      <c r="Q107" s="2" t="inlineStr">
        <is>
          <t>Open Preservation Foundation
PDF Association</t>
        </is>
      </c>
      <c r="R107" s="2" t="inlineStr">
        <is>
          <t>Contributions</t>
        </is>
      </c>
      <c r="S107" s="2" t="n"/>
      <c r="T107" s="2" t="inlineStr">
        <is>
          <t>Not applicable</t>
        </is>
      </c>
      <c r="U107" s="2" t="n"/>
      <c r="V107" s="2" t="inlineStr">
        <is>
          <t>Actual system proven in operational environment</t>
        </is>
      </c>
      <c r="W107" s="2" t="inlineStr">
        <is>
          <t>Actively Maintained</t>
        </is>
      </c>
      <c r="X107" s="2" t="inlineStr">
        <is>
          <t>FALSE</t>
        </is>
      </c>
      <c r="Y107" s="2" t="n"/>
      <c r="Z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n"/>
      <c r="H108" s="2" t="inlineStr">
        <is>
          <t>Non-profit organization</t>
        </is>
      </c>
      <c r="I108" s="2" t="n"/>
      <c r="J108" s="2" t="inlineStr">
        <is>
          <t>Company limited by guarantee</t>
        </is>
      </c>
      <c r="K108" s="2" t="inlineStr">
        <is>
          <t>FALSE</t>
        </is>
      </c>
      <c r="L108" s="2" t="inlineStr">
        <is>
          <t>6-10</t>
        </is>
      </c>
      <c r="M108" s="2" t="n"/>
      <c r="N108" s="2" t="inlineStr">
        <is>
          <t>2023-01-01</t>
        </is>
      </c>
      <c r="O108"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108" s="2" t="inlineStr">
        <is>
          <t>Artefactual</t>
        </is>
      </c>
      <c r="Q108" s="2" t="inlineStr">
        <is>
          <t>British Library</t>
        </is>
      </c>
      <c r="R108" s="2" t="inlineStr">
        <is>
          <t>Other</t>
        </is>
      </c>
      <c r="S108" s="2" t="inlineStr">
        <is>
          <t>Membership subscription fees</t>
        </is>
      </c>
      <c r="T108" s="2" t="inlineStr">
        <is>
          <t>Not applicable</t>
        </is>
      </c>
      <c r="U108" s="2" t="n"/>
      <c r="V108" s="2" t="inlineStr">
        <is>
          <t>Actual system proven in operational environment</t>
        </is>
      </c>
      <c r="W108" s="2" t="inlineStr">
        <is>
          <t>Actively Maintained</t>
        </is>
      </c>
      <c r="X108" s="2" t="inlineStr">
        <is>
          <t>FALSE</t>
        </is>
      </c>
      <c r="Y108" s="2" t="n"/>
      <c r="Z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n"/>
      <c r="H109" s="2" t="inlineStr">
        <is>
          <t>Non-profit organization</t>
        </is>
      </c>
      <c r="I109" s="2" t="n"/>
      <c r="J109" s="2" t="n"/>
      <c r="K109" s="2" t="inlineStr">
        <is>
          <t>FALSE</t>
        </is>
      </c>
      <c r="L109" s="2" t="inlineStr">
        <is>
          <t>1-5</t>
        </is>
      </c>
      <c r="M109" s="2" t="inlineStr">
        <is>
          <t>Unknown</t>
        </is>
      </c>
      <c r="N109" s="2" t="inlineStr">
        <is>
          <t>2008-01-01</t>
        </is>
      </c>
      <c r="O109" s="2" t="inlineStr">
        <is>
          <t>https://texasdigitallibrary.atlassian.net/wiki/spaces/VUG/pages/732561434/Vireo+Version+History</t>
        </is>
      </c>
      <c r="P109" s="2" t="inlineStr">
        <is>
          <t>Texas Digital Library
Vireo User Group Steering Committee</t>
        </is>
      </c>
      <c r="Q109" s="2" t="inlineStr">
        <is>
          <t>The Texas Digital Library, in close collaboration with Texas A&amp;M University, provided initial development of Vireo and released it under an open source license in 2010.</t>
        </is>
      </c>
      <c r="R109" s="2" t="inlineStr">
        <is>
          <t>Program service revenue</t>
        </is>
      </c>
      <c r="S109" s="2" t="n"/>
      <c r="T109" s="2" t="inlineStr">
        <is>
          <t>Through solution provider only</t>
        </is>
      </c>
      <c r="U109" s="2" t="n"/>
      <c r="V109" s="2" t="inlineStr">
        <is>
          <t>Actual system proven in operational environment</t>
        </is>
      </c>
      <c r="W109" s="2" t="inlineStr">
        <is>
          <t>Actively Maintained</t>
        </is>
      </c>
      <c r="X109" s="2" t="inlineStr">
        <is>
          <t>FALSE</t>
        </is>
      </c>
      <c r="Y109" s="2" t="n"/>
      <c r="Z109" s="2" t="n"/>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t>
        </is>
      </c>
      <c r="H110" s="2" t="inlineStr">
        <is>
          <t>Fiscal sponsorship (non-profit)</t>
        </is>
      </c>
      <c r="I110" s="2" t="n"/>
      <c r="J110" s="2" t="n"/>
      <c r="K110" s="2" t="inlineStr">
        <is>
          <t>FALSE</t>
        </is>
      </c>
      <c r="L110" s="2" t="inlineStr">
        <is>
          <t>1-5</t>
        </is>
      </c>
      <c r="M110" s="2" t="inlineStr">
        <is>
          <t>Unknown</t>
        </is>
      </c>
      <c r="N110" s="2" t="inlineStr">
        <is>
          <t>2009-01-01</t>
        </is>
      </c>
      <c r="O110" s="2" t="inlineStr">
        <is>
          <t>VIVO is in its seventeenth year as an open source platform for representing research and scholarship. 
The VIVO Annual Reports provide an overview of the activities for each year. https://vivoweb.org/annual-reports/ .</t>
        </is>
      </c>
      <c r="P110" s="2" t="inlineStr">
        <is>
          <t>Lyrasis serves as the organizational home for VIVO.
Multiple research institutions and universities across the world are involved in the governance of VIVO.</t>
        </is>
      </c>
      <c r="Q110" s="2" t="inlineStr">
        <is>
          <t xml:space="preserve">University of Florida
Cornell University
Indiana University-Bloomington
Weill Cornell
Washington University of St. Louis
Scripps Research Institute
Ponce Health Sciences University
</t>
        </is>
      </c>
      <c r="R110" s="2" t="inlineStr">
        <is>
          <t>Contributions</t>
        </is>
      </c>
      <c r="S110" s="2" t="n"/>
      <c r="T110" s="2" t="inlineStr">
        <is>
          <t>Through solution provider or third party vendor</t>
        </is>
      </c>
      <c r="U110" s="2" t="inlineStr">
        <is>
          <t>https://vivoweb.org/service-providers/</t>
        </is>
      </c>
      <c r="V110" s="2" t="inlineStr">
        <is>
          <t>Actual system proven in operational environment</t>
        </is>
      </c>
      <c r="W110" s="2" t="inlineStr">
        <is>
          <t>Actively Maintained</t>
        </is>
      </c>
      <c r="X110" s="2" t="inlineStr">
        <is>
          <t>FALSE</t>
        </is>
      </c>
      <c r="Y110" s="2" t="n"/>
      <c r="Z110" s="2" t="n"/>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t>
        </is>
      </c>
      <c r="H111" s="2" t="inlineStr">
        <is>
          <t>Non-profit organization</t>
        </is>
      </c>
      <c r="I111" s="2" t="n"/>
      <c r="J111" s="2" t="n"/>
      <c r="K111" s="2" t="inlineStr">
        <is>
          <t>FALSE</t>
        </is>
      </c>
      <c r="L111" s="2" t="n"/>
      <c r="M111" s="2" t="n"/>
      <c r="N111" s="2" t="inlineStr">
        <is>
          <t>2007-01-01</t>
        </is>
      </c>
      <c r="O111" s="2" t="inlineStr">
        <is>
          <t>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t>
        </is>
      </c>
      <c r="P111" s="2" t="n"/>
      <c r="Q111" s="2" t="n"/>
      <c r="R111" s="2" t="inlineStr">
        <is>
          <t>Contributions</t>
        </is>
      </c>
      <c r="S111" s="2" t="n"/>
      <c r="T111" s="2" t="inlineStr">
        <is>
          <t>Through solution provider or third party vendor</t>
        </is>
      </c>
      <c r="U111" s="2" t="n"/>
      <c r="V111" s="2" t="inlineStr">
        <is>
          <t>Actual system proven in operational environment</t>
        </is>
      </c>
      <c r="W111" s="2" t="inlineStr">
        <is>
          <t>Actively Maintained</t>
        </is>
      </c>
      <c r="X111" s="2" t="inlineStr">
        <is>
          <t>FALSE</t>
        </is>
      </c>
      <c r="Y111" s="2" t="n"/>
      <c r="Z111" s="2" t="n"/>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n"/>
      <c r="H112" s="2" t="inlineStr">
        <is>
          <t>Fiscal sponsorship (academic institution)</t>
        </is>
      </c>
      <c r="I112" s="2" t="n"/>
      <c r="J112" s="2" t="n"/>
      <c r="K112" s="2" t="inlineStr">
        <is>
          <t>FALSE</t>
        </is>
      </c>
      <c r="L112" s="2" t="n"/>
      <c r="M112" s="2" t="n"/>
      <c r="N112" s="2" t="inlineStr">
        <is>
          <t>2013-01-01</t>
        </is>
      </c>
      <c r="O112" s="2" t="inlineStr">
        <is>
          <t>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t>
        </is>
      </c>
      <c r="P112" s="2" t="n"/>
      <c r="Q112" s="2" t="n"/>
      <c r="R112" s="2" t="inlineStr">
        <is>
          <t>Contributions</t>
        </is>
      </c>
      <c r="S112" s="2" t="n"/>
      <c r="T112" s="2" t="inlineStr">
        <is>
          <t>Not applicable</t>
        </is>
      </c>
      <c r="U112" s="2" t="n"/>
      <c r="V112" s="2" t="inlineStr">
        <is>
          <t>Actual system proven in operational environment</t>
        </is>
      </c>
      <c r="W112" s="2" t="inlineStr">
        <is>
          <t>Actively Maintained</t>
        </is>
      </c>
      <c r="X112" s="2" t="inlineStr">
        <is>
          <t>FALSE</t>
        </is>
      </c>
      <c r="Y112" s="2" t="n"/>
      <c r="Z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Zotero has been independent and sustainable since 2013, through proceeds from responsibly-priced add-on services.</t>
        </is>
      </c>
      <c r="H113" s="2" t="inlineStr">
        <is>
          <t>Fiscal sponsorship (non-profit)</t>
        </is>
      </c>
      <c r="I113" s="2" t="n"/>
      <c r="J113" s="2" t="n"/>
      <c r="K113" s="2" t="inlineStr">
        <is>
          <t>FALSE</t>
        </is>
      </c>
      <c r="L113" s="2" t="n"/>
      <c r="M113" s="2" t="n"/>
      <c r="N113" s="2" t="inlineStr">
        <is>
          <t>2006-01-01</t>
        </is>
      </c>
      <c r="O113" s="2" t="inlineStr">
        <is>
          <t>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t>
        </is>
      </c>
      <c r="P113" s="2" t="inlineStr">
        <is>
          <t>No affiliations</t>
        </is>
      </c>
      <c r="Q113" s="2" t="n"/>
      <c r="R113" s="2" t="inlineStr">
        <is>
          <t>Program service revenue</t>
        </is>
      </c>
      <c r="S113" s="2" t="n"/>
      <c r="T113" s="2" t="inlineStr">
        <is>
          <t>Through solution provider only</t>
        </is>
      </c>
      <c r="U113" s="2" t="n"/>
      <c r="V113" s="2" t="inlineStr">
        <is>
          <t>Actual system proven in operational environment</t>
        </is>
      </c>
      <c r="W113" s="2" t="inlineStr">
        <is>
          <t>Actively Maintained</t>
        </is>
      </c>
      <c r="X113" s="2" t="inlineStr">
        <is>
          <t>FALSE</t>
        </is>
      </c>
      <c r="Y113" s="2" t="n"/>
      <c r="Z113" s="2" t="n"/>
    </row>
  </sheetData>
  <autoFilter ref="A1:Z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64" customWidth="1" min="3" max="3"/>
    <col width="7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017_funding_needs</t>
        </is>
      </c>
      <c r="B2" s="2" t="inlineStr">
        <is>
          <t>Funding Needs</t>
        </is>
      </c>
      <c r="C2" s="2" t="inlineStr">
        <is>
          <t>Narrative description of funding needs.</t>
        </is>
      </c>
      <c r="D2" s="2" t="inlineStr">
        <is>
          <t>Verify current public funding/support information where available.</t>
        </is>
      </c>
    </row>
    <row r="3">
      <c r="A3" s="2" t="inlineStr">
        <is>
          <t>051_business_form</t>
        </is>
      </c>
      <c r="B3" s="2" t="inlineStr">
        <is>
          <t>Business Form</t>
        </is>
      </c>
      <c r="C3" s="2" t="inlineStr">
        <is>
          <t>Organizational/legal/business form.</t>
        </is>
      </c>
      <c r="D3" s="2" t="inlineStr">
        <is>
          <t>Verify official organizational status.</t>
        </is>
      </c>
    </row>
    <row r="4">
      <c r="A4" s="2" t="inlineStr">
        <is>
          <t>951_business_form_other</t>
        </is>
      </c>
      <c r="B4" s="2" t="inlineStr">
        <is>
          <t>Business Form Other</t>
        </is>
      </c>
      <c r="C4" s="2" t="inlineStr">
        <is>
          <t>Other business-form description.</t>
        </is>
      </c>
      <c r="D4" s="2" t="inlineStr">
        <is>
          <t>Verify free-text value.</t>
        </is>
      </c>
    </row>
    <row r="5">
      <c r="A5" s="2" t="inlineStr">
        <is>
          <t>052_nonprofit_status</t>
        </is>
      </c>
      <c r="B5" s="2" t="inlineStr">
        <is>
          <t>Nonprofit Status</t>
        </is>
      </c>
      <c r="C5" s="2" t="inlineStr">
        <is>
          <t>Reported nonprofit status.</t>
        </is>
      </c>
      <c r="D5" s="2" t="inlineStr">
        <is>
          <t>Verify official status if relevant.</t>
        </is>
      </c>
    </row>
    <row r="6">
      <c r="A6" s="2" t="inlineStr">
        <is>
          <t>053_shareholders</t>
        </is>
      </c>
      <c r="B6" s="2" t="inlineStr">
        <is>
          <t>Shareholders</t>
        </is>
      </c>
      <c r="C6" s="2" t="inlineStr">
        <is>
          <t>Shareholder information where relevant.</t>
        </is>
      </c>
      <c r="D6" s="2" t="inlineStr">
        <is>
          <t>Verify for commercial/corporate entities.</t>
        </is>
      </c>
    </row>
    <row r="7">
      <c r="A7" s="2" t="inlineStr">
        <is>
          <t>054_staffing_full_time</t>
        </is>
      </c>
      <c r="B7" s="2" t="inlineStr">
        <is>
          <t>Staffing Full Time</t>
        </is>
      </c>
      <c r="C7" s="2" t="inlineStr">
        <is>
          <t>Full-time staffing level.</t>
        </is>
      </c>
      <c r="D7" s="2" t="inlineStr">
        <is>
          <t>Verify reported staffing category where possible.</t>
        </is>
      </c>
    </row>
    <row r="8">
      <c r="A8" s="2" t="inlineStr">
        <is>
          <t>055_staffing_volunteer</t>
        </is>
      </c>
      <c r="B8" s="2" t="inlineStr">
        <is>
          <t>Staffing Volunteer</t>
        </is>
      </c>
      <c r="C8" s="2" t="inlineStr">
        <is>
          <t>Volunteer staffing level.</t>
        </is>
      </c>
      <c r="D8" s="2" t="inlineStr">
        <is>
          <t>Verify reported volunteer category where possible.</t>
        </is>
      </c>
    </row>
    <row r="9">
      <c r="A9" s="2" t="inlineStr">
        <is>
          <t>056_launch_date</t>
        </is>
      </c>
      <c r="B9" s="2" t="inlineStr">
        <is>
          <t>Launch Date</t>
        </is>
      </c>
      <c r="C9" s="2" t="inlineStr">
        <is>
          <t>Infrastructure/service launch date.</t>
        </is>
      </c>
      <c r="D9" s="2" t="inlineStr">
        <is>
          <t>Verify against official history or launch announcement.</t>
        </is>
      </c>
    </row>
    <row r="10">
      <c r="A10" s="2" t="inlineStr">
        <is>
          <t>057_organizational_history</t>
        </is>
      </c>
      <c r="B10" s="2" t="inlineStr">
        <is>
          <t>Organizational History</t>
        </is>
      </c>
      <c r="C10" s="2" t="inlineStr">
        <is>
          <t>Narrative organizational history.</t>
        </is>
      </c>
      <c r="D10" s="2" t="inlineStr">
        <is>
          <t>Check consistency with public history/about information.</t>
        </is>
      </c>
    </row>
    <row r="11">
      <c r="A11" s="2" t="inlineStr">
        <is>
          <t>058_affiliations</t>
        </is>
      </c>
      <c r="B11" s="2" t="inlineStr">
        <is>
          <t>Affiliations</t>
        </is>
      </c>
      <c r="C11" s="2" t="inlineStr">
        <is>
          <t>Institutional affiliations or supporting organizations.</t>
        </is>
      </c>
      <c r="D11" s="2" t="inlineStr">
        <is>
          <t>Verify affiliations.</t>
        </is>
      </c>
    </row>
    <row r="12">
      <c r="A12" s="2" t="inlineStr">
        <is>
          <t>059_founders</t>
        </is>
      </c>
      <c r="B12" s="2" t="inlineStr">
        <is>
          <t>Founders</t>
        </is>
      </c>
      <c r="C12" s="2" t="inlineStr">
        <is>
          <t>Founders or founding organizations/persons.</t>
        </is>
      </c>
      <c r="D12" s="2" t="inlineStr">
        <is>
          <t>Verify against official history/about page.</t>
        </is>
      </c>
    </row>
    <row r="13">
      <c r="A13" s="2" t="inlineStr">
        <is>
          <t>061_primary_funding_source</t>
        </is>
      </c>
      <c r="B13" s="2" t="inlineStr">
        <is>
          <t>Primary Funding Source</t>
        </is>
      </c>
      <c r="C13" s="2" t="inlineStr">
        <is>
          <t>Primary reported funding source.</t>
        </is>
      </c>
      <c r="D13" s="2" t="inlineStr">
        <is>
          <t>Verify against current funding/revenue information.</t>
        </is>
      </c>
    </row>
    <row r="14">
      <c r="A14" s="2" t="inlineStr">
        <is>
          <t>961_primary_funding_source_other</t>
        </is>
      </c>
      <c r="B14" s="2" t="inlineStr">
        <is>
          <t>Primary Funding Source Other</t>
        </is>
      </c>
      <c r="C14" s="2" t="inlineStr">
        <is>
          <t>Other primary funding source.</t>
        </is>
      </c>
      <c r="D14" s="2" t="inlineStr">
        <is>
          <t>Verify free-text value.</t>
        </is>
      </c>
    </row>
    <row r="15">
      <c r="A15" s="2" t="inlineStr">
        <is>
          <t>076_saas_options</t>
        </is>
      </c>
      <c r="B15" s="2" t="inlineStr">
        <is>
          <t>Saas Options</t>
        </is>
      </c>
      <c r="C15" s="2" t="inlineStr">
        <is>
          <t>Availability of SaaS/hosted-service options.</t>
        </is>
      </c>
      <c r="D15" s="2" t="inlineStr">
        <is>
          <t>Verify current service offering.</t>
        </is>
      </c>
    </row>
    <row r="16">
      <c r="A16" s="2" t="inlineStr">
        <is>
          <t>077_registered_service_providers</t>
        </is>
      </c>
      <c r="B16" s="2" t="inlineStr">
        <is>
          <t>Registered Service Providers</t>
        </is>
      </c>
      <c r="C16" s="2" t="inlineStr">
        <is>
          <t>Registered/external service providers.</t>
        </is>
      </c>
      <c r="D16" s="2" t="inlineStr">
        <is>
          <t>Verify provider ecosystem where applicable.</t>
        </is>
      </c>
    </row>
    <row r="17">
      <c r="A17" s="2" t="inlineStr">
        <is>
          <t>079_technology_readiness</t>
        </is>
      </c>
      <c r="B17" s="2" t="inlineStr">
        <is>
          <t>Technology Readiness</t>
        </is>
      </c>
      <c r="C17" s="2" t="inlineStr">
        <is>
          <t>Reported technology-readiness stage.</t>
        </is>
      </c>
      <c r="D17" s="2" t="inlineStr">
        <is>
          <t>Verify operational maturity where possible.</t>
        </is>
      </c>
    </row>
    <row r="18">
      <c r="A18" s="2" t="inlineStr">
        <is>
          <t>080_maintenance_status</t>
        </is>
      </c>
      <c r="B18" s="2" t="inlineStr">
        <is>
          <t>Maintenance Status</t>
        </is>
      </c>
      <c r="C18" s="2" t="inlineStr">
        <is>
          <t>Reported maintenance status.</t>
        </is>
      </c>
      <c r="D18" s="2" t="inlineStr">
        <is>
          <t>Verify whether the infrastructure is actively maintained.</t>
        </is>
      </c>
    </row>
    <row r="19">
      <c r="A19" s="2" t="inlineStr">
        <is>
          <t>099_scoss</t>
        </is>
      </c>
      <c r="B19" s="2" t="inlineStr">
        <is>
          <t>Scoss</t>
        </is>
      </c>
      <c r="C19" s="2" t="inlineStr">
        <is>
          <t>SCOSS participation/status.</t>
        </is>
      </c>
      <c r="D19" s="2" t="inlineStr">
        <is>
          <t>Verify against SCOSS/public source if used.</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2026-10-15T10:09:25Z</dcterms:created>
  <dcterms:modified xsi:type="dcterms:W3CDTF">2026-10-15T10:09:25Z</dcterms:modified>
</cp:coreProperties>
</file>