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oring" sheetId="2" state="visible" r:id="rId2"/>
    <sheet name="Metric Rules" sheetId="3" state="visible" r:id="rId3"/>
    <sheet name="Methodology" sheetId="4" state="visible" r:id="rId4"/>
    <sheet name="Parameters" sheetId="5" state="visible" r:id="rId5"/>
    <sheet name="Verification" sheetId="6" state="visible" r:id="rId6"/>
    <sheet name="Affiliation Coding" sheetId="7" state="visible" r:id="rId7"/>
    <sheet name="Coverage" sheetId="8" state="visible" r:id="rId8"/>
    <sheet name="Diagnostics" sheetId="9" state="visible" r:id="rId9"/>
    <sheet name="Calc" sheetId="10" state="visible" r:id="rId10"/>
    <sheet name="Data" sheetId="11" state="visible" r:id="rId11"/>
    <sheet name="Field Guide" sheetId="12" state="visible" r:id="rId12"/>
  </sheets>
  <definedNames>
    <definedName name="_xlnm._FilterDatabase" localSheetId="0" hidden="1">'Summary'!$A$1:$B$14</definedName>
    <definedName name="_xlnm._FilterDatabase" localSheetId="1" hidden="1">'Scoring'!$A$1:$T$113</definedName>
    <definedName name="_xlnm._FilterDatabase" localSheetId="2" hidden="1">'Metric Rules'!$A$1:$G$6</definedName>
    <definedName name="_xlnm._FilterDatabase" localSheetId="3" hidden="1">'Methodology'!$A$1:$B$13</definedName>
    <definedName name="_xlnm._FilterDatabase" localSheetId="4" hidden="1">'Parameters'!$A$1:$F$10</definedName>
    <definedName name="_xlnm._FilterDatabase" localSheetId="5" hidden="1">'Verification'!$A$1:$F$113</definedName>
    <definedName name="_xlnm._FilterDatabase" localSheetId="6" hidden="1">'Affiliation Coding'!$A$1:$G$113</definedName>
    <definedName name="_xlnm._FilterDatabase" localSheetId="7" hidden="1">'Coverage'!$A$1:$L$113</definedName>
    <definedName name="_xlnm._FilterDatabase" localSheetId="8" hidden="1">'Diagnostics'!$A$1:$J$10</definedName>
    <definedName name="_xlnm._FilterDatabase" localSheetId="9" hidden="1">'Calc'!$A$1:$K$113</definedName>
    <definedName name="_xlnm._FilterDatabase" localSheetId="10" hidden="1">'Data'!$A$1:$Z$113</definedName>
    <definedName name="_xlnm._FilterDatabase" localSheetId="11" hidden="1">'Field Guide'!$A$1:$D$19</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45B55"/>
      </patternFill>
    </fill>
    <fill>
      <patternFill patternType="solid">
        <fgColor rgb="00FCEC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OpenAI</author>
  </authors>
  <commentList>
    <comment ref="D2" authorId="0" shapeId="0">
      <text>
        <t>Optional reviewer override. Allowed values: 0, 50, or 100.</t>
      </text>
    </comment>
    <comment ref="D3" authorId="0" shapeId="0">
      <text>
        <t>Optional reviewer override. Allowed values: 0, 50, or 100.</t>
      </text>
    </comment>
    <comment ref="D4" authorId="0" shapeId="0">
      <text>
        <t>Optional reviewer override. Allowed values: 0, 50, or 100.</t>
      </text>
    </comment>
    <comment ref="D5" authorId="0" shapeId="0">
      <text>
        <t>Optional reviewer override. Allowed values: 0, 50, or 100.</t>
      </text>
    </comment>
    <comment ref="D6" authorId="0" shapeId="0">
      <text>
        <t>Optional reviewer override. Allowed values: 0, 50, or 100.</t>
      </text>
    </comment>
    <comment ref="D7" authorId="0" shapeId="0">
      <text>
        <t>Optional reviewer override. Allowed values: 0, 50, or 100.</t>
      </text>
    </comment>
    <comment ref="D8" authorId="0" shapeId="0">
      <text>
        <t>Optional reviewer override. Allowed values: 0, 50, or 100.</t>
      </text>
    </comment>
    <comment ref="D9" authorId="0" shapeId="0">
      <text>
        <t>Optional reviewer override. Allowed values: 0, 50, or 100.</t>
      </text>
    </comment>
    <comment ref="D10" authorId="0" shapeId="0">
      <text>
        <t>Optional reviewer override. Allowed values: 0, 50, or 100.</t>
      </text>
    </comment>
    <comment ref="D11" authorId="0" shapeId="0">
      <text>
        <t>Optional reviewer override. Allowed values: 0, 50, or 100.</t>
      </text>
    </comment>
    <comment ref="D12" authorId="0" shapeId="0">
      <text>
        <t>Optional reviewer override. Allowed values: 0, 50, or 100.</t>
      </text>
    </comment>
    <comment ref="D13" authorId="0" shapeId="0">
      <text>
        <t>Optional reviewer override. Allowed values: 0, 50, or 100.</t>
      </text>
    </comment>
    <comment ref="D14" authorId="0" shapeId="0">
      <text>
        <t>Optional reviewer override. Allowed values: 0, 50, or 100.</t>
      </text>
    </comment>
    <comment ref="D15" authorId="0" shapeId="0">
      <text>
        <t>Optional reviewer override. Allowed values: 0, 50, or 100.</t>
      </text>
    </comment>
    <comment ref="D16" authorId="0" shapeId="0">
      <text>
        <t>Optional reviewer override. Allowed values: 0, 50, or 100.</t>
      </text>
    </comment>
    <comment ref="D17" authorId="0" shapeId="0">
      <text>
        <t>Optional reviewer override. Allowed values: 0, 50, or 100.</t>
      </text>
    </comment>
    <comment ref="D18" authorId="0" shapeId="0">
      <text>
        <t>Optional reviewer override. Allowed values: 0, 50, or 100.</t>
      </text>
    </comment>
    <comment ref="D19" authorId="0" shapeId="0">
      <text>
        <t>Optional reviewer override. Allowed values: 0, 50, or 100.</t>
      </text>
    </comment>
    <comment ref="D20" authorId="0" shapeId="0">
      <text>
        <t>Optional reviewer override. Allowed values: 0, 50, or 100.</t>
      </text>
    </comment>
    <comment ref="D21" authorId="0" shapeId="0">
      <text>
        <t>Optional reviewer override. Allowed values: 0, 50, or 100.</t>
      </text>
    </comment>
    <comment ref="D22" authorId="0" shapeId="0">
      <text>
        <t>Optional reviewer override. Allowed values: 0, 50, or 100.</t>
      </text>
    </comment>
    <comment ref="D23" authorId="0" shapeId="0">
      <text>
        <t>Optional reviewer override. Allowed values: 0, 50, or 100.</t>
      </text>
    </comment>
    <comment ref="D24" authorId="0" shapeId="0">
      <text>
        <t>Optional reviewer override. Allowed values: 0, 50, or 100.</t>
      </text>
    </comment>
    <comment ref="D25" authorId="0" shapeId="0">
      <text>
        <t>Optional reviewer override. Allowed values: 0, 50, or 100.</t>
      </text>
    </comment>
    <comment ref="D26" authorId="0" shapeId="0">
      <text>
        <t>Optional reviewer override. Allowed values: 0, 50, or 100.</t>
      </text>
    </comment>
    <comment ref="D27" authorId="0" shapeId="0">
      <text>
        <t>Optional reviewer override. Allowed values: 0, 50, or 100.</t>
      </text>
    </comment>
    <comment ref="D28" authorId="0" shapeId="0">
      <text>
        <t>Optional reviewer override. Allowed values: 0, 50, or 100.</t>
      </text>
    </comment>
    <comment ref="D29" authorId="0" shapeId="0">
      <text>
        <t>Optional reviewer override. Allowed values: 0, 50, or 100.</t>
      </text>
    </comment>
    <comment ref="D30" authorId="0" shapeId="0">
      <text>
        <t>Optional reviewer override. Allowed values: 0, 50, or 100.</t>
      </text>
    </comment>
    <comment ref="D31" authorId="0" shapeId="0">
      <text>
        <t>Optional reviewer override. Allowed values: 0, 50, or 100.</t>
      </text>
    </comment>
    <comment ref="D32" authorId="0" shapeId="0">
      <text>
        <t>Optional reviewer override. Allowed values: 0, 50, or 100.</t>
      </text>
    </comment>
    <comment ref="D33" authorId="0" shapeId="0">
      <text>
        <t>Optional reviewer override. Allowed values: 0, 50, or 100.</t>
      </text>
    </comment>
    <comment ref="D34" authorId="0" shapeId="0">
      <text>
        <t>Optional reviewer override. Allowed values: 0, 50, or 100.</t>
      </text>
    </comment>
    <comment ref="D35" authorId="0" shapeId="0">
      <text>
        <t>Optional reviewer override. Allowed values: 0, 50, or 100.</t>
      </text>
    </comment>
    <comment ref="D36" authorId="0" shapeId="0">
      <text>
        <t>Optional reviewer override. Allowed values: 0, 50, or 100.</t>
      </text>
    </comment>
    <comment ref="D37" authorId="0" shapeId="0">
      <text>
        <t>Optional reviewer override. Allowed values: 0, 50, or 100.</t>
      </text>
    </comment>
    <comment ref="D38" authorId="0" shapeId="0">
      <text>
        <t>Optional reviewer override. Allowed values: 0, 50, or 100.</t>
      </text>
    </comment>
    <comment ref="D39" authorId="0" shapeId="0">
      <text>
        <t>Optional reviewer override. Allowed values: 0, 50, or 100.</t>
      </text>
    </comment>
    <comment ref="D40" authorId="0" shapeId="0">
      <text>
        <t>Optional reviewer override. Allowed values: 0, 50, or 100.</t>
      </text>
    </comment>
    <comment ref="D41" authorId="0" shapeId="0">
      <text>
        <t>Optional reviewer override. Allowed values: 0, 50, or 100.</t>
      </text>
    </comment>
    <comment ref="D42" authorId="0" shapeId="0">
      <text>
        <t>Optional reviewer override. Allowed values: 0, 50, or 100.</t>
      </text>
    </comment>
    <comment ref="D43" authorId="0" shapeId="0">
      <text>
        <t>Optional reviewer override. Allowed values: 0, 50, or 100.</t>
      </text>
    </comment>
    <comment ref="D44" authorId="0" shapeId="0">
      <text>
        <t>Optional reviewer override. Allowed values: 0, 50, or 100.</t>
      </text>
    </comment>
    <comment ref="D45" authorId="0" shapeId="0">
      <text>
        <t>Optional reviewer override. Allowed values: 0, 50, or 100.</t>
      </text>
    </comment>
    <comment ref="D46" authorId="0" shapeId="0">
      <text>
        <t>Optional reviewer override. Allowed values: 0, 50, or 100.</t>
      </text>
    </comment>
    <comment ref="D47" authorId="0" shapeId="0">
      <text>
        <t>Optional reviewer override. Allowed values: 0, 50, or 100.</t>
      </text>
    </comment>
    <comment ref="D48" authorId="0" shapeId="0">
      <text>
        <t>Optional reviewer override. Allowed values: 0, 50, or 100.</t>
      </text>
    </comment>
    <comment ref="D49" authorId="0" shapeId="0">
      <text>
        <t>Optional reviewer override. Allowed values: 0, 50, or 100.</t>
      </text>
    </comment>
    <comment ref="D50" authorId="0" shapeId="0">
      <text>
        <t>Optional reviewer override. Allowed values: 0, 50, or 100.</t>
      </text>
    </comment>
    <comment ref="D51" authorId="0" shapeId="0">
      <text>
        <t>Optional reviewer override. Allowed values: 0, 50, or 100.</t>
      </text>
    </comment>
    <comment ref="D52" authorId="0" shapeId="0">
      <text>
        <t>Optional reviewer override. Allowed values: 0, 50, or 100.</t>
      </text>
    </comment>
    <comment ref="D53" authorId="0" shapeId="0">
      <text>
        <t>Optional reviewer override. Allowed values: 0, 50, or 100.</t>
      </text>
    </comment>
    <comment ref="D54" authorId="0" shapeId="0">
      <text>
        <t>Optional reviewer override. Allowed values: 0, 50, or 100.</t>
      </text>
    </comment>
    <comment ref="D55" authorId="0" shapeId="0">
      <text>
        <t>Optional reviewer override. Allowed values: 0, 50, or 100.</t>
      </text>
    </comment>
    <comment ref="D56" authorId="0" shapeId="0">
      <text>
        <t>Optional reviewer override. Allowed values: 0, 50, or 100.</t>
      </text>
    </comment>
    <comment ref="D57" authorId="0" shapeId="0">
      <text>
        <t>Optional reviewer override. Allowed values: 0, 50, or 100.</t>
      </text>
    </comment>
    <comment ref="D58" authorId="0" shapeId="0">
      <text>
        <t>Optional reviewer override. Allowed values: 0, 50, or 100.</t>
      </text>
    </comment>
    <comment ref="D59" authorId="0" shapeId="0">
      <text>
        <t>Optional reviewer override. Allowed values: 0, 50, or 100.</t>
      </text>
    </comment>
    <comment ref="D60" authorId="0" shapeId="0">
      <text>
        <t>Optional reviewer override. Allowed values: 0, 50, or 100.</t>
      </text>
    </comment>
    <comment ref="D61" authorId="0" shapeId="0">
      <text>
        <t>Optional reviewer override. Allowed values: 0, 50, or 100.</t>
      </text>
    </comment>
    <comment ref="D62" authorId="0" shapeId="0">
      <text>
        <t>Optional reviewer override. Allowed values: 0, 50, or 100.</t>
      </text>
    </comment>
    <comment ref="D63" authorId="0" shapeId="0">
      <text>
        <t>Optional reviewer override. Allowed values: 0, 50, or 100.</t>
      </text>
    </comment>
    <comment ref="D64" authorId="0" shapeId="0">
      <text>
        <t>Optional reviewer override. Allowed values: 0, 50, or 100.</t>
      </text>
    </comment>
    <comment ref="D65" authorId="0" shapeId="0">
      <text>
        <t>Optional reviewer override. Allowed values: 0, 50, or 100.</t>
      </text>
    </comment>
    <comment ref="D66" authorId="0" shapeId="0">
      <text>
        <t>Optional reviewer override. Allowed values: 0, 50, or 100.</t>
      </text>
    </comment>
    <comment ref="D67" authorId="0" shapeId="0">
      <text>
        <t>Optional reviewer override. Allowed values: 0, 50, or 100.</t>
      </text>
    </comment>
    <comment ref="D68" authorId="0" shapeId="0">
      <text>
        <t>Optional reviewer override. Allowed values: 0, 50, or 100.</t>
      </text>
    </comment>
    <comment ref="D69" authorId="0" shapeId="0">
      <text>
        <t>Optional reviewer override. Allowed values: 0, 50, or 100.</t>
      </text>
    </comment>
    <comment ref="D70" authorId="0" shapeId="0">
      <text>
        <t>Optional reviewer override. Allowed values: 0, 50, or 100.</t>
      </text>
    </comment>
    <comment ref="D71" authorId="0" shapeId="0">
      <text>
        <t>Optional reviewer override. Allowed values: 0, 50, or 100.</t>
      </text>
    </comment>
    <comment ref="D72" authorId="0" shapeId="0">
      <text>
        <t>Optional reviewer override. Allowed values: 0, 50, or 100.</t>
      </text>
    </comment>
    <comment ref="D73" authorId="0" shapeId="0">
      <text>
        <t>Optional reviewer override. Allowed values: 0, 50, or 100.</t>
      </text>
    </comment>
    <comment ref="D74" authorId="0" shapeId="0">
      <text>
        <t>Optional reviewer override. Allowed values: 0, 50, or 100.</t>
      </text>
    </comment>
    <comment ref="D75" authorId="0" shapeId="0">
      <text>
        <t>Optional reviewer override. Allowed values: 0, 50, or 100.</t>
      </text>
    </comment>
    <comment ref="D76" authorId="0" shapeId="0">
      <text>
        <t>Optional reviewer override. Allowed values: 0, 50, or 100.</t>
      </text>
    </comment>
    <comment ref="D77" authorId="0" shapeId="0">
      <text>
        <t>Optional reviewer override. Allowed values: 0, 50, or 100.</t>
      </text>
    </comment>
    <comment ref="D78" authorId="0" shapeId="0">
      <text>
        <t>Optional reviewer override. Allowed values: 0, 50, or 100.</t>
      </text>
    </comment>
    <comment ref="D79" authorId="0" shapeId="0">
      <text>
        <t>Optional reviewer override. Allowed values: 0, 50, or 100.</t>
      </text>
    </comment>
    <comment ref="D80" authorId="0" shapeId="0">
      <text>
        <t>Optional reviewer override. Allowed values: 0, 50, or 100.</t>
      </text>
    </comment>
    <comment ref="D81" authorId="0" shapeId="0">
      <text>
        <t>Optional reviewer override. Allowed values: 0, 50, or 100.</t>
      </text>
    </comment>
    <comment ref="D82" authorId="0" shapeId="0">
      <text>
        <t>Optional reviewer override. Allowed values: 0, 50, or 100.</t>
      </text>
    </comment>
    <comment ref="D83" authorId="0" shapeId="0">
      <text>
        <t>Optional reviewer override. Allowed values: 0, 50, or 100.</t>
      </text>
    </comment>
    <comment ref="D84" authorId="0" shapeId="0">
      <text>
        <t>Optional reviewer override. Allowed values: 0, 50, or 100.</t>
      </text>
    </comment>
    <comment ref="D85" authorId="0" shapeId="0">
      <text>
        <t>Optional reviewer override. Allowed values: 0, 50, or 100.</t>
      </text>
    </comment>
    <comment ref="D86" authorId="0" shapeId="0">
      <text>
        <t>Optional reviewer override. Allowed values: 0, 50, or 100.</t>
      </text>
    </comment>
    <comment ref="D87" authorId="0" shapeId="0">
      <text>
        <t>Optional reviewer override. Allowed values: 0, 50, or 100.</t>
      </text>
    </comment>
    <comment ref="D88" authorId="0" shapeId="0">
      <text>
        <t>Optional reviewer override. Allowed values: 0, 50, or 100.</t>
      </text>
    </comment>
    <comment ref="D89" authorId="0" shapeId="0">
      <text>
        <t>Optional reviewer override. Allowed values: 0, 50, or 100.</t>
      </text>
    </comment>
    <comment ref="D90" authorId="0" shapeId="0">
      <text>
        <t>Optional reviewer override. Allowed values: 0, 50, or 100.</t>
      </text>
    </comment>
    <comment ref="D91" authorId="0" shapeId="0">
      <text>
        <t>Optional reviewer override. Allowed values: 0, 50, or 100.</t>
      </text>
    </comment>
    <comment ref="D92" authorId="0" shapeId="0">
      <text>
        <t>Optional reviewer override. Allowed values: 0, 50, or 100.</t>
      </text>
    </comment>
    <comment ref="D93" authorId="0" shapeId="0">
      <text>
        <t>Optional reviewer override. Allowed values: 0, 50, or 100.</t>
      </text>
    </comment>
    <comment ref="D94" authorId="0" shapeId="0">
      <text>
        <t>Optional reviewer override. Allowed values: 0, 50, or 100.</t>
      </text>
    </comment>
    <comment ref="D95" authorId="0" shapeId="0">
      <text>
        <t>Optional reviewer override. Allowed values: 0, 50, or 100.</t>
      </text>
    </comment>
    <comment ref="D96" authorId="0" shapeId="0">
      <text>
        <t>Optional reviewer override. Allowed values: 0, 50, or 100.</t>
      </text>
    </comment>
    <comment ref="D97" authorId="0" shapeId="0">
      <text>
        <t>Optional reviewer override. Allowed values: 0, 50, or 100.</t>
      </text>
    </comment>
    <comment ref="D98" authorId="0" shapeId="0">
      <text>
        <t>Optional reviewer override. Allowed values: 0, 50, or 100.</t>
      </text>
    </comment>
    <comment ref="D99" authorId="0" shapeId="0">
      <text>
        <t>Optional reviewer override. Allowed values: 0, 50, or 100.</t>
      </text>
    </comment>
    <comment ref="D100" authorId="0" shapeId="0">
      <text>
        <t>Optional reviewer override. Allowed values: 0, 50, or 100.</t>
      </text>
    </comment>
    <comment ref="D101" authorId="0" shapeId="0">
      <text>
        <t>Optional reviewer override. Allowed values: 0, 50, or 100.</t>
      </text>
    </comment>
    <comment ref="D102" authorId="0" shapeId="0">
      <text>
        <t>Optional reviewer override. Allowed values: 0, 50, or 100.</t>
      </text>
    </comment>
    <comment ref="D103" authorId="0" shapeId="0">
      <text>
        <t>Optional reviewer override. Allowed values: 0, 50, or 100.</t>
      </text>
    </comment>
    <comment ref="D104" authorId="0" shapeId="0">
      <text>
        <t>Optional reviewer override. Allowed values: 0, 50, or 100.</t>
      </text>
    </comment>
    <comment ref="D105" authorId="0" shapeId="0">
      <text>
        <t>Optional reviewer override. Allowed values: 0, 50, or 100.</t>
      </text>
    </comment>
    <comment ref="D106" authorId="0" shapeId="0">
      <text>
        <t>Optional reviewer override. Allowed values: 0, 50, or 100.</t>
      </text>
    </comment>
    <comment ref="D107" authorId="0" shapeId="0">
      <text>
        <t>Optional reviewer override. Allowed values: 0, 50, or 100.</t>
      </text>
    </comment>
    <comment ref="D108" authorId="0" shapeId="0">
      <text>
        <t>Optional reviewer override. Allowed values: 0, 50, or 100.</t>
      </text>
    </comment>
    <comment ref="D109" authorId="0" shapeId="0">
      <text>
        <t>Optional reviewer override. Allowed values: 0, 50, or 100.</t>
      </text>
    </comment>
    <comment ref="D110" authorId="0" shapeId="0">
      <text>
        <t>Optional reviewer override. Allowed values: 0, 50, or 100.</t>
      </text>
    </comment>
    <comment ref="D111" authorId="0" shapeId="0">
      <text>
        <t>Optional reviewer override. Allowed values: 0, 50, or 100.</t>
      </text>
    </comment>
    <comment ref="D112" authorId="0" shapeId="0">
      <text>
        <t>Optional reviewer override. Allowed values: 0, 50, or 100.</t>
      </text>
    </comment>
    <comment ref="D113" authorId="0" shapeId="0">
      <text>
        <t>Optional reviewer override. Allowed values: 0, 50, or 100.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105" customWidth="1" min="2" max="2"/>
  </cols>
  <sheetData>
    <row r="1" ht="32" customHeight="1">
      <c r="A1" s="1" t="inlineStr">
        <is>
          <t>Organizational Capacity: Final Equal-Weight Results</t>
        </is>
      </c>
      <c r="B1" s="1" t="inlineStr"/>
    </row>
    <row r="2">
      <c r="A2" s="2" t="inlineStr">
        <is>
          <t>Infrastructure entries</t>
        </is>
      </c>
      <c r="B2" s="2" t="n">
        <v>112</v>
      </c>
    </row>
    <row r="3">
      <c r="A3" s="2" t="inlineStr">
        <is>
          <t>Final metrics</t>
        </is>
      </c>
      <c r="B3" s="2" t="inlineStr">
        <is>
          <t>M1, M2, H1, I2, O1</t>
        </is>
      </c>
    </row>
    <row r="4">
      <c r="A4" s="2" t="inlineStr">
        <is>
          <t>Weight per metric</t>
        </is>
      </c>
      <c r="B4" s="2" t="inlineStr">
        <is>
          <t>20.00% (1/5)</t>
        </is>
      </c>
    </row>
    <row r="5">
      <c r="A5" s="2" t="inlineStr">
        <is>
          <t>Coverage / eligibility gate</t>
        </is>
      </c>
      <c r="B5" s="2" t="inlineStr">
        <is>
          <t>None</t>
        </is>
      </c>
    </row>
    <row r="6">
      <c r="A6" s="2" t="inlineStr">
        <is>
          <t>Missing, unknown, N/A</t>
        </is>
      </c>
      <c r="B6" s="2" t="inlineStr">
        <is>
          <t>Scored 0; denominator remains five</t>
        </is>
      </c>
    </row>
    <row r="7">
      <c r="A7" s="2" t="inlineStr">
        <is>
          <t>Mean score</t>
        </is>
      </c>
      <c r="B7" s="2">
        <f>AVERAGE(Scoring!O2:O113)</f>
        <v>57.2693452380952</v>
      </c>
    </row>
    <row r="8">
      <c r="A8" s="2" t="inlineStr">
        <is>
          <t>Median score</t>
        </is>
      </c>
      <c r="B8" s="2">
        <f>MEDIAN(Scoring!O2:O113)</f>
        <v>60</v>
      </c>
    </row>
    <row r="9">
      <c r="A9" s="2" t="inlineStr">
        <is>
          <t>Highest score</t>
        </is>
      </c>
      <c r="B9" s="2">
        <f>MAX(Scoring!O2:O113)</f>
        <v>95</v>
      </c>
    </row>
    <row r="10">
      <c r="A10" s="2" t="inlineStr">
        <is>
          <t>Lowest score</t>
        </is>
      </c>
      <c r="B10" s="2">
        <f>MIN(Scoring!O2:O113)</f>
        <v>20</v>
      </c>
    </row>
    <row r="11">
      <c r="A11" s="2" t="inlineStr">
        <is>
          <t>Important interpretation</t>
        </is>
      </c>
      <c r="B11" s="2" t="inlineStr">
        <is>
          <t>Zero-filled score reflects both reported capacity and missing information. Review metric-level scores and notes before interpreting rank differences.</t>
        </is>
      </c>
    </row>
    <row r="12">
      <c r="A12" s="2" t="inlineStr">
        <is>
          <t>Affiliation review</t>
        </is>
      </c>
      <c r="B12" s="2" t="inlineStr">
        <is>
          <t>Field 058 is free text. Use Verification to enter a corrected I2 score of 0, 50, or 100; scoring formulas update when opened/recalculated in Excel.</t>
        </is>
      </c>
    </row>
    <row r="13">
      <c r="A13" s="2" t="inlineStr">
        <is>
          <t>Mean observed coverage</t>
        </is>
      </c>
      <c r="B13" s="2">
        <f>AVERAGE(Coverage!J2:J113)</f>
        <v>0.714285714285714</v>
      </c>
    </row>
    <row r="14">
      <c r="A14" s="2" t="inlineStr">
        <is>
          <t>Entries with all five metrics observed</t>
        </is>
      </c>
      <c r="B14" s="2">
        <f>COUNTIF(Coverage!I2:I113,5)</f>
        <v>29</v>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2" customWidth="1" min="3" max="3"/>
    <col width="27" customWidth="1" min="4" max="4"/>
    <col width="23" customWidth="1" min="5" max="5"/>
    <col width="19" customWidth="1" min="6" max="6"/>
    <col width="17" customWidth="1" min="7" max="7"/>
    <col width="55" customWidth="1" min="8" max="8"/>
    <col width="50" customWidth="1" min="9" max="9"/>
    <col width="14" customWidth="1" min="10" max="10"/>
    <col width="14" customWidth="1" min="11" max="11"/>
    <col width="14" customWidth="1" min="12" max="12"/>
    <col width="14" customWidth="1" min="13" max="13"/>
    <col width="14" customWidth="1" min="14" max="14"/>
    <col width="18" customWidth="1" min="15" max="15"/>
    <col width="10" customWidth="1" min="16" max="16"/>
    <col width="62" customWidth="1" min="17" max="17"/>
    <col width="21" customWidth="1" min="18" max="18"/>
    <col width="18" customWidth="1" min="19" max="19"/>
    <col width="20" customWidth="1" min="20" max="20"/>
  </cols>
  <sheetData>
    <row r="1" ht="32" customHeight="1">
      <c r="A1" s="1" t="inlineStr">
        <is>
          <t>Service</t>
        </is>
      </c>
      <c r="B1" s="1" t="inlineStr">
        <is>
          <t>Provider</t>
        </is>
      </c>
      <c r="C1" s="1" t="inlineStr">
        <is>
          <t>Solution category</t>
        </is>
      </c>
      <c r="D1" s="1" t="inlineStr">
        <is>
          <t>079 Readiness</t>
        </is>
      </c>
      <c r="E1" s="1" t="inlineStr">
        <is>
          <t>080 Maintenance</t>
        </is>
      </c>
      <c r="F1" s="1" t="inlineStr">
        <is>
          <t>054 Full-time staff</t>
        </is>
      </c>
      <c r="G1" s="1" t="inlineStr">
        <is>
          <t>055 Volunteers</t>
        </is>
      </c>
      <c r="H1" s="1" t="inlineStr">
        <is>
          <t>058 Affiliations</t>
        </is>
      </c>
      <c r="I1" s="1" t="inlineStr">
        <is>
          <t>076 Service options</t>
        </is>
      </c>
      <c r="J1" s="1" t="inlineStr">
        <is>
          <t>M1</t>
        </is>
      </c>
      <c r="K1" s="1" t="inlineStr">
        <is>
          <t>M2</t>
        </is>
      </c>
      <c r="L1" s="1" t="inlineStr">
        <is>
          <t>H1</t>
        </is>
      </c>
      <c r="M1" s="1" t="inlineStr">
        <is>
          <t>I2</t>
        </is>
      </c>
      <c r="N1" s="1" t="inlineStr">
        <is>
          <t>O1</t>
        </is>
      </c>
      <c r="O1" s="1" t="inlineStr">
        <is>
          <t>Final score / 100</t>
        </is>
      </c>
      <c r="P1" s="1" t="inlineStr">
        <is>
          <t>Rank</t>
        </is>
      </c>
      <c r="Q1" s="1" t="inlineStr">
        <is>
          <t>Data-quality notes</t>
        </is>
      </c>
      <c r="R1" s="1" t="inlineStr">
        <is>
          <t>Available metrics (of 5)</t>
        </is>
      </c>
      <c r="S1" s="1" t="inlineStr">
        <is>
          <t>Observed coverage</t>
        </is>
      </c>
      <c r="T1" s="1" t="inlineStr">
        <is>
          <t>Observed-only mean</t>
        </is>
      </c>
    </row>
    <row r="2">
      <c r="A2" s="2" t="inlineStr">
        <is>
          <t>2i2c</t>
        </is>
      </c>
      <c r="B2" s="2" t="inlineStr">
        <is>
          <t>Code for Science and Society</t>
        </is>
      </c>
      <c r="C2" s="2" t="inlineStr">
        <is>
          <t>Authoring tool</t>
        </is>
      </c>
      <c r="D2" s="2" t="inlineStr">
        <is>
          <t>Actual system proven in operational environment</t>
        </is>
      </c>
      <c r="E2" s="2" t="inlineStr">
        <is>
          <t>Actively Maintained</t>
        </is>
      </c>
      <c r="F2" s="2" t="inlineStr"/>
      <c r="G2" s="2" t="inlineStr"/>
      <c r="H2" s="2" t="inlineStr"/>
      <c r="I2" s="2" t="inlineStr">
        <is>
          <t>Not applicable</t>
        </is>
      </c>
      <c r="J2" s="3">
        <f>Calc!B2</f>
        <v>100</v>
      </c>
      <c r="K2" s="3">
        <f>Calc!C2</f>
        <v>100</v>
      </c>
      <c r="L2" s="3">
        <f>Calc!F2</f>
        <v>0</v>
      </c>
      <c r="M2" s="3">
        <f>Verification!E2</f>
        <v>0</v>
      </c>
      <c r="N2" s="3">
        <f>Calc!I2</f>
        <v>0</v>
      </c>
      <c r="O2" s="3">
        <f>AVERAGE(J2:N2)</f>
        <v>40</v>
      </c>
      <c r="P2" s="2">
        <f>RANK.EQ(O2,$O$2:$O$113,0)</f>
        <v>83</v>
      </c>
      <c r="Q2" s="2" t="inlineStr">
        <is>
          <t>Full-time staffing missing/unknown scored 0; Volunteer staffing missing/unknown scored 0; Service-delivery field not applicable/unknown scored 0</t>
        </is>
      </c>
      <c r="R2" s="2">
        <f>Coverage!I2</f>
        <v>2</v>
      </c>
      <c r="S2" s="4">
        <f>Coverage!J2</f>
        <v>0.4</v>
      </c>
      <c r="T2" s="3">
        <f>Coverage!K2</f>
        <v>100</v>
      </c>
    </row>
    <row r="3">
      <c r="A3" s="2" t="inlineStr">
        <is>
          <t>Academic Preservation Trust (APTrust)</t>
        </is>
      </c>
      <c r="B3" s="2" t="inlineStr">
        <is>
          <t>Academic Preservation Trust (APTrust)</t>
        </is>
      </c>
      <c r="C3" s="2" t="inlineStr">
        <is>
          <t>Digital preservation service</t>
        </is>
      </c>
      <c r="D3" s="2" t="inlineStr">
        <is>
          <t>Actual system proven in operational environment</t>
        </is>
      </c>
      <c r="E3" s="2" t="inlineStr">
        <is>
          <t>Actively Maintained</t>
        </is>
      </c>
      <c r="F3" s="2" t="inlineStr">
        <is>
          <t>1-5</t>
        </is>
      </c>
      <c r="G3" s="2" t="inlineStr"/>
      <c r="H3" s="2" t="inlineStr">
        <is>
          <t>University of Virginia</t>
        </is>
      </c>
      <c r="I3" s="2" t="inlineStr">
        <is>
          <t>Through solution provider only</t>
        </is>
      </c>
      <c r="J3" s="3">
        <f>Calc!B3</f>
        <v>100</v>
      </c>
      <c r="K3" s="3">
        <f>Calc!C3</f>
        <v>100</v>
      </c>
      <c r="L3" s="3">
        <f>Calc!F3</f>
        <v>12.5</v>
      </c>
      <c r="M3" s="3">
        <f>Verification!E3</f>
        <v>50</v>
      </c>
      <c r="N3" s="3">
        <f>Calc!I3</f>
        <v>100</v>
      </c>
      <c r="O3" s="3">
        <f>AVERAGE(J3:N3)</f>
        <v>72.5</v>
      </c>
      <c r="P3" s="2">
        <f>RANK.EQ(O3,$O$2:$O$113,0)</f>
        <v>13</v>
      </c>
      <c r="Q3" s="2" t="inlineStr">
        <is>
          <t>Volunteer staffing missing/unknown scored 0; Review affiliation coding; override available</t>
        </is>
      </c>
      <c r="R3" s="2">
        <f>Coverage!I3</f>
        <v>5</v>
      </c>
      <c r="S3" s="4">
        <f>Coverage!J3</f>
        <v>1</v>
      </c>
      <c r="T3" s="3">
        <f>Coverage!K3</f>
        <v>75</v>
      </c>
    </row>
    <row r="4">
      <c r="A4" s="2" t="inlineStr">
        <is>
          <t>AfricArXiv</t>
        </is>
      </c>
      <c r="B4" s="2" t="inlineStr">
        <is>
          <t>UbuntuNet Alliance</t>
        </is>
      </c>
      <c r="C4" s="2" t="inlineStr">
        <is>
          <t>Repository service</t>
        </is>
      </c>
      <c r="D4" s="2" t="inlineStr">
        <is>
          <t>Actual system proven in operational environment</t>
        </is>
      </c>
      <c r="E4" s="2" t="inlineStr">
        <is>
          <t>Actively Maintained</t>
        </is>
      </c>
      <c r="F4" s="2" t="inlineStr">
        <is>
          <t>1-5</t>
        </is>
      </c>
      <c r="G4" s="2" t="inlineStr">
        <is>
          <t>1-5</t>
        </is>
      </c>
      <c r="H4" s="2" t="inlineStr">
        <is>
          <t>Access 2 Perspectives coordinates AfricArXiv’s operations. This includes managing day-to-day activities, overseeing submission processes, ensuring quality control, and facilitating the integration of AfricArXiv with other scholarly services</t>
        </is>
      </c>
      <c r="I4" s="2" t="inlineStr">
        <is>
          <t>Not applicable</t>
        </is>
      </c>
      <c r="J4" s="3">
        <f>Calc!B4</f>
        <v>100</v>
      </c>
      <c r="K4" s="3">
        <f>Calc!C4</f>
        <v>100</v>
      </c>
      <c r="L4" s="3">
        <f>Calc!F4</f>
        <v>25</v>
      </c>
      <c r="M4" s="3">
        <f>Verification!E4</f>
        <v>100</v>
      </c>
      <c r="N4" s="3">
        <f>Calc!I4</f>
        <v>0</v>
      </c>
      <c r="O4" s="3">
        <f>AVERAGE(J4:N4)</f>
        <v>65</v>
      </c>
      <c r="P4" s="2">
        <f>RANK.EQ(O4,$O$2:$O$113,0)</f>
        <v>31</v>
      </c>
      <c r="Q4" s="2" t="inlineStr">
        <is>
          <t>Review affiliation coding; override available; Service-delivery field not applicable/unknown scored 0</t>
        </is>
      </c>
      <c r="R4" s="2">
        <f>Coverage!I4</f>
        <v>4</v>
      </c>
      <c r="S4" s="4">
        <f>Coverage!J4</f>
        <v>0.8</v>
      </c>
      <c r="T4" s="3">
        <f>Coverage!K4</f>
        <v>81.25</v>
      </c>
    </row>
    <row r="5">
      <c r="A5" s="2" t="inlineStr">
        <is>
          <t>Arches Heritage Data Management Platform</t>
        </is>
      </c>
      <c r="B5" s="2" t="inlineStr">
        <is>
          <t>Getty Conservation Institute (GCI)</t>
        </is>
      </c>
      <c r="C5" s="2" t="inlineStr">
        <is>
          <t>Data management planning tool or service</t>
        </is>
      </c>
      <c r="D5" s="2" t="inlineStr">
        <is>
          <t>Actual system proven in operational environment</t>
        </is>
      </c>
      <c r="E5" s="2" t="inlineStr">
        <is>
          <t>Actively Maintained</t>
        </is>
      </c>
      <c r="F5" s="2" t="inlineStr"/>
      <c r="G5" s="2" t="inlineStr"/>
      <c r="H5" s="2" t="inlineStr">
        <is>
          <t>Getty Conservation Institute Farallon Geographics</t>
        </is>
      </c>
      <c r="I5" s="2" t="inlineStr">
        <is>
          <t>Through third party vendor only</t>
        </is>
      </c>
      <c r="J5" s="3">
        <f>Calc!B5</f>
        <v>100</v>
      </c>
      <c r="K5" s="3">
        <f>Calc!C5</f>
        <v>100</v>
      </c>
      <c r="L5" s="3">
        <f>Calc!F5</f>
        <v>0</v>
      </c>
      <c r="M5" s="3">
        <f>Verification!E5</f>
        <v>50</v>
      </c>
      <c r="N5" s="3">
        <f>Calc!I5</f>
        <v>100</v>
      </c>
      <c r="O5" s="3">
        <f>AVERAGE(J5:N5)</f>
        <v>70</v>
      </c>
      <c r="P5" s="2">
        <f>RANK.EQ(O5,$O$2:$O$113,0)</f>
        <v>19</v>
      </c>
      <c r="Q5" s="2" t="inlineStr">
        <is>
          <t>Full-time staffing missing/unknown scored 0; Volunteer staffing missing/unknown scored 0; Review affiliation coding; override available</t>
        </is>
      </c>
      <c r="R5" s="2">
        <f>Coverage!I5</f>
        <v>4</v>
      </c>
      <c r="S5" s="4">
        <f>Coverage!J5</f>
        <v>0.8</v>
      </c>
      <c r="T5" s="3">
        <f>Coverage!K5</f>
        <v>87.5</v>
      </c>
    </row>
    <row r="6">
      <c r="A6" s="2" t="inlineStr">
        <is>
          <t>Archipelago Commons</t>
        </is>
      </c>
      <c r="B6" s="2" t="inlineStr">
        <is>
          <t>Metropolitan New York Library Council</t>
        </is>
      </c>
      <c r="C6" s="2" t="inlineStr">
        <is>
          <t>Digital library, collection or exhibit platform | Repository software</t>
        </is>
      </c>
      <c r="D6" s="2" t="inlineStr">
        <is>
          <t>Actual system proven in operational environment</t>
        </is>
      </c>
      <c r="E6" s="2" t="inlineStr">
        <is>
          <t>Actively Maintained</t>
        </is>
      </c>
      <c r="F6" s="2" t="inlineStr"/>
      <c r="G6" s="2" t="inlineStr"/>
      <c r="H6" s="2" t="inlineStr"/>
      <c r="I6" s="2" t="inlineStr">
        <is>
          <t>Through solution provider or third party vendor</t>
        </is>
      </c>
      <c r="J6" s="3">
        <f>Calc!B6</f>
        <v>100</v>
      </c>
      <c r="K6" s="3">
        <f>Calc!C6</f>
        <v>100</v>
      </c>
      <c r="L6" s="3">
        <f>Calc!F6</f>
        <v>0</v>
      </c>
      <c r="M6" s="3">
        <f>Verification!E6</f>
        <v>0</v>
      </c>
      <c r="N6" s="3">
        <f>Calc!I6</f>
        <v>100</v>
      </c>
      <c r="O6" s="3">
        <f>AVERAGE(J6:N6)</f>
        <v>60</v>
      </c>
      <c r="P6" s="2">
        <f>RANK.EQ(O6,$O$2:$O$113,0)</f>
        <v>43</v>
      </c>
      <c r="Q6" s="2" t="inlineStr">
        <is>
          <t>Full-time staffing missing/unknown scored 0; Volunteer staffing missing/unknown scored 0</t>
        </is>
      </c>
      <c r="R6" s="2">
        <f>Coverage!I6</f>
        <v>3</v>
      </c>
      <c r="S6" s="4">
        <f>Coverage!J6</f>
        <v>0.6</v>
      </c>
      <c r="T6" s="3">
        <f>Coverage!K6</f>
        <v>100</v>
      </c>
    </row>
    <row r="7">
      <c r="A7" s="2" t="inlineStr">
        <is>
          <t>Archival Resource Key</t>
        </is>
      </c>
      <c r="B7" s="2" t="inlineStr">
        <is>
          <t>ARK Alliance</t>
        </is>
      </c>
      <c r="C7" s="2" t="inlineStr">
        <is>
          <t>Standard, specification or protocol</t>
        </is>
      </c>
      <c r="D7" s="2" t="inlineStr">
        <is>
          <t>Technology validated in relevant environment</t>
        </is>
      </c>
      <c r="E7" s="2" t="inlineStr">
        <is>
          <t>Actively Maintained</t>
        </is>
      </c>
      <c r="F7" s="2" t="inlineStr"/>
      <c r="G7" s="2" t="inlineStr"/>
      <c r="H7" s="2" t="inlineStr"/>
      <c r="I7" s="2" t="inlineStr">
        <is>
          <t>Not applicable</t>
        </is>
      </c>
      <c r="J7" s="3">
        <f>Calc!B7</f>
        <v>55.5555555555556</v>
      </c>
      <c r="K7" s="3">
        <f>Calc!C7</f>
        <v>100</v>
      </c>
      <c r="L7" s="3">
        <f>Calc!F7</f>
        <v>0</v>
      </c>
      <c r="M7" s="3">
        <f>Verification!E7</f>
        <v>0</v>
      </c>
      <c r="N7" s="3">
        <f>Calc!I7</f>
        <v>0</v>
      </c>
      <c r="O7" s="3">
        <f>AVERAGE(J7:N7)</f>
        <v>31.1111111111111</v>
      </c>
      <c r="P7" s="2">
        <f>RANK.EQ(O7,$O$2:$O$113,0)</f>
        <v>110</v>
      </c>
      <c r="Q7" s="2" t="inlineStr">
        <is>
          <t>Full-time staffing missing/unknown scored 0; Volunteer staffing missing/unknown scored 0; Service-delivery field not applicable/unknown scored 0</t>
        </is>
      </c>
      <c r="R7" s="2">
        <f>Coverage!I7</f>
        <v>2</v>
      </c>
      <c r="S7" s="4">
        <f>Coverage!J7</f>
        <v>0.4</v>
      </c>
      <c r="T7" s="3">
        <f>Coverage!K7</f>
        <v>77.7777777777778</v>
      </c>
    </row>
    <row r="8">
      <c r="A8" s="2" t="inlineStr">
        <is>
          <t>Archivematica</t>
        </is>
      </c>
      <c r="B8" s="2" t="inlineStr">
        <is>
          <t>Artefactual</t>
        </is>
      </c>
      <c r="C8" s="2" t="inlineStr">
        <is>
          <t>Digital preservation system</t>
        </is>
      </c>
      <c r="D8" s="2" t="inlineStr">
        <is>
          <t>Actual system proven in operational environment</t>
        </is>
      </c>
      <c r="E8" s="2" t="inlineStr">
        <is>
          <t>Actively Maintained</t>
        </is>
      </c>
      <c r="F8" s="2" t="inlineStr">
        <is>
          <t>More than 20</t>
        </is>
      </c>
      <c r="G8" s="2" t="inlineStr"/>
      <c r="H8" s="2" t="inlineStr">
        <is>
          <t>No Affiliations</t>
        </is>
      </c>
      <c r="I8" s="2" t="inlineStr">
        <is>
          <t>Through solution provider or third party vendor</t>
        </is>
      </c>
      <c r="J8" s="3">
        <f>Calc!B8</f>
        <v>100</v>
      </c>
      <c r="K8" s="3">
        <f>Calc!C8</f>
        <v>100</v>
      </c>
      <c r="L8" s="3">
        <f>Calc!F8</f>
        <v>50</v>
      </c>
      <c r="M8" s="3">
        <f>Verification!E8</f>
        <v>0</v>
      </c>
      <c r="N8" s="3">
        <f>Calc!I8</f>
        <v>100</v>
      </c>
      <c r="O8" s="3">
        <f>AVERAGE(J8:N8)</f>
        <v>70</v>
      </c>
      <c r="P8" s="2">
        <f>RANK.EQ(O8,$O$2:$O$113,0)</f>
        <v>19</v>
      </c>
      <c r="Q8" s="2" t="inlineStr">
        <is>
          <t>Volunteer staffing missing/unknown scored 0; Review affiliation coding; override available</t>
        </is>
      </c>
      <c r="R8" s="2">
        <f>Coverage!I8</f>
        <v>5</v>
      </c>
      <c r="S8" s="4">
        <f>Coverage!J8</f>
        <v>1</v>
      </c>
      <c r="T8" s="3">
        <f>Coverage!K8</f>
        <v>80</v>
      </c>
    </row>
    <row r="9">
      <c r="A9" s="2" t="inlineStr">
        <is>
          <t>ArchivesSpace</t>
        </is>
      </c>
      <c r="B9" s="2" t="inlineStr">
        <is>
          <t>ArchivesSpace</t>
        </is>
      </c>
      <c r="C9" s="2" t="inlineStr">
        <is>
          <t>Archive information management system | Discovery system</t>
        </is>
      </c>
      <c r="D9" s="2" t="inlineStr">
        <is>
          <t>Actual system proven in operational environment</t>
        </is>
      </c>
      <c r="E9" s="2" t="inlineStr">
        <is>
          <t>Actively Maintained</t>
        </is>
      </c>
      <c r="F9" s="2" t="inlineStr">
        <is>
          <t>6-10</t>
        </is>
      </c>
      <c r="G9" s="2" t="inlineStr"/>
      <c r="H9" s="2" t="inlineStr">
        <is>
          <t>New York University and the University of California San Diego are the founding partners and have permanent seats on the Board; Lyrasis is the organizational home</t>
        </is>
      </c>
      <c r="I9" s="2" t="inlineStr">
        <is>
          <t>Through third party vendor only</t>
        </is>
      </c>
      <c r="J9" s="3">
        <f>Calc!B9</f>
        <v>100</v>
      </c>
      <c r="K9" s="3">
        <f>Calc!C9</f>
        <v>100</v>
      </c>
      <c r="L9" s="3">
        <f>Calc!F9</f>
        <v>25</v>
      </c>
      <c r="M9" s="3">
        <f>Verification!E9</f>
        <v>100</v>
      </c>
      <c r="N9" s="3">
        <f>Calc!I9</f>
        <v>100</v>
      </c>
      <c r="O9" s="3">
        <f>AVERAGE(J9:N9)</f>
        <v>85</v>
      </c>
      <c r="P9" s="2">
        <f>RANK.EQ(O9,$O$2:$O$113,0)</f>
        <v>3</v>
      </c>
      <c r="Q9" s="2" t="inlineStr">
        <is>
          <t>Volunteer staffing missing/unknown scored 0; Review affiliation coding; override available</t>
        </is>
      </c>
      <c r="R9" s="2">
        <f>Coverage!I9</f>
        <v>5</v>
      </c>
      <c r="S9" s="4">
        <f>Coverage!J9</f>
        <v>1</v>
      </c>
      <c r="T9" s="3">
        <f>Coverage!K9</f>
        <v>90</v>
      </c>
    </row>
    <row r="10">
      <c r="A10" s="2" t="inlineStr">
        <is>
          <t>ARGOS</t>
        </is>
      </c>
      <c r="B10" s="2" t="inlineStr">
        <is>
          <t>OpenAIRE</t>
        </is>
      </c>
      <c r="C10" s="2" t="inlineStr">
        <is>
          <t>Data management planning tool or service</t>
        </is>
      </c>
      <c r="D10" s="2" t="inlineStr">
        <is>
          <t>Actual system proven in operational environment</t>
        </is>
      </c>
      <c r="E10" s="2" t="inlineStr">
        <is>
          <t>Actively Maintained</t>
        </is>
      </c>
      <c r="F10" s="2" t="inlineStr"/>
      <c r="G10" s="2" t="inlineStr"/>
      <c r="H10" s="2" t="inlineStr">
        <is>
          <t>Athena Research Center (ARC) Communication &amp; Information Technologies Experts (CITE)</t>
        </is>
      </c>
      <c r="I10" s="2" t="inlineStr">
        <is>
          <t>Through solution provider only</t>
        </is>
      </c>
      <c r="J10" s="3">
        <f>Calc!B10</f>
        <v>100</v>
      </c>
      <c r="K10" s="3">
        <f>Calc!C10</f>
        <v>100</v>
      </c>
      <c r="L10" s="3">
        <f>Calc!F10</f>
        <v>0</v>
      </c>
      <c r="M10" s="3">
        <f>Verification!E10</f>
        <v>50</v>
      </c>
      <c r="N10" s="3">
        <f>Calc!I10</f>
        <v>100</v>
      </c>
      <c r="O10" s="3">
        <f>AVERAGE(J10:N10)</f>
        <v>70</v>
      </c>
      <c r="P10" s="2">
        <f>RANK.EQ(O10,$O$2:$O$113,0)</f>
        <v>19</v>
      </c>
      <c r="Q10" s="2" t="inlineStr">
        <is>
          <t>Full-time staffing missing/unknown scored 0; Volunteer staffing missing/unknown scored 0; Review affiliation coding; override available</t>
        </is>
      </c>
      <c r="R10" s="2">
        <f>Coverage!I10</f>
        <v>4</v>
      </c>
      <c r="S10" s="4">
        <f>Coverage!J10</f>
        <v>0.8</v>
      </c>
      <c r="T10" s="3">
        <f>Coverage!K10</f>
        <v>87.5</v>
      </c>
    </row>
    <row r="11">
      <c r="A11" s="2" t="inlineStr">
        <is>
          <t>arXiv</t>
        </is>
      </c>
      <c r="B11" s="2" t="inlineStr">
        <is>
          <t>Cornell University</t>
        </is>
      </c>
      <c r="C11" s="2" t="inlineStr">
        <is>
          <t>Repository service</t>
        </is>
      </c>
      <c r="D11" s="2" t="inlineStr">
        <is>
          <t>Actual system proven in operational environment</t>
        </is>
      </c>
      <c r="E11" s="2" t="inlineStr">
        <is>
          <t>Actively Maintained</t>
        </is>
      </c>
      <c r="F11" s="2" t="inlineStr"/>
      <c r="G11" s="2" t="inlineStr"/>
      <c r="H11" s="2" t="inlineStr"/>
      <c r="I11" s="2" t="inlineStr">
        <is>
          <t>Not applicable</t>
        </is>
      </c>
      <c r="J11" s="3">
        <f>Calc!B11</f>
        <v>100</v>
      </c>
      <c r="K11" s="3">
        <f>Calc!C11</f>
        <v>100</v>
      </c>
      <c r="L11" s="3">
        <f>Calc!F11</f>
        <v>0</v>
      </c>
      <c r="M11" s="3">
        <f>Verification!E11</f>
        <v>0</v>
      </c>
      <c r="N11" s="3">
        <f>Calc!I11</f>
        <v>0</v>
      </c>
      <c r="O11" s="3">
        <f>AVERAGE(J11:N11)</f>
        <v>40</v>
      </c>
      <c r="P11" s="2">
        <f>RANK.EQ(O11,$O$2:$O$113,0)</f>
        <v>83</v>
      </c>
      <c r="Q11" s="2" t="inlineStr">
        <is>
          <t>Full-time staffing missing/unknown scored 0; Volunteer staffing missing/unknown scored 0; Service-delivery field not applicable/unknown scored 0</t>
        </is>
      </c>
      <c r="R11" s="2">
        <f>Coverage!I11</f>
        <v>2</v>
      </c>
      <c r="S11" s="4">
        <f>Coverage!J11</f>
        <v>0.4</v>
      </c>
      <c r="T11" s="3">
        <f>Coverage!K11</f>
        <v>100</v>
      </c>
    </row>
    <row r="12">
      <c r="A12" s="2" t="inlineStr">
        <is>
          <t>AtoM</t>
        </is>
      </c>
      <c r="B12" s="2" t="inlineStr">
        <is>
          <t>Artefactual</t>
        </is>
      </c>
      <c r="C12" s="2" t="inlineStr">
        <is>
          <t>Archive information management system</t>
        </is>
      </c>
      <c r="D12" s="2" t="inlineStr">
        <is>
          <t>Actual system proven in operational environment</t>
        </is>
      </c>
      <c r="E12" s="2" t="inlineStr">
        <is>
          <t>Actively Maintained</t>
        </is>
      </c>
      <c r="F12" s="2" t="inlineStr">
        <is>
          <t>More than 20</t>
        </is>
      </c>
      <c r="G12" s="2" t="inlineStr">
        <is>
          <t>Unknown</t>
        </is>
      </c>
      <c r="H12" s="2" t="inlineStr">
        <is>
          <t>No affiliations</t>
        </is>
      </c>
      <c r="I12" s="2" t="inlineStr">
        <is>
          <t>Through solution provider or third party vendor</t>
        </is>
      </c>
      <c r="J12" s="3">
        <f>Calc!B12</f>
        <v>100</v>
      </c>
      <c r="K12" s="3">
        <f>Calc!C12</f>
        <v>100</v>
      </c>
      <c r="L12" s="3">
        <f>Calc!F12</f>
        <v>50</v>
      </c>
      <c r="M12" s="3">
        <f>Verification!E12</f>
        <v>0</v>
      </c>
      <c r="N12" s="3">
        <f>Calc!I12</f>
        <v>100</v>
      </c>
      <c r="O12" s="3">
        <f>AVERAGE(J12:N12)</f>
        <v>70</v>
      </c>
      <c r="P12" s="2">
        <f>RANK.EQ(O12,$O$2:$O$113,0)</f>
        <v>19</v>
      </c>
      <c r="Q12" s="2" t="inlineStr">
        <is>
          <t>Review affiliation coding; override available</t>
        </is>
      </c>
      <c r="R12" s="2">
        <f>Coverage!I12</f>
        <v>5</v>
      </c>
      <c r="S12" s="4">
        <f>Coverage!J12</f>
        <v>1</v>
      </c>
      <c r="T12" s="3">
        <f>Coverage!K12</f>
        <v>80</v>
      </c>
    </row>
    <row r="13">
      <c r="A13" s="2" t="inlineStr">
        <is>
          <t>Avalon Media System</t>
        </is>
      </c>
      <c r="B13" s="2" t="inlineStr">
        <is>
          <t>Indiana University Libraries</t>
        </is>
      </c>
      <c r="C13" s="2" t="inlineStr">
        <is>
          <t>Digital library, collection or exhibit platform | Repository software</t>
        </is>
      </c>
      <c r="D13" s="2" t="inlineStr">
        <is>
          <t>Actual system proven in operational environment</t>
        </is>
      </c>
      <c r="E13" s="2" t="inlineStr">
        <is>
          <t>Actively Maintained</t>
        </is>
      </c>
      <c r="F13" s="2" t="inlineStr">
        <is>
          <t>1-5</t>
        </is>
      </c>
      <c r="G13" s="2" t="inlineStr"/>
      <c r="H13" s="2" t="inlineStr">
        <is>
          <t>Indiana University Libraries</t>
        </is>
      </c>
      <c r="I13" s="2" t="inlineStr">
        <is>
          <t>No services available</t>
        </is>
      </c>
      <c r="J13" s="3">
        <f>Calc!B13</f>
        <v>100</v>
      </c>
      <c r="K13" s="3">
        <f>Calc!C13</f>
        <v>100</v>
      </c>
      <c r="L13" s="3">
        <f>Calc!F13</f>
        <v>12.5</v>
      </c>
      <c r="M13" s="3">
        <f>Verification!E13</f>
        <v>50</v>
      </c>
      <c r="N13" s="3">
        <f>Calc!I13</f>
        <v>0</v>
      </c>
      <c r="O13" s="3">
        <f>AVERAGE(J13:N13)</f>
        <v>52.5</v>
      </c>
      <c r="P13" s="2">
        <f>RANK.EQ(O13,$O$2:$O$113,0)</f>
        <v>69</v>
      </c>
      <c r="Q13" s="2" t="inlineStr">
        <is>
          <t>Volunteer staffing missing/unknown scored 0; Review affiliation coding; override available</t>
        </is>
      </c>
      <c r="R13" s="2">
        <f>Coverage!I13</f>
        <v>5</v>
      </c>
      <c r="S13" s="4">
        <f>Coverage!J13</f>
        <v>1</v>
      </c>
      <c r="T13" s="3">
        <f>Coverage!K13</f>
        <v>55</v>
      </c>
    </row>
    <row r="14">
      <c r="A14" s="2" t="inlineStr">
        <is>
          <t>Biodiversity Heritage Library</t>
        </is>
      </c>
      <c r="B14" s="2" t="inlineStr">
        <is>
          <t>BHL Consortium</t>
        </is>
      </c>
      <c r="C14" s="2" t="inlineStr">
        <is>
          <t>Digital library, collection or exhibit platform | Open scholarly dataset | Repository service</t>
        </is>
      </c>
      <c r="D14" s="2" t="inlineStr">
        <is>
          <t>Actual system proven in operational environment</t>
        </is>
      </c>
      <c r="E14" s="2" t="inlineStr">
        <is>
          <t>Actively Maintained</t>
        </is>
      </c>
      <c r="F14" s="2" t="inlineStr">
        <is>
          <t>1-5</t>
        </is>
      </c>
      <c r="G14" s="2" t="inlineStr"/>
      <c r="H14" s="2" t="inlineStr">
        <is>
          <t>BHL’s fiscal sponsor is the Council on Library and Information Resources (CLIR).</t>
        </is>
      </c>
      <c r="I14" s="2" t="inlineStr">
        <is>
          <t>Not applicable</t>
        </is>
      </c>
      <c r="J14" s="3">
        <f>Calc!B14</f>
        <v>100</v>
      </c>
      <c r="K14" s="3">
        <f>Calc!C14</f>
        <v>100</v>
      </c>
      <c r="L14" s="3">
        <f>Calc!F14</f>
        <v>12.5</v>
      </c>
      <c r="M14" s="3">
        <f>Verification!E14</f>
        <v>100</v>
      </c>
      <c r="N14" s="3">
        <f>Calc!I14</f>
        <v>0</v>
      </c>
      <c r="O14" s="3">
        <f>AVERAGE(J14:N14)</f>
        <v>62.5</v>
      </c>
      <c r="P14" s="2">
        <f>RANK.EQ(O14,$O$2:$O$113,0)</f>
        <v>37</v>
      </c>
      <c r="Q14" s="2" t="inlineStr">
        <is>
          <t>Volunteer staffing missing/unknown scored 0; Review affiliation coding; override available; Service-delivery field not applicable/unknown scored 0</t>
        </is>
      </c>
      <c r="R14" s="2">
        <f>Coverage!I14</f>
        <v>4</v>
      </c>
      <c r="S14" s="4">
        <f>Coverage!J14</f>
        <v>0.8</v>
      </c>
      <c r="T14" s="3">
        <f>Coverage!K14</f>
        <v>81.25</v>
      </c>
    </row>
    <row r="15">
      <c r="A15" s="2" t="inlineStr">
        <is>
          <t>bioRxiv</t>
        </is>
      </c>
      <c r="B15" s="2" t="inlineStr">
        <is>
          <t>Cold Spring Harbor Laboratory</t>
        </is>
      </c>
      <c r="C15" s="2" t="inlineStr">
        <is>
          <t>Repository service</t>
        </is>
      </c>
      <c r="D15" s="2" t="inlineStr">
        <is>
          <t>Actual system proven in operational environment</t>
        </is>
      </c>
      <c r="E15" s="2" t="inlineStr">
        <is>
          <t>Actively Maintained</t>
        </is>
      </c>
      <c r="F15" s="2" t="inlineStr"/>
      <c r="G15" s="2" t="inlineStr"/>
      <c r="H15" s="2" t="inlineStr"/>
      <c r="I15" s="2" t="inlineStr">
        <is>
          <t>Not applicable</t>
        </is>
      </c>
      <c r="J15" s="3">
        <f>Calc!B15</f>
        <v>100</v>
      </c>
      <c r="K15" s="3">
        <f>Calc!C15</f>
        <v>100</v>
      </c>
      <c r="L15" s="3">
        <f>Calc!F15</f>
        <v>0</v>
      </c>
      <c r="M15" s="3">
        <f>Verification!E15</f>
        <v>0</v>
      </c>
      <c r="N15" s="3">
        <f>Calc!I15</f>
        <v>0</v>
      </c>
      <c r="O15" s="3">
        <f>AVERAGE(J15:N15)</f>
        <v>40</v>
      </c>
      <c r="P15" s="2">
        <f>RANK.EQ(O15,$O$2:$O$113,0)</f>
        <v>83</v>
      </c>
      <c r="Q15" s="2" t="inlineStr">
        <is>
          <t>Full-time staffing missing/unknown scored 0; Volunteer staffing missing/unknown scored 0; Service-delivery field not applicable/unknown scored 0</t>
        </is>
      </c>
      <c r="R15" s="2">
        <f>Coverage!I15</f>
        <v>2</v>
      </c>
      <c r="S15" s="4">
        <f>Coverage!J15</f>
        <v>0.4</v>
      </c>
      <c r="T15" s="3">
        <f>Coverage!K15</f>
        <v>100</v>
      </c>
    </row>
    <row r="16">
      <c r="A16" s="2" t="inlineStr">
        <is>
          <t>BitCurator Environment</t>
        </is>
      </c>
      <c r="B16" s="2" t="inlineStr">
        <is>
          <t>BitCurator Consortium</t>
        </is>
      </c>
      <c r="C16" s="2" t="inlineStr">
        <is>
          <t>Digital preservation tool</t>
        </is>
      </c>
      <c r="D16" s="2" t="inlineStr">
        <is>
          <t>Actual system proven in operational environment</t>
        </is>
      </c>
      <c r="E16" s="2" t="inlineStr">
        <is>
          <t>Actively Maintained</t>
        </is>
      </c>
      <c r="F16" s="2" t="inlineStr">
        <is>
          <t>0</t>
        </is>
      </c>
      <c r="G16" s="2" t="inlineStr">
        <is>
          <t>6-10</t>
        </is>
      </c>
      <c r="H16" s="2" t="inlineStr">
        <is>
          <t>BitCurator Consortium is administratively hosted by the Open Library Foundation.</t>
        </is>
      </c>
      <c r="I16" s="2" t="inlineStr">
        <is>
          <t>No services available</t>
        </is>
      </c>
      <c r="J16" s="3">
        <f>Calc!B16</f>
        <v>100</v>
      </c>
      <c r="K16" s="3">
        <f>Calc!C16</f>
        <v>100</v>
      </c>
      <c r="L16" s="3">
        <f>Calc!F16</f>
        <v>25</v>
      </c>
      <c r="M16" s="3">
        <f>Verification!E16</f>
        <v>100</v>
      </c>
      <c r="N16" s="3">
        <f>Calc!I16</f>
        <v>0</v>
      </c>
      <c r="O16" s="3">
        <f>AVERAGE(J16:N16)</f>
        <v>65</v>
      </c>
      <c r="P16" s="2">
        <f>RANK.EQ(O16,$O$2:$O$113,0)</f>
        <v>31</v>
      </c>
      <c r="Q16" s="2" t="inlineStr">
        <is>
          <t>Review affiliation coding; override available</t>
        </is>
      </c>
      <c r="R16" s="2">
        <f>Coverage!I16</f>
        <v>5</v>
      </c>
      <c r="S16" s="4">
        <f>Coverage!J16</f>
        <v>1</v>
      </c>
      <c r="T16" s="3">
        <f>Coverage!K16</f>
        <v>65</v>
      </c>
    </row>
    <row r="17">
      <c r="A17" s="2" t="inlineStr">
        <is>
          <t>Blacklight</t>
        </is>
      </c>
      <c r="B17" s="2" t="inlineStr">
        <is>
          <t>Blacklight</t>
        </is>
      </c>
      <c r="C17" s="2" t="inlineStr">
        <is>
          <t>Discovery system | Integrated Library System (ILS) or Library Services Platform (LSP)</t>
        </is>
      </c>
      <c r="D17" s="2" t="inlineStr">
        <is>
          <t>Actual system proven in operational environment</t>
        </is>
      </c>
      <c r="E17" s="2" t="inlineStr">
        <is>
          <t>Actively Maintained</t>
        </is>
      </c>
      <c r="F17" s="2" t="inlineStr">
        <is>
          <t>6-10</t>
        </is>
      </c>
      <c r="G17" s="2" t="inlineStr"/>
      <c r="H17" s="2" t="inlineStr">
        <is>
          <t>See website</t>
        </is>
      </c>
      <c r="I17" s="2" t="inlineStr">
        <is>
          <t>Through solution provider only</t>
        </is>
      </c>
      <c r="J17" s="3">
        <f>Calc!B17</f>
        <v>100</v>
      </c>
      <c r="K17" s="3">
        <f>Calc!C17</f>
        <v>100</v>
      </c>
      <c r="L17" s="3">
        <f>Calc!F17</f>
        <v>25</v>
      </c>
      <c r="M17" s="3">
        <f>Verification!E17</f>
        <v>0</v>
      </c>
      <c r="N17" s="3">
        <f>Calc!I17</f>
        <v>100</v>
      </c>
      <c r="O17" s="3">
        <f>AVERAGE(J17:N17)</f>
        <v>65</v>
      </c>
      <c r="P17" s="2">
        <f>RANK.EQ(O17,$O$2:$O$113,0)</f>
        <v>31</v>
      </c>
      <c r="Q17" s="2" t="inlineStr">
        <is>
          <t>Volunteer staffing missing/unknown scored 0; Review affiliation coding; override available</t>
        </is>
      </c>
      <c r="R17" s="2">
        <f>Coverage!I17</f>
        <v>4</v>
      </c>
      <c r="S17" s="4">
        <f>Coverage!J17</f>
        <v>0.8</v>
      </c>
      <c r="T17" s="3">
        <f>Coverage!K17</f>
        <v>87.5</v>
      </c>
    </row>
    <row r="18">
      <c r="A18" s="2" t="inlineStr">
        <is>
          <t>BrCRIS</t>
        </is>
      </c>
      <c r="B18" s="2" t="inlineStr">
        <is>
          <t>IBICT</t>
        </is>
      </c>
      <c r="C18" s="2" t="inlineStr">
        <is>
          <t>Discovery system | Research profiling system</t>
        </is>
      </c>
      <c r="D18" s="2" t="inlineStr">
        <is>
          <t>Actual system proven in operational environment</t>
        </is>
      </c>
      <c r="E18" s="2" t="inlineStr">
        <is>
          <t>Actively Maintained</t>
        </is>
      </c>
      <c r="F18" s="2" t="inlineStr"/>
      <c r="G18" s="2" t="inlineStr"/>
      <c r="H18" s="2" t="inlineStr"/>
      <c r="I18" s="2" t="inlineStr">
        <is>
          <t>Not applicable</t>
        </is>
      </c>
      <c r="J18" s="3">
        <f>Calc!B18</f>
        <v>100</v>
      </c>
      <c r="K18" s="3">
        <f>Calc!C18</f>
        <v>100</v>
      </c>
      <c r="L18" s="3">
        <f>Calc!F18</f>
        <v>0</v>
      </c>
      <c r="M18" s="3">
        <f>Verification!E18</f>
        <v>0</v>
      </c>
      <c r="N18" s="3">
        <f>Calc!I18</f>
        <v>0</v>
      </c>
      <c r="O18" s="3">
        <f>AVERAGE(J18:N18)</f>
        <v>40</v>
      </c>
      <c r="P18" s="2">
        <f>RANK.EQ(O18,$O$2:$O$113,0)</f>
        <v>83</v>
      </c>
      <c r="Q18" s="2" t="inlineStr">
        <is>
          <t>Full-time staffing missing/unknown scored 0; Volunteer staffing missing/unknown scored 0; Service-delivery field not applicable/unknown scored 0</t>
        </is>
      </c>
      <c r="R18" s="2">
        <f>Coverage!I18</f>
        <v>2</v>
      </c>
      <c r="S18" s="4">
        <f>Coverage!J18</f>
        <v>0.4</v>
      </c>
      <c r="T18" s="3">
        <f>Coverage!K18</f>
        <v>100</v>
      </c>
    </row>
    <row r="19">
      <c r="A19" s="2" t="inlineStr">
        <is>
          <t>Browsertrix</t>
        </is>
      </c>
      <c r="B19" s="2" t="inlineStr">
        <is>
          <t>Webrecorder</t>
        </is>
      </c>
      <c r="C19" s="2" t="inlineStr">
        <is>
          <t>Digital library, collection or exhibit platform | Web archiving system</t>
        </is>
      </c>
      <c r="D19" s="2" t="inlineStr">
        <is>
          <t>Actual system proven in operational environment</t>
        </is>
      </c>
      <c r="E19" s="2" t="inlineStr">
        <is>
          <t>Actively Maintained</t>
        </is>
      </c>
      <c r="F19" s="2" t="inlineStr">
        <is>
          <t>1-5</t>
        </is>
      </c>
      <c r="G19" s="2" t="inlineStr">
        <is>
          <t>0</t>
        </is>
      </c>
      <c r="H19" s="2" t="inlineStr">
        <is>
          <t>No affiliations have direct involvement in governing or running our products except us. We are members of the International Internet Preservation Consortium (IIPC).</t>
        </is>
      </c>
      <c r="I19" s="2" t="inlineStr">
        <is>
          <t>Through solution provider or third party vendor</t>
        </is>
      </c>
      <c r="J19" s="3">
        <f>Calc!B19</f>
        <v>100</v>
      </c>
      <c r="K19" s="3">
        <f>Calc!C19</f>
        <v>100</v>
      </c>
      <c r="L19" s="3">
        <f>Calc!F19</f>
        <v>12.5</v>
      </c>
      <c r="M19" s="3">
        <f>Verification!E19</f>
        <v>50</v>
      </c>
      <c r="N19" s="3">
        <f>Calc!I19</f>
        <v>100</v>
      </c>
      <c r="O19" s="3">
        <f>AVERAGE(J19:N19)</f>
        <v>72.5</v>
      </c>
      <c r="P19" s="2">
        <f>RANK.EQ(O19,$O$2:$O$113,0)</f>
        <v>13</v>
      </c>
      <c r="Q19" s="2" t="inlineStr">
        <is>
          <t>Review affiliation coding; override available</t>
        </is>
      </c>
      <c r="R19" s="2">
        <f>Coverage!I19</f>
        <v>5</v>
      </c>
      <c r="S19" s="4">
        <f>Coverage!J19</f>
        <v>1</v>
      </c>
      <c r="T19" s="3">
        <f>Coverage!K19</f>
        <v>72.5</v>
      </c>
    </row>
    <row r="20">
      <c r="A20" s="2" t="inlineStr">
        <is>
          <t>CLOCKSS</t>
        </is>
      </c>
      <c r="B20" s="2" t="inlineStr">
        <is>
          <t>CLOCKSS</t>
        </is>
      </c>
      <c r="C20" s="2" t="inlineStr">
        <is>
          <t>Digital preservation service</t>
        </is>
      </c>
      <c r="D20" s="2" t="inlineStr">
        <is>
          <t>Actual system proven in operational environment</t>
        </is>
      </c>
      <c r="E20" s="2" t="inlineStr">
        <is>
          <t>Actively Maintained</t>
        </is>
      </c>
      <c r="F20" s="2" t="inlineStr">
        <is>
          <t>1-5</t>
        </is>
      </c>
      <c r="G20" s="2" t="inlineStr">
        <is>
          <t>0</t>
        </is>
      </c>
      <c r="H20" s="2" t="inlineStr">
        <is>
          <t>n/a</t>
        </is>
      </c>
      <c r="I20" s="2" t="inlineStr">
        <is>
          <t>Through solution provider or third party vendor</t>
        </is>
      </c>
      <c r="J20" s="3">
        <f>Calc!B20</f>
        <v>100</v>
      </c>
      <c r="K20" s="3">
        <f>Calc!C20</f>
        <v>100</v>
      </c>
      <c r="L20" s="3">
        <f>Calc!F20</f>
        <v>12.5</v>
      </c>
      <c r="M20" s="3">
        <f>Verification!E20</f>
        <v>0</v>
      </c>
      <c r="N20" s="3">
        <f>Calc!I20</f>
        <v>100</v>
      </c>
      <c r="O20" s="3">
        <f>AVERAGE(J20:N20)</f>
        <v>62.5</v>
      </c>
      <c r="P20" s="2">
        <f>RANK.EQ(O20,$O$2:$O$113,0)</f>
        <v>37</v>
      </c>
      <c r="Q20" s="2" t="inlineStr">
        <is>
          <t>Review affiliation coding; override available</t>
        </is>
      </c>
      <c r="R20" s="2">
        <f>Coverage!I20</f>
        <v>4</v>
      </c>
      <c r="S20" s="4">
        <f>Coverage!J20</f>
        <v>0.8</v>
      </c>
      <c r="T20" s="3">
        <f>Coverage!K20</f>
        <v>78.125</v>
      </c>
    </row>
    <row r="21">
      <c r="A21" s="2" t="inlineStr">
        <is>
          <t>COAR International Repository Directory (IRD)</t>
        </is>
      </c>
      <c r="B21" s="2" t="inlineStr">
        <is>
          <t>COAR</t>
        </is>
      </c>
      <c r="C21" s="2" t="inlineStr">
        <is>
          <t>Index or directory</t>
        </is>
      </c>
      <c r="D21" s="2" t="inlineStr">
        <is>
          <t>Actual system proven in operational environment</t>
        </is>
      </c>
      <c r="E21" s="2" t="inlineStr">
        <is>
          <t>Actively Maintained</t>
        </is>
      </c>
      <c r="F21" s="2" t="inlineStr">
        <is>
          <t>1-5</t>
        </is>
      </c>
      <c r="G21" s="2" t="inlineStr"/>
      <c r="H21" s="2" t="inlineStr">
        <is>
          <t>Responsible Organisations: https://ird.coar-repositories.org/about?lang=en</t>
        </is>
      </c>
      <c r="I21" s="2" t="inlineStr">
        <is>
          <t>Not applicable</t>
        </is>
      </c>
      <c r="J21" s="3">
        <f>Calc!B21</f>
        <v>100</v>
      </c>
      <c r="K21" s="3">
        <f>Calc!C21</f>
        <v>100</v>
      </c>
      <c r="L21" s="3">
        <f>Calc!F21</f>
        <v>12.5</v>
      </c>
      <c r="M21" s="3">
        <f>Verification!E21</f>
        <v>50</v>
      </c>
      <c r="N21" s="3">
        <f>Calc!I21</f>
        <v>0</v>
      </c>
      <c r="O21" s="3">
        <f>AVERAGE(J21:N21)</f>
        <v>52.5</v>
      </c>
      <c r="P21" s="2">
        <f>RANK.EQ(O21,$O$2:$O$113,0)</f>
        <v>69</v>
      </c>
      <c r="Q21" s="2" t="inlineStr">
        <is>
          <t>Volunteer staffing missing/unknown scored 0; Review affiliation coding; override available; Service-delivery field not applicable/unknown scored 0</t>
        </is>
      </c>
      <c r="R21" s="2">
        <f>Coverage!I21</f>
        <v>4</v>
      </c>
      <c r="S21" s="4">
        <f>Coverage!J21</f>
        <v>0.8</v>
      </c>
      <c r="T21" s="3">
        <f>Coverage!K21</f>
        <v>68.75</v>
      </c>
    </row>
    <row r="22">
      <c r="A22" s="2" t="inlineStr">
        <is>
          <t>COAR Notify</t>
        </is>
      </c>
      <c r="B22" s="2" t="inlineStr">
        <is>
          <t>COAR</t>
        </is>
      </c>
      <c r="C22" s="2" t="inlineStr">
        <is>
          <t>Standard, specification or protocol</t>
        </is>
      </c>
      <c r="D22" s="2" t="inlineStr">
        <is>
          <t>Actual system proven in operational environment</t>
        </is>
      </c>
      <c r="E22" s="2" t="inlineStr">
        <is>
          <t>Actively Maintained</t>
        </is>
      </c>
      <c r="F22" s="2" t="inlineStr"/>
      <c r="G22" s="2" t="inlineStr"/>
      <c r="H22" s="2" t="inlineStr">
        <is>
          <t>No affiliations.</t>
        </is>
      </c>
      <c r="I22" s="2" t="inlineStr">
        <is>
          <t>Through solution provider or third party vendor</t>
        </is>
      </c>
      <c r="J22" s="3">
        <f>Calc!B22</f>
        <v>100</v>
      </c>
      <c r="K22" s="3">
        <f>Calc!C22</f>
        <v>100</v>
      </c>
      <c r="L22" s="3">
        <f>Calc!F22</f>
        <v>0</v>
      </c>
      <c r="M22" s="3">
        <f>Verification!E22</f>
        <v>0</v>
      </c>
      <c r="N22" s="3">
        <f>Calc!I22</f>
        <v>100</v>
      </c>
      <c r="O22" s="3">
        <f>AVERAGE(J22:N22)</f>
        <v>60</v>
      </c>
      <c r="P22" s="2">
        <f>RANK.EQ(O22,$O$2:$O$113,0)</f>
        <v>43</v>
      </c>
      <c r="Q22" s="2" t="inlineStr">
        <is>
          <t>Full-time staffing missing/unknown scored 0; Volunteer staffing missing/unknown scored 0; Review affiliation coding; override available</t>
        </is>
      </c>
      <c r="R22" s="2">
        <f>Coverage!I22</f>
        <v>4</v>
      </c>
      <c r="S22" s="4">
        <f>Coverage!J22</f>
        <v>0.8</v>
      </c>
      <c r="T22" s="3">
        <f>Coverage!K22</f>
        <v>75</v>
      </c>
    </row>
    <row r="23">
      <c r="A23" s="2" t="inlineStr">
        <is>
          <t>CollectiveAccess</t>
        </is>
      </c>
      <c r="B23" s="2" t="inlineStr">
        <is>
          <t>Whirl-i-Gig</t>
        </is>
      </c>
      <c r="C23" s="2" t="inlineStr">
        <is>
          <t>Archive information management system | Digital asset management system | Digital library, collection or exhibit platform</t>
        </is>
      </c>
      <c r="D23" s="2" t="inlineStr">
        <is>
          <t>Actual system proven in operational environment</t>
        </is>
      </c>
      <c r="E23" s="2" t="inlineStr">
        <is>
          <t>Actively Maintained</t>
        </is>
      </c>
      <c r="F23" s="2" t="inlineStr">
        <is>
          <t>6-10</t>
        </is>
      </c>
      <c r="G23" s="2" t="inlineStr">
        <is>
          <t>0</t>
        </is>
      </c>
      <c r="H23" s="2" t="inlineStr">
        <is>
          <t>No affiliations</t>
        </is>
      </c>
      <c r="I23" s="2" t="inlineStr">
        <is>
          <t>Through solution provider or third party vendor</t>
        </is>
      </c>
      <c r="J23" s="3">
        <f>Calc!B23</f>
        <v>100</v>
      </c>
      <c r="K23" s="3">
        <f>Calc!C23</f>
        <v>100</v>
      </c>
      <c r="L23" s="3">
        <f>Calc!F23</f>
        <v>25</v>
      </c>
      <c r="M23" s="3">
        <f>Verification!E23</f>
        <v>0</v>
      </c>
      <c r="N23" s="3">
        <f>Calc!I23</f>
        <v>100</v>
      </c>
      <c r="O23" s="3">
        <f>AVERAGE(J23:N23)</f>
        <v>65</v>
      </c>
      <c r="P23" s="2">
        <f>RANK.EQ(O23,$O$2:$O$113,0)</f>
        <v>31</v>
      </c>
      <c r="Q23" s="2" t="inlineStr">
        <is>
          <t>Review affiliation coding; override available</t>
        </is>
      </c>
      <c r="R23" s="2">
        <f>Coverage!I23</f>
        <v>5</v>
      </c>
      <c r="S23" s="4">
        <f>Coverage!J23</f>
        <v>1</v>
      </c>
      <c r="T23" s="3">
        <f>Coverage!K23</f>
        <v>65</v>
      </c>
    </row>
    <row r="24">
      <c r="A24" s="2" t="inlineStr">
        <is>
          <t>CORE</t>
        </is>
      </c>
      <c r="B24" s="2" t="inlineStr">
        <is>
          <t>The Open University</t>
        </is>
      </c>
      <c r="C24" s="2" t="inlineStr">
        <is>
          <t>Discovery system</t>
        </is>
      </c>
      <c r="D24" s="2" t="inlineStr">
        <is>
          <t>Actual system proven in operational environment</t>
        </is>
      </c>
      <c r="E24" s="2" t="inlineStr">
        <is>
          <t>Actively Maintained</t>
        </is>
      </c>
      <c r="F24" s="2" t="inlineStr"/>
      <c r="G24" s="2" t="inlineStr"/>
      <c r="H24" s="2" t="inlineStr"/>
      <c r="I24" s="2" t="inlineStr">
        <is>
          <t>Not applicable</t>
        </is>
      </c>
      <c r="J24" s="3">
        <f>Calc!B24</f>
        <v>100</v>
      </c>
      <c r="K24" s="3">
        <f>Calc!C24</f>
        <v>100</v>
      </c>
      <c r="L24" s="3">
        <f>Calc!F24</f>
        <v>0</v>
      </c>
      <c r="M24" s="3">
        <f>Verification!E24</f>
        <v>0</v>
      </c>
      <c r="N24" s="3">
        <f>Calc!I24</f>
        <v>0</v>
      </c>
      <c r="O24" s="3">
        <f>AVERAGE(J24:N24)</f>
        <v>40</v>
      </c>
      <c r="P24" s="2">
        <f>RANK.EQ(O24,$O$2:$O$113,0)</f>
        <v>83</v>
      </c>
      <c r="Q24" s="2" t="inlineStr">
        <is>
          <t>Full-time staffing missing/unknown scored 0; Volunteer staffing missing/unknown scored 0; Service-delivery field not applicable/unknown scored 0</t>
        </is>
      </c>
      <c r="R24" s="2">
        <f>Coverage!I24</f>
        <v>2</v>
      </c>
      <c r="S24" s="4">
        <f>Coverage!J24</f>
        <v>0.4</v>
      </c>
      <c r="T24" s="3">
        <f>Coverage!K24</f>
        <v>100</v>
      </c>
    </row>
    <row r="25">
      <c r="A25" s="2" t="inlineStr">
        <is>
          <t>COUNTER Code of Practice</t>
        </is>
      </c>
      <c r="B25" s="2" t="inlineStr">
        <is>
          <t>COUNTER Metrics</t>
        </is>
      </c>
      <c r="C25" s="2" t="inlineStr">
        <is>
          <t>Standard, specification or protocol</t>
        </is>
      </c>
      <c r="D25" s="2" t="inlineStr">
        <is>
          <t>Actual system proven in operational environment</t>
        </is>
      </c>
      <c r="E25" s="2" t="inlineStr">
        <is>
          <t>Actively Maintained</t>
        </is>
      </c>
      <c r="F25" s="2" t="inlineStr"/>
      <c r="G25" s="2" t="inlineStr"/>
      <c r="H25" s="2" t="inlineStr"/>
      <c r="I25" s="2" t="inlineStr">
        <is>
          <t>Not applicable</t>
        </is>
      </c>
      <c r="J25" s="3">
        <f>Calc!B25</f>
        <v>100</v>
      </c>
      <c r="K25" s="3">
        <f>Calc!C25</f>
        <v>100</v>
      </c>
      <c r="L25" s="3">
        <f>Calc!F25</f>
        <v>0</v>
      </c>
      <c r="M25" s="3">
        <f>Verification!E25</f>
        <v>0</v>
      </c>
      <c r="N25" s="3">
        <f>Calc!I25</f>
        <v>0</v>
      </c>
      <c r="O25" s="3">
        <f>AVERAGE(J25:N25)</f>
        <v>40</v>
      </c>
      <c r="P25" s="2">
        <f>RANK.EQ(O25,$O$2:$O$113,0)</f>
        <v>83</v>
      </c>
      <c r="Q25" s="2" t="inlineStr">
        <is>
          <t>Full-time staffing missing/unknown scored 0; Volunteer staffing missing/unknown scored 0; Service-delivery field not applicable/unknown scored 0</t>
        </is>
      </c>
      <c r="R25" s="2">
        <f>Coverage!I25</f>
        <v>2</v>
      </c>
      <c r="S25" s="4">
        <f>Coverage!J25</f>
        <v>0.4</v>
      </c>
      <c r="T25" s="3">
        <f>Coverage!K25</f>
        <v>100</v>
      </c>
    </row>
    <row r="26">
      <c r="A26" s="2" t="inlineStr">
        <is>
          <t>Creative Commons Licenses</t>
        </is>
      </c>
      <c r="B26" s="2" t="inlineStr">
        <is>
          <t>Creative Commons</t>
        </is>
      </c>
      <c r="C26" s="2" t="inlineStr">
        <is>
          <t>Standard, specification or protocol</t>
        </is>
      </c>
      <c r="D26" s="2" t="inlineStr">
        <is>
          <t>System complete and qualified</t>
        </is>
      </c>
      <c r="E26" s="2" t="inlineStr">
        <is>
          <t>Actively Maintained</t>
        </is>
      </c>
      <c r="F26" s="2" t="inlineStr"/>
      <c r="G26" s="2" t="inlineStr"/>
      <c r="H26" s="2" t="inlineStr"/>
      <c r="I26" s="2" t="inlineStr">
        <is>
          <t>Not applicable</t>
        </is>
      </c>
      <c r="J26" s="3">
        <f>Calc!B26</f>
        <v>88.8888888888889</v>
      </c>
      <c r="K26" s="3">
        <f>Calc!C26</f>
        <v>100</v>
      </c>
      <c r="L26" s="3">
        <f>Calc!F26</f>
        <v>0</v>
      </c>
      <c r="M26" s="3">
        <f>Verification!E26</f>
        <v>0</v>
      </c>
      <c r="N26" s="3">
        <f>Calc!I26</f>
        <v>0</v>
      </c>
      <c r="O26" s="3">
        <f>AVERAGE(J26:N26)</f>
        <v>37.7777777777778</v>
      </c>
      <c r="P26" s="2">
        <f>RANK.EQ(O26,$O$2:$O$113,0)</f>
        <v>108</v>
      </c>
      <c r="Q26" s="2" t="inlineStr">
        <is>
          <t>Full-time staffing missing/unknown scored 0; Volunteer staffing missing/unknown scored 0; Service-delivery field not applicable/unknown scored 0</t>
        </is>
      </c>
      <c r="R26" s="2">
        <f>Coverage!I26</f>
        <v>2</v>
      </c>
      <c r="S26" s="4">
        <f>Coverage!J26</f>
        <v>0.4</v>
      </c>
      <c r="T26" s="3">
        <f>Coverage!K26</f>
        <v>94.4444444444444</v>
      </c>
    </row>
    <row r="27">
      <c r="A27" s="2" t="inlineStr">
        <is>
          <t>Crossref Metadata Retrieval</t>
        </is>
      </c>
      <c r="B27" s="2" t="inlineStr">
        <is>
          <t>Crossref</t>
        </is>
      </c>
      <c r="C27" s="2" t="inlineStr">
        <is>
          <t>Open scholarly dataset</t>
        </is>
      </c>
      <c r="D27" s="2" t="inlineStr">
        <is>
          <t>Actual system proven in operational environment</t>
        </is>
      </c>
      <c r="E27" s="2" t="inlineStr">
        <is>
          <t>Actively Maintained</t>
        </is>
      </c>
      <c r="F27" s="2" t="inlineStr"/>
      <c r="G27" s="2" t="inlineStr"/>
      <c r="H27" s="2" t="inlineStr"/>
      <c r="I27" s="2" t="inlineStr">
        <is>
          <t>Not applicable</t>
        </is>
      </c>
      <c r="J27" s="3">
        <f>Calc!B27</f>
        <v>100</v>
      </c>
      <c r="K27" s="3">
        <f>Calc!C27</f>
        <v>100</v>
      </c>
      <c r="L27" s="3">
        <f>Calc!F27</f>
        <v>0</v>
      </c>
      <c r="M27" s="3">
        <f>Verification!E27</f>
        <v>0</v>
      </c>
      <c r="N27" s="3">
        <f>Calc!I27</f>
        <v>0</v>
      </c>
      <c r="O27" s="3">
        <f>AVERAGE(J27:N27)</f>
        <v>40</v>
      </c>
      <c r="P27" s="2">
        <f>RANK.EQ(O27,$O$2:$O$113,0)</f>
        <v>83</v>
      </c>
      <c r="Q27" s="2" t="inlineStr">
        <is>
          <t>Full-time staffing missing/unknown scored 0; Volunteer staffing missing/unknown scored 0; Service-delivery field not applicable/unknown scored 0</t>
        </is>
      </c>
      <c r="R27" s="2">
        <f>Coverage!I27</f>
        <v>2</v>
      </c>
      <c r="S27" s="4">
        <f>Coverage!J27</f>
        <v>0.4</v>
      </c>
      <c r="T27" s="3">
        <f>Coverage!K27</f>
        <v>100</v>
      </c>
    </row>
    <row r="28">
      <c r="A28" s="2" t="inlineStr">
        <is>
          <t>D4Science Infrastructure</t>
        </is>
      </c>
      <c r="B28" s="2" t="inlineStr">
        <is>
          <t>National Research Council of Italy</t>
        </is>
      </c>
      <c r="C28" s="2" t="inlineStr">
        <is>
          <t>Computing framework | Informal scholarly communications | Repository service</t>
        </is>
      </c>
      <c r="D28" s="2" t="inlineStr">
        <is>
          <t>Actual system proven in operational environment</t>
        </is>
      </c>
      <c r="E28" s="2" t="inlineStr">
        <is>
          <t>Actively Maintained</t>
        </is>
      </c>
      <c r="F28" s="2" t="inlineStr">
        <is>
          <t>6-10</t>
        </is>
      </c>
      <c r="G28" s="2" t="inlineStr">
        <is>
          <t>More than 20</t>
        </is>
      </c>
      <c r="H28" s="2" t="inlineStr">
        <is>
          <t>D4Science is managed by the Italian National Research Council (CNR). Its headquarters are hosted by CNR's Institute of Information Science and Technologies "A. Faedo" (CNR-ISTI) in Pisa, Tuscany, Italy.</t>
        </is>
      </c>
      <c r="I28" s="2" t="inlineStr">
        <is>
          <t>Through solution provider only</t>
        </is>
      </c>
      <c r="J28" s="3">
        <f>Calc!B28</f>
        <v>100</v>
      </c>
      <c r="K28" s="3">
        <f>Calc!C28</f>
        <v>100</v>
      </c>
      <c r="L28" s="3">
        <f>Calc!F28</f>
        <v>75</v>
      </c>
      <c r="M28" s="3">
        <f>Verification!E28</f>
        <v>100</v>
      </c>
      <c r="N28" s="3">
        <f>Calc!I28</f>
        <v>100</v>
      </c>
      <c r="O28" s="3">
        <f>AVERAGE(J28:N28)</f>
        <v>95</v>
      </c>
      <c r="P28" s="2">
        <f>RANK.EQ(O28,$O$2:$O$113,0)</f>
        <v>1</v>
      </c>
      <c r="Q28" s="2" t="inlineStr">
        <is>
          <t>Review affiliation coding; override available</t>
        </is>
      </c>
      <c r="R28" s="2">
        <f>Coverage!I28</f>
        <v>5</v>
      </c>
      <c r="S28" s="4">
        <f>Coverage!J28</f>
        <v>1</v>
      </c>
      <c r="T28" s="3">
        <f>Coverage!K28</f>
        <v>95</v>
      </c>
    </row>
    <row r="29">
      <c r="A29" s="2" t="inlineStr">
        <is>
          <t>DART (Digital Archivist's Resource Tool)</t>
        </is>
      </c>
      <c r="B29" s="2" t="inlineStr">
        <is>
          <t>Academic Preservation Trust (APTrust)</t>
        </is>
      </c>
      <c r="C29" s="2" t="inlineStr">
        <is>
          <t>Digital preservation tool</t>
        </is>
      </c>
      <c r="D29" s="2" t="inlineStr">
        <is>
          <t>Actual system proven in operational environment</t>
        </is>
      </c>
      <c r="E29" s="2" t="inlineStr">
        <is>
          <t>Actively Maintained</t>
        </is>
      </c>
      <c r="F29" s="2" t="inlineStr">
        <is>
          <t>1-5</t>
        </is>
      </c>
      <c r="G29" s="2" t="inlineStr"/>
      <c r="H29" s="2" t="inlineStr">
        <is>
          <t>University of Virginia</t>
        </is>
      </c>
      <c r="I29" s="2" t="inlineStr">
        <is>
          <t>No services available</t>
        </is>
      </c>
      <c r="J29" s="3">
        <f>Calc!B29</f>
        <v>100</v>
      </c>
      <c r="K29" s="3">
        <f>Calc!C29</f>
        <v>100</v>
      </c>
      <c r="L29" s="3">
        <f>Calc!F29</f>
        <v>12.5</v>
      </c>
      <c r="M29" s="3">
        <f>Verification!E29</f>
        <v>50</v>
      </c>
      <c r="N29" s="3">
        <f>Calc!I29</f>
        <v>0</v>
      </c>
      <c r="O29" s="3">
        <f>AVERAGE(J29:N29)</f>
        <v>52.5</v>
      </c>
      <c r="P29" s="2">
        <f>RANK.EQ(O29,$O$2:$O$113,0)</f>
        <v>69</v>
      </c>
      <c r="Q29" s="2" t="inlineStr">
        <is>
          <t>Volunteer staffing missing/unknown scored 0; Review affiliation coding; override available</t>
        </is>
      </c>
      <c r="R29" s="2">
        <f>Coverage!I29</f>
        <v>5</v>
      </c>
      <c r="S29" s="4">
        <f>Coverage!J29</f>
        <v>1</v>
      </c>
      <c r="T29" s="3">
        <f>Coverage!K29</f>
        <v>55</v>
      </c>
    </row>
    <row r="30">
      <c r="A30" s="2" t="inlineStr">
        <is>
          <t>Database Information System</t>
        </is>
      </c>
      <c r="B30" s="2" t="inlineStr">
        <is>
          <t>University Library of Regensburg</t>
        </is>
      </c>
      <c r="C30" s="2" t="inlineStr">
        <is>
          <t>Discovery system | Index or directory</t>
        </is>
      </c>
      <c r="D30" s="2" t="inlineStr">
        <is>
          <t>Actual system proven in operational environment</t>
        </is>
      </c>
      <c r="E30" s="2" t="inlineStr">
        <is>
          <t>Actively Maintained</t>
        </is>
      </c>
      <c r="F30" s="2" t="inlineStr"/>
      <c r="G30" s="2" t="inlineStr"/>
      <c r="H30" s="2" t="inlineStr">
        <is>
          <t>DBIS is operated by the University Library of Regensburg.</t>
        </is>
      </c>
      <c r="I30" s="2" t="inlineStr">
        <is>
          <t>Through solution provider or third party vendor</t>
        </is>
      </c>
      <c r="J30" s="3">
        <f>Calc!B30</f>
        <v>100</v>
      </c>
      <c r="K30" s="3">
        <f>Calc!C30</f>
        <v>100</v>
      </c>
      <c r="L30" s="3">
        <f>Calc!F30</f>
        <v>0</v>
      </c>
      <c r="M30" s="3">
        <f>Verification!E30</f>
        <v>50</v>
      </c>
      <c r="N30" s="3">
        <f>Calc!I30</f>
        <v>100</v>
      </c>
      <c r="O30" s="3">
        <f>AVERAGE(J30:N30)</f>
        <v>70</v>
      </c>
      <c r="P30" s="2">
        <f>RANK.EQ(O30,$O$2:$O$113,0)</f>
        <v>19</v>
      </c>
      <c r="Q30" s="2" t="inlineStr">
        <is>
          <t>Full-time staffing missing/unknown scored 0; Volunteer staffing missing/unknown scored 0; Review affiliation coding; override available</t>
        </is>
      </c>
      <c r="R30" s="2">
        <f>Coverage!I30</f>
        <v>4</v>
      </c>
      <c r="S30" s="4">
        <f>Coverage!J30</f>
        <v>0.8</v>
      </c>
      <c r="T30" s="3">
        <f>Coverage!K30</f>
        <v>87.5</v>
      </c>
    </row>
    <row r="31">
      <c r="A31" s="2" t="inlineStr">
        <is>
          <t>Data Citation Corpus</t>
        </is>
      </c>
      <c r="B31" s="2" t="inlineStr">
        <is>
          <t>Make Data Count</t>
        </is>
      </c>
      <c r="C31" s="2" t="inlineStr">
        <is>
          <t>Discovery system | Open scholarly dataset</t>
        </is>
      </c>
      <c r="D31" s="2" t="inlineStr">
        <is>
          <t>Technology validated in relevant environment</t>
        </is>
      </c>
      <c r="E31" s="2" t="inlineStr">
        <is>
          <t>Actively Maintained</t>
        </is>
      </c>
      <c r="F31" s="2" t="inlineStr"/>
      <c r="G31" s="2" t="inlineStr">
        <is>
          <t>11-20</t>
        </is>
      </c>
      <c r="H31" s="2" t="inlineStr">
        <is>
          <t>DataCite leads the development of the Data Citation Corpus as part of Make Data Count activities.</t>
        </is>
      </c>
      <c r="I31" s="2" t="inlineStr">
        <is>
          <t>Not applicable</t>
        </is>
      </c>
      <c r="J31" s="3">
        <f>Calc!B31</f>
        <v>55.5555555555556</v>
      </c>
      <c r="K31" s="3">
        <f>Calc!C31</f>
        <v>100</v>
      </c>
      <c r="L31" s="3">
        <f>Calc!F31</f>
        <v>37.5</v>
      </c>
      <c r="M31" s="3">
        <f>Verification!E31</f>
        <v>50</v>
      </c>
      <c r="N31" s="3">
        <f>Calc!I31</f>
        <v>0</v>
      </c>
      <c r="O31" s="3">
        <f>AVERAGE(J31:N31)</f>
        <v>48.6111111111111</v>
      </c>
      <c r="P31" s="2">
        <f>RANK.EQ(O31,$O$2:$O$113,0)</f>
        <v>80</v>
      </c>
      <c r="Q31" s="2" t="inlineStr">
        <is>
          <t>Full-time staffing missing/unknown scored 0; Review affiliation coding; override available; Service-delivery field not applicable/unknown scored 0</t>
        </is>
      </c>
      <c r="R31" s="2">
        <f>Coverage!I31</f>
        <v>4</v>
      </c>
      <c r="S31" s="4">
        <f>Coverage!J31</f>
        <v>0.8</v>
      </c>
      <c r="T31" s="3">
        <f>Coverage!K31</f>
        <v>70.1388888888889</v>
      </c>
    </row>
    <row r="32">
      <c r="A32" s="2" t="inlineStr">
        <is>
          <t>DataCite</t>
        </is>
      </c>
      <c r="B32" s="2" t="inlineStr">
        <is>
          <t>DataCite</t>
        </is>
      </c>
      <c r="C32" s="2" t="inlineStr">
        <is>
          <t>Discovery system | Persistent identifier service</t>
        </is>
      </c>
      <c r="D32" s="2" t="inlineStr">
        <is>
          <t>Actual system proven in operational environment</t>
        </is>
      </c>
      <c r="E32" s="2" t="inlineStr">
        <is>
          <t>Actively Maintained</t>
        </is>
      </c>
      <c r="F32" s="2" t="inlineStr"/>
      <c r="G32" s="2" t="inlineStr"/>
      <c r="H32" s="2" t="inlineStr"/>
      <c r="I32" s="2" t="inlineStr">
        <is>
          <t>Not applicable</t>
        </is>
      </c>
      <c r="J32" s="3">
        <f>Calc!B32</f>
        <v>100</v>
      </c>
      <c r="K32" s="3">
        <f>Calc!C32</f>
        <v>100</v>
      </c>
      <c r="L32" s="3">
        <f>Calc!F32</f>
        <v>0</v>
      </c>
      <c r="M32" s="3">
        <f>Verification!E32</f>
        <v>0</v>
      </c>
      <c r="N32" s="3">
        <f>Calc!I32</f>
        <v>0</v>
      </c>
      <c r="O32" s="3">
        <f>AVERAGE(J32:N32)</f>
        <v>40</v>
      </c>
      <c r="P32" s="2">
        <f>RANK.EQ(O32,$O$2:$O$113,0)</f>
        <v>83</v>
      </c>
      <c r="Q32" s="2" t="inlineStr">
        <is>
          <t>Full-time staffing missing/unknown scored 0; Volunteer staffing missing/unknown scored 0; Service-delivery field not applicable/unknown scored 0</t>
        </is>
      </c>
      <c r="R32" s="2">
        <f>Coverage!I32</f>
        <v>2</v>
      </c>
      <c r="S32" s="4">
        <f>Coverage!J32</f>
        <v>0.4</v>
      </c>
      <c r="T32" s="3">
        <f>Coverage!K32</f>
        <v>100</v>
      </c>
    </row>
    <row r="33">
      <c r="A33" s="2" t="inlineStr">
        <is>
          <t>Data Stewardship Wizard</t>
        </is>
      </c>
      <c r="B33" s="2" t="inlineStr">
        <is>
          <t>DSW Team</t>
        </is>
      </c>
      <c r="C33" s="2" t="inlineStr">
        <is>
          <t>Data management planning tool or service</t>
        </is>
      </c>
      <c r="D33" s="2" t="inlineStr">
        <is>
          <t>Actual system proven in operational environment</t>
        </is>
      </c>
      <c r="E33" s="2" t="inlineStr">
        <is>
          <t>Actively Maintained</t>
        </is>
      </c>
      <c r="F33" s="2" t="inlineStr"/>
      <c r="G33" s="2" t="inlineStr"/>
      <c r="H33" s="2" t="inlineStr">
        <is>
          <t>Czech Technical University in Prague / ELIXIR-CZ Codevence Solutions</t>
        </is>
      </c>
      <c r="I33" s="2" t="inlineStr">
        <is>
          <t>Through third party vendor only</t>
        </is>
      </c>
      <c r="J33" s="3">
        <f>Calc!B33</f>
        <v>100</v>
      </c>
      <c r="K33" s="3">
        <f>Calc!C33</f>
        <v>100</v>
      </c>
      <c r="L33" s="3">
        <f>Calc!F33</f>
        <v>0</v>
      </c>
      <c r="M33" s="3">
        <f>Verification!E33</f>
        <v>50</v>
      </c>
      <c r="N33" s="3">
        <f>Calc!I33</f>
        <v>100</v>
      </c>
      <c r="O33" s="3">
        <f>AVERAGE(J33:N33)</f>
        <v>70</v>
      </c>
      <c r="P33" s="2">
        <f>RANK.EQ(O33,$O$2:$O$113,0)</f>
        <v>19</v>
      </c>
      <c r="Q33" s="2" t="inlineStr">
        <is>
          <t>Full-time staffing missing/unknown scored 0; Volunteer staffing missing/unknown scored 0; Review affiliation coding; override available</t>
        </is>
      </c>
      <c r="R33" s="2">
        <f>Coverage!I33</f>
        <v>4</v>
      </c>
      <c r="S33" s="4">
        <f>Coverage!J33</f>
        <v>0.8</v>
      </c>
      <c r="T33" s="3">
        <f>Coverage!K33</f>
        <v>87.5</v>
      </c>
    </row>
    <row r="34">
      <c r="A34" s="2" t="inlineStr">
        <is>
          <t>Dataverse</t>
        </is>
      </c>
      <c r="B34" s="2" t="inlineStr">
        <is>
          <t>Harvard University Institute for Quantitative Social Science (IQSS)</t>
        </is>
      </c>
      <c r="C34" s="2" t="inlineStr">
        <is>
          <t>Repository software</t>
        </is>
      </c>
      <c r="D34" s="2" t="inlineStr">
        <is>
          <t>Actual system proven in operational environment</t>
        </is>
      </c>
      <c r="E34" s="2" t="inlineStr">
        <is>
          <t>Actively Maintained</t>
        </is>
      </c>
      <c r="F34" s="2" t="inlineStr"/>
      <c r="G34" s="2" t="inlineStr"/>
      <c r="H34" s="2" t="inlineStr"/>
      <c r="I34" s="2" t="inlineStr">
        <is>
          <t>Through third party vendor only</t>
        </is>
      </c>
      <c r="J34" s="3">
        <f>Calc!B34</f>
        <v>100</v>
      </c>
      <c r="K34" s="3">
        <f>Calc!C34</f>
        <v>100</v>
      </c>
      <c r="L34" s="3">
        <f>Calc!F34</f>
        <v>0</v>
      </c>
      <c r="M34" s="3">
        <f>Verification!E34</f>
        <v>0</v>
      </c>
      <c r="N34" s="3">
        <f>Calc!I34</f>
        <v>100</v>
      </c>
      <c r="O34" s="3">
        <f>AVERAGE(J34:N34)</f>
        <v>60</v>
      </c>
      <c r="P34" s="2">
        <f>RANK.EQ(O34,$O$2:$O$113,0)</f>
        <v>43</v>
      </c>
      <c r="Q34" s="2" t="inlineStr">
        <is>
          <t>Full-time staffing missing/unknown scored 0; Volunteer staffing missing/unknown scored 0</t>
        </is>
      </c>
      <c r="R34" s="2">
        <f>Coverage!I34</f>
        <v>3</v>
      </c>
      <c r="S34" s="4">
        <f>Coverage!J34</f>
        <v>0.6</v>
      </c>
      <c r="T34" s="3">
        <f>Coverage!K34</f>
        <v>100</v>
      </c>
    </row>
    <row r="35">
      <c r="A35" s="2" t="inlineStr">
        <is>
          <t>DLCM Backend</t>
        </is>
      </c>
      <c r="B35" s="2" t="inlineStr">
        <is>
          <t>DLCM Technology</t>
        </is>
      </c>
      <c r="C35" s="2" t="inlineStr">
        <is>
          <t>Archive information management system | Digital preservation system</t>
        </is>
      </c>
      <c r="D35" s="2" t="inlineStr">
        <is>
          <t>Actual system proven in operational environment</t>
        </is>
      </c>
      <c r="E35" s="2" t="inlineStr">
        <is>
          <t>Actively Maintained</t>
        </is>
      </c>
      <c r="F35" s="2" t="inlineStr">
        <is>
          <t>1-5</t>
        </is>
      </c>
      <c r="G35" s="2" t="inlineStr">
        <is>
          <t>1-5</t>
        </is>
      </c>
      <c r="H35" s="2" t="inlineStr">
        <is>
          <t>University of Geneva (https://www.unige.ch/) HEG, HES-SO (https://www.hesge.ch/heg/en) UNIFR (https://www.unifr.ch/home/en/) BFH (https://www.bfh.ch/en/) OLOS (https://olos.swiss/)</t>
        </is>
      </c>
      <c r="I35" s="2" t="inlineStr">
        <is>
          <t>Through third party vendor only</t>
        </is>
      </c>
      <c r="J35" s="3">
        <f>Calc!B35</f>
        <v>100</v>
      </c>
      <c r="K35" s="3">
        <f>Calc!C35</f>
        <v>100</v>
      </c>
      <c r="L35" s="3">
        <f>Calc!F35</f>
        <v>25</v>
      </c>
      <c r="M35" s="3">
        <f>Verification!E35</f>
        <v>50</v>
      </c>
      <c r="N35" s="3">
        <f>Calc!I35</f>
        <v>100</v>
      </c>
      <c r="O35" s="3">
        <f>AVERAGE(J35:N35)</f>
        <v>75</v>
      </c>
      <c r="P35" s="2">
        <f>RANK.EQ(O35,$O$2:$O$113,0)</f>
        <v>10</v>
      </c>
      <c r="Q35" s="2" t="inlineStr">
        <is>
          <t>Review affiliation coding; override available</t>
        </is>
      </c>
      <c r="R35" s="2">
        <f>Coverage!I35</f>
        <v>5</v>
      </c>
      <c r="S35" s="4">
        <f>Coverage!J35</f>
        <v>1</v>
      </c>
      <c r="T35" s="3">
        <f>Coverage!K35</f>
        <v>75</v>
      </c>
    </row>
    <row r="36">
      <c r="A36" s="2" t="inlineStr">
        <is>
          <t>DLCM Portal</t>
        </is>
      </c>
      <c r="B36" s="2" t="inlineStr">
        <is>
          <t>DLCM Technology</t>
        </is>
      </c>
      <c r="C36" s="2" t="inlineStr">
        <is>
          <t>Archive information management system | Digital preservation system | Software preservation service</t>
        </is>
      </c>
      <c r="D36" s="2" t="inlineStr">
        <is>
          <t>Actual system proven in operational environment</t>
        </is>
      </c>
      <c r="E36" s="2" t="inlineStr">
        <is>
          <t>Actively Maintained</t>
        </is>
      </c>
      <c r="F36" s="2" t="inlineStr">
        <is>
          <t>1-5</t>
        </is>
      </c>
      <c r="G36" s="2" t="inlineStr">
        <is>
          <t>1-5</t>
        </is>
      </c>
      <c r="H36" s="2" t="inlineStr">
        <is>
          <t>University of Geneva (https://www.unige.ch/)HEG, HES-SO (https://www.hesge.ch/heg/en)UNIFR (https://www.unifr.ch/home/en/)BFH (https://www.bfh.ch/en/)OLOS (https://olos.swiss/)</t>
        </is>
      </c>
      <c r="I36" s="2" t="inlineStr">
        <is>
          <t>Through third party vendor only</t>
        </is>
      </c>
      <c r="J36" s="3">
        <f>Calc!B36</f>
        <v>100</v>
      </c>
      <c r="K36" s="3">
        <f>Calc!C36</f>
        <v>100</v>
      </c>
      <c r="L36" s="3">
        <f>Calc!F36</f>
        <v>25</v>
      </c>
      <c r="M36" s="3">
        <f>Verification!E36</f>
        <v>50</v>
      </c>
      <c r="N36" s="3">
        <f>Calc!I36</f>
        <v>100</v>
      </c>
      <c r="O36" s="3">
        <f>AVERAGE(J36:N36)</f>
        <v>75</v>
      </c>
      <c r="P36" s="2">
        <f>RANK.EQ(O36,$O$2:$O$113,0)</f>
        <v>10</v>
      </c>
      <c r="Q36" s="2" t="inlineStr">
        <is>
          <t>Review affiliation coding; override available</t>
        </is>
      </c>
      <c r="R36" s="2">
        <f>Coverage!I36</f>
        <v>5</v>
      </c>
      <c r="S36" s="4">
        <f>Coverage!J36</f>
        <v>1</v>
      </c>
      <c r="T36" s="3">
        <f>Coverage!K36</f>
        <v>75</v>
      </c>
    </row>
    <row r="37">
      <c r="A37" s="2" t="inlineStr">
        <is>
          <t>DMP Tool</t>
        </is>
      </c>
      <c r="B37" s="2" t="inlineStr">
        <is>
          <t>California Digital Library</t>
        </is>
      </c>
      <c r="C37" s="2" t="inlineStr">
        <is>
          <t>Data management planning tool or service</t>
        </is>
      </c>
      <c r="D37" s="2" t="inlineStr">
        <is>
          <t>Actual system proven in operational environment</t>
        </is>
      </c>
      <c r="E37" s="2" t="inlineStr">
        <is>
          <t>Actively Maintained</t>
        </is>
      </c>
      <c r="F37" s="2" t="inlineStr">
        <is>
          <t>1-5</t>
        </is>
      </c>
      <c r="G37" s="2" t="inlineStr">
        <is>
          <t>0</t>
        </is>
      </c>
      <c r="H37" s="2" t="inlineStr"/>
      <c r="I37" s="2" t="inlineStr">
        <is>
          <t>Through solution provider only</t>
        </is>
      </c>
      <c r="J37" s="3">
        <f>Calc!B37</f>
        <v>100</v>
      </c>
      <c r="K37" s="3">
        <f>Calc!C37</f>
        <v>100</v>
      </c>
      <c r="L37" s="3">
        <f>Calc!F37</f>
        <v>12.5</v>
      </c>
      <c r="M37" s="3">
        <f>Verification!E37</f>
        <v>0</v>
      </c>
      <c r="N37" s="3">
        <f>Calc!I37</f>
        <v>100</v>
      </c>
      <c r="O37" s="3">
        <f>AVERAGE(J37:N37)</f>
        <v>62.5</v>
      </c>
      <c r="P37" s="2">
        <f>RANK.EQ(O37,$O$2:$O$113,0)</f>
        <v>37</v>
      </c>
      <c r="Q37" s="2" t="inlineStr"/>
      <c r="R37" s="2">
        <f>Coverage!I37</f>
        <v>4</v>
      </c>
      <c r="S37" s="4">
        <f>Coverage!J37</f>
        <v>0.8</v>
      </c>
      <c r="T37" s="3">
        <f>Coverage!K37</f>
        <v>78.125</v>
      </c>
    </row>
    <row r="38">
      <c r="A38" s="2" t="inlineStr">
        <is>
          <t>DOAJ (Directory of Open Access Journals)</t>
        </is>
      </c>
      <c r="B38" s="2" t="inlineStr">
        <is>
          <t>DOAJ Foundation</t>
        </is>
      </c>
      <c r="C38" s="2" t="inlineStr">
        <is>
          <t>Discovery system | Index or directory | Open scholarly dataset</t>
        </is>
      </c>
      <c r="D38" s="2" t="inlineStr">
        <is>
          <t>Actual system proven in operational environment</t>
        </is>
      </c>
      <c r="E38" s="2" t="inlineStr">
        <is>
          <t>Actively Maintained</t>
        </is>
      </c>
      <c r="F38" s="2" t="inlineStr"/>
      <c r="G38" s="2" t="inlineStr"/>
      <c r="H38" s="2" t="inlineStr"/>
      <c r="I38" s="2" t="inlineStr">
        <is>
          <t>Not applicable</t>
        </is>
      </c>
      <c r="J38" s="3">
        <f>Calc!B38</f>
        <v>100</v>
      </c>
      <c r="K38" s="3">
        <f>Calc!C38</f>
        <v>100</v>
      </c>
      <c r="L38" s="3">
        <f>Calc!F38</f>
        <v>0</v>
      </c>
      <c r="M38" s="3">
        <f>Verification!E38</f>
        <v>0</v>
      </c>
      <c r="N38" s="3">
        <f>Calc!I38</f>
        <v>0</v>
      </c>
      <c r="O38" s="3">
        <f>AVERAGE(J38:N38)</f>
        <v>40</v>
      </c>
      <c r="P38" s="2">
        <f>RANK.EQ(O38,$O$2:$O$113,0)</f>
        <v>83</v>
      </c>
      <c r="Q38" s="2" t="inlineStr">
        <is>
          <t>Full-time staffing missing/unknown scored 0; Volunteer staffing missing/unknown scored 0; Service-delivery field not applicable/unknown scored 0</t>
        </is>
      </c>
      <c r="R38" s="2">
        <f>Coverage!I38</f>
        <v>2</v>
      </c>
      <c r="S38" s="4">
        <f>Coverage!J38</f>
        <v>0.4</v>
      </c>
      <c r="T38" s="3">
        <f>Coverage!K38</f>
        <v>100</v>
      </c>
    </row>
    <row r="39">
      <c r="A39" s="2" t="inlineStr">
        <is>
          <t>dokieli</t>
        </is>
      </c>
      <c r="B39" s="2" t="inlineStr">
        <is>
          <t>dokieli</t>
        </is>
      </c>
      <c r="C39" s="2" t="inlineStr">
        <is>
          <t>Annotations system | Authoring tool | Informal scholarly communications</t>
        </is>
      </c>
      <c r="D39" s="2" t="inlineStr">
        <is>
          <t>Technology validated in relevant environment</t>
        </is>
      </c>
      <c r="E39" s="2" t="inlineStr">
        <is>
          <t>Actively Maintained</t>
        </is>
      </c>
      <c r="F39" s="2" t="inlineStr"/>
      <c r="G39" s="2" t="inlineStr"/>
      <c r="H39" s="2" t="inlineStr"/>
      <c r="I39" s="2" t="inlineStr">
        <is>
          <t>Unknown</t>
        </is>
      </c>
      <c r="J39" s="3">
        <f>Calc!B39</f>
        <v>55.5555555555556</v>
      </c>
      <c r="K39" s="3">
        <f>Calc!C39</f>
        <v>100</v>
      </c>
      <c r="L39" s="3">
        <f>Calc!F39</f>
        <v>0</v>
      </c>
      <c r="M39" s="3">
        <f>Verification!E39</f>
        <v>0</v>
      </c>
      <c r="N39" s="3">
        <f>Calc!I39</f>
        <v>0</v>
      </c>
      <c r="O39" s="3">
        <f>AVERAGE(J39:N39)</f>
        <v>31.1111111111111</v>
      </c>
      <c r="P39" s="2">
        <f>RANK.EQ(O39,$O$2:$O$113,0)</f>
        <v>110</v>
      </c>
      <c r="Q39" s="2" t="inlineStr">
        <is>
          <t>Full-time staffing missing/unknown scored 0; Volunteer staffing missing/unknown scored 0; Service-delivery field not applicable/unknown scored 0</t>
        </is>
      </c>
      <c r="R39" s="2">
        <f>Coverage!I39</f>
        <v>2</v>
      </c>
      <c r="S39" s="4">
        <f>Coverage!J39</f>
        <v>0.4</v>
      </c>
      <c r="T39" s="3">
        <f>Coverage!K39</f>
        <v>77.7777777777778</v>
      </c>
    </row>
    <row r="40">
      <c r="A40" s="2" t="inlineStr">
        <is>
          <t>Dryad</t>
        </is>
      </c>
      <c r="B40" s="2" t="inlineStr">
        <is>
          <t>Dryad</t>
        </is>
      </c>
      <c r="C40" s="2" t="inlineStr">
        <is>
          <t>Repository service</t>
        </is>
      </c>
      <c r="D40" s="2" t="inlineStr">
        <is>
          <t>Actual system proven in operational environment</t>
        </is>
      </c>
      <c r="E40" s="2" t="inlineStr">
        <is>
          <t>Actively Maintained</t>
        </is>
      </c>
      <c r="F40" s="2" t="inlineStr"/>
      <c r="G40" s="2" t="inlineStr"/>
      <c r="H40" s="2" t="inlineStr"/>
      <c r="I40" s="2" t="inlineStr">
        <is>
          <t>Not applicable</t>
        </is>
      </c>
      <c r="J40" s="3">
        <f>Calc!B40</f>
        <v>100</v>
      </c>
      <c r="K40" s="3">
        <f>Calc!C40</f>
        <v>100</v>
      </c>
      <c r="L40" s="3">
        <f>Calc!F40</f>
        <v>0</v>
      </c>
      <c r="M40" s="3">
        <f>Verification!E40</f>
        <v>0</v>
      </c>
      <c r="N40" s="3">
        <f>Calc!I40</f>
        <v>0</v>
      </c>
      <c r="O40" s="3">
        <f>AVERAGE(J40:N40)</f>
        <v>40</v>
      </c>
      <c r="P40" s="2">
        <f>RANK.EQ(O40,$O$2:$O$113,0)</f>
        <v>83</v>
      </c>
      <c r="Q40" s="2" t="inlineStr">
        <is>
          <t>Full-time staffing missing/unknown scored 0; Volunteer staffing missing/unknown scored 0; Service-delivery field not applicable/unknown scored 0</t>
        </is>
      </c>
      <c r="R40" s="2">
        <f>Coverage!I40</f>
        <v>2</v>
      </c>
      <c r="S40" s="4">
        <f>Coverage!J40</f>
        <v>0.4</v>
      </c>
      <c r="T40" s="3">
        <f>Coverage!K40</f>
        <v>100</v>
      </c>
    </row>
    <row r="41">
      <c r="A41" s="2" t="inlineStr">
        <is>
          <t>DSpace</t>
        </is>
      </c>
      <c r="B41" s="2" t="inlineStr">
        <is>
          <t>Lyrasis</t>
        </is>
      </c>
      <c r="C41" s="2" t="inlineStr">
        <is>
          <t>Repository software</t>
        </is>
      </c>
      <c r="D41" s="2" t="inlineStr">
        <is>
          <t>Actual system proven in operational environment</t>
        </is>
      </c>
      <c r="E41" s="2" t="inlineStr">
        <is>
          <t>Actively Maintained</t>
        </is>
      </c>
      <c r="F41" s="2" t="inlineStr">
        <is>
          <t>1-5</t>
        </is>
      </c>
      <c r="G41" s="2" t="inlineStr">
        <is>
          <t>Unknown</t>
        </is>
      </c>
      <c r="H41" s="2" t="inlineStr"/>
      <c r="I41" s="2" t="inlineStr">
        <is>
          <t>Through solution provider or third party vendor</t>
        </is>
      </c>
      <c r="J41" s="3">
        <f>Calc!B41</f>
        <v>100</v>
      </c>
      <c r="K41" s="3">
        <f>Calc!C41</f>
        <v>100</v>
      </c>
      <c r="L41" s="3">
        <f>Calc!F41</f>
        <v>12.5</v>
      </c>
      <c r="M41" s="3">
        <f>Verification!E41</f>
        <v>0</v>
      </c>
      <c r="N41" s="3">
        <f>Calc!I41</f>
        <v>100</v>
      </c>
      <c r="O41" s="3">
        <f>AVERAGE(J41:N41)</f>
        <v>62.5</v>
      </c>
      <c r="P41" s="2">
        <f>RANK.EQ(O41,$O$2:$O$113,0)</f>
        <v>37</v>
      </c>
      <c r="Q41" s="2" t="inlineStr"/>
      <c r="R41" s="2">
        <f>Coverage!I41</f>
        <v>4</v>
      </c>
      <c r="S41" s="4">
        <f>Coverage!J41</f>
        <v>0.8</v>
      </c>
      <c r="T41" s="3">
        <f>Coverage!K41</f>
        <v>81.25</v>
      </c>
    </row>
    <row r="42">
      <c r="A42" s="2" t="inlineStr">
        <is>
          <t>DuraCloud</t>
        </is>
      </c>
      <c r="B42" s="2" t="inlineStr">
        <is>
          <t>Lyrasis</t>
        </is>
      </c>
      <c r="C42" s="2" t="inlineStr">
        <is>
          <t>Digital preservation service | Digital preservation system | Digital preservation tool</t>
        </is>
      </c>
      <c r="D42" s="2" t="inlineStr">
        <is>
          <t>Actual system proven in operational environment</t>
        </is>
      </c>
      <c r="E42" s="2" t="inlineStr">
        <is>
          <t>Actively Maintained</t>
        </is>
      </c>
      <c r="F42" s="2" t="inlineStr"/>
      <c r="G42" s="2" t="inlineStr"/>
      <c r="H42" s="2" t="inlineStr">
        <is>
          <t>N/A</t>
        </is>
      </c>
      <c r="I42" s="2" t="inlineStr">
        <is>
          <t>Through solution provider only</t>
        </is>
      </c>
      <c r="J42" s="3">
        <f>Calc!B42</f>
        <v>100</v>
      </c>
      <c r="K42" s="3">
        <f>Calc!C42</f>
        <v>100</v>
      </c>
      <c r="L42" s="3">
        <f>Calc!F42</f>
        <v>0</v>
      </c>
      <c r="M42" s="3">
        <f>Verification!E42</f>
        <v>0</v>
      </c>
      <c r="N42" s="3">
        <f>Calc!I42</f>
        <v>100</v>
      </c>
      <c r="O42" s="3">
        <f>AVERAGE(J42:N42)</f>
        <v>60</v>
      </c>
      <c r="P42" s="2">
        <f>RANK.EQ(O42,$O$2:$O$113,0)</f>
        <v>43</v>
      </c>
      <c r="Q42" s="2" t="inlineStr">
        <is>
          <t>Full-time staffing missing/unknown scored 0; Volunteer staffing missing/unknown scored 0; Review affiliation coding; override available</t>
        </is>
      </c>
      <c r="R42" s="2">
        <f>Coverage!I42</f>
        <v>3</v>
      </c>
      <c r="S42" s="4">
        <f>Coverage!J42</f>
        <v>0.6</v>
      </c>
      <c r="T42" s="3">
        <f>Coverage!K42</f>
        <v>100</v>
      </c>
    </row>
    <row r="43">
      <c r="A43" s="2" t="inlineStr">
        <is>
          <t>Episciences</t>
        </is>
      </c>
      <c r="B43" s="2" t="inlineStr">
        <is>
          <t>Center for Direct Scientific Communication (CCSD)</t>
        </is>
      </c>
      <c r="C43" s="2" t="inlineStr">
        <is>
          <t>Peer review system | Publishing system | Submissions system</t>
        </is>
      </c>
      <c r="D43" s="2" t="inlineStr">
        <is>
          <t>Actual system proven in operational environment</t>
        </is>
      </c>
      <c r="E43" s="2" t="inlineStr">
        <is>
          <t>Actively Maintained</t>
        </is>
      </c>
      <c r="F43" s="2" t="inlineStr">
        <is>
          <t>1-5</t>
        </is>
      </c>
      <c r="G43" s="2" t="inlineStr">
        <is>
          <t>More than 20</t>
        </is>
      </c>
      <c r="H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I43" s="2" t="inlineStr">
        <is>
          <t>Not applicable</t>
        </is>
      </c>
      <c r="J43" s="3">
        <f>Calc!B43</f>
        <v>100</v>
      </c>
      <c r="K43" s="3">
        <f>Calc!C43</f>
        <v>100</v>
      </c>
      <c r="L43" s="3">
        <f>Calc!F43</f>
        <v>62.5</v>
      </c>
      <c r="M43" s="3">
        <f>Verification!E43</f>
        <v>50</v>
      </c>
      <c r="N43" s="3">
        <f>Calc!I43</f>
        <v>0</v>
      </c>
      <c r="O43" s="3">
        <f>AVERAGE(J43:N43)</f>
        <v>62.5</v>
      </c>
      <c r="P43" s="2">
        <f>RANK.EQ(O43,$O$2:$O$113,0)</f>
        <v>37</v>
      </c>
      <c r="Q43" s="2" t="inlineStr">
        <is>
          <t>Review affiliation coding; override available; Service-delivery field not applicable/unknown scored 0</t>
        </is>
      </c>
      <c r="R43" s="2">
        <f>Coverage!I43</f>
        <v>4</v>
      </c>
      <c r="S43" s="4">
        <f>Coverage!J43</f>
        <v>0.8</v>
      </c>
      <c r="T43" s="3">
        <f>Coverage!K43</f>
        <v>78.125</v>
      </c>
    </row>
    <row r="44">
      <c r="A44" s="2" t="inlineStr">
        <is>
          <t>EPrints</t>
        </is>
      </c>
      <c r="B44" s="2" t="inlineStr">
        <is>
          <t>EPrints Services</t>
        </is>
      </c>
      <c r="C44" s="2" t="inlineStr">
        <is>
          <t>Repository software</t>
        </is>
      </c>
      <c r="D44" s="2" t="inlineStr">
        <is>
          <t>Actual system proven in operational environment</t>
        </is>
      </c>
      <c r="E44" s="2" t="inlineStr">
        <is>
          <t>Actively Maintained</t>
        </is>
      </c>
      <c r="F44" s="2" t="inlineStr"/>
      <c r="G44" s="2" t="inlineStr"/>
      <c r="H44" s="2" t="inlineStr">
        <is>
          <t>ECS Partners Ltd</t>
        </is>
      </c>
      <c r="I44" s="2" t="inlineStr">
        <is>
          <t>Through solution provider only</t>
        </is>
      </c>
      <c r="J44" s="3">
        <f>Calc!B44</f>
        <v>100</v>
      </c>
      <c r="K44" s="3">
        <f>Calc!C44</f>
        <v>100</v>
      </c>
      <c r="L44" s="3">
        <f>Calc!F44</f>
        <v>0</v>
      </c>
      <c r="M44" s="3">
        <f>Verification!E44</f>
        <v>50</v>
      </c>
      <c r="N44" s="3">
        <f>Calc!I44</f>
        <v>100</v>
      </c>
      <c r="O44" s="3">
        <f>AVERAGE(J44:N44)</f>
        <v>70</v>
      </c>
      <c r="P44" s="2">
        <f>RANK.EQ(O44,$O$2:$O$113,0)</f>
        <v>19</v>
      </c>
      <c r="Q44" s="2" t="inlineStr">
        <is>
          <t>Full-time staffing missing/unknown scored 0; Volunteer staffing missing/unknown scored 0; Review affiliation coding; override available</t>
        </is>
      </c>
      <c r="R44" s="2">
        <f>Coverage!I44</f>
        <v>4</v>
      </c>
      <c r="S44" s="4">
        <f>Coverage!J44</f>
        <v>0.8</v>
      </c>
      <c r="T44" s="3">
        <f>Coverage!K44</f>
        <v>87.5</v>
      </c>
    </row>
    <row r="45">
      <c r="A45" s="2" t="inlineStr">
        <is>
          <t>Érudit</t>
        </is>
      </c>
      <c r="B45" s="2" t="inlineStr">
        <is>
          <t>Érudit</t>
        </is>
      </c>
      <c r="C45" s="2" t="inlineStr">
        <is>
          <t>Discovery system | Publishing system | Repository software</t>
        </is>
      </c>
      <c r="D45" s="2" t="inlineStr">
        <is>
          <t>Actual system proven in operational environment</t>
        </is>
      </c>
      <c r="E45" s="2" t="inlineStr">
        <is>
          <t>Actively Maintained</t>
        </is>
      </c>
      <c r="F45" s="2" t="inlineStr"/>
      <c r="G45" s="2" t="inlineStr"/>
      <c r="H45" s="2" t="inlineStr"/>
      <c r="I45" s="2" t="inlineStr">
        <is>
          <t>Not applicable</t>
        </is>
      </c>
      <c r="J45" s="3">
        <f>Calc!B45</f>
        <v>100</v>
      </c>
      <c r="K45" s="3">
        <f>Calc!C45</f>
        <v>100</v>
      </c>
      <c r="L45" s="3">
        <f>Calc!F45</f>
        <v>0</v>
      </c>
      <c r="M45" s="3">
        <f>Verification!E45</f>
        <v>0</v>
      </c>
      <c r="N45" s="3">
        <f>Calc!I45</f>
        <v>0</v>
      </c>
      <c r="O45" s="3">
        <f>AVERAGE(J45:N45)</f>
        <v>40</v>
      </c>
      <c r="P45" s="2">
        <f>RANK.EQ(O45,$O$2:$O$113,0)</f>
        <v>83</v>
      </c>
      <c r="Q45" s="2" t="inlineStr">
        <is>
          <t>Full-time staffing missing/unknown scored 0; Volunteer staffing missing/unknown scored 0; Service-delivery field not applicable/unknown scored 0</t>
        </is>
      </c>
      <c r="R45" s="2">
        <f>Coverage!I45</f>
        <v>2</v>
      </c>
      <c r="S45" s="4">
        <f>Coverage!J45</f>
        <v>0.4</v>
      </c>
      <c r="T45" s="3">
        <f>Coverage!K45</f>
        <v>100</v>
      </c>
    </row>
    <row r="46">
      <c r="A46" s="2" t="inlineStr">
        <is>
          <t>Europe PMC</t>
        </is>
      </c>
      <c r="B46" s="2" t="inlineStr">
        <is>
          <t>EMBL European Bioinformatics Institute (EMBL-EBI)</t>
        </is>
      </c>
      <c r="C46" s="2" t="inlineStr">
        <is>
          <t>Digital preservation system | Discovery system | Repository service</t>
        </is>
      </c>
      <c r="D46" s="2" t="inlineStr">
        <is>
          <t>Actual system proven in operational environment</t>
        </is>
      </c>
      <c r="E46" s="2" t="inlineStr">
        <is>
          <t>Actively Maintained</t>
        </is>
      </c>
      <c r="F46" s="2" t="inlineStr">
        <is>
          <t>11-20</t>
        </is>
      </c>
      <c r="G46" s="2" t="inlineStr"/>
      <c r="H46" s="2" t="inlineStr"/>
      <c r="I46" s="2" t="inlineStr">
        <is>
          <t>Not applicable</t>
        </is>
      </c>
      <c r="J46" s="3">
        <f>Calc!B46</f>
        <v>100</v>
      </c>
      <c r="K46" s="3">
        <f>Calc!C46</f>
        <v>100</v>
      </c>
      <c r="L46" s="3">
        <f>Calc!F46</f>
        <v>37.5</v>
      </c>
      <c r="M46" s="3">
        <f>Verification!E46</f>
        <v>0</v>
      </c>
      <c r="N46" s="3">
        <f>Calc!I46</f>
        <v>0</v>
      </c>
      <c r="O46" s="3">
        <f>AVERAGE(J46:N46)</f>
        <v>47.5</v>
      </c>
      <c r="P46" s="2">
        <f>RANK.EQ(O46,$O$2:$O$113,0)</f>
        <v>81</v>
      </c>
      <c r="Q46" s="2" t="inlineStr">
        <is>
          <t>Volunteer staffing missing/unknown scored 0; Service-delivery field not applicable/unknown scored 0</t>
        </is>
      </c>
      <c r="R46" s="2">
        <f>Coverage!I46</f>
        <v>3</v>
      </c>
      <c r="S46" s="4">
        <f>Coverage!J46</f>
        <v>0.6</v>
      </c>
      <c r="T46" s="3">
        <f>Coverage!K46</f>
        <v>91.6666666666667</v>
      </c>
    </row>
    <row r="47">
      <c r="A47" s="2" t="inlineStr">
        <is>
          <t>FAIR Wizard</t>
        </is>
      </c>
      <c r="B47" s="2" t="inlineStr">
        <is>
          <t>Codevence Solution s.r.o.</t>
        </is>
      </c>
      <c r="C47" s="2" t="inlineStr">
        <is>
          <t>Data management planning tool or service</t>
        </is>
      </c>
      <c r="D47" s="2" t="inlineStr">
        <is>
          <t>Actual system proven in operational environment</t>
        </is>
      </c>
      <c r="E47" s="2" t="inlineStr">
        <is>
          <t>Actively Maintained</t>
        </is>
      </c>
      <c r="F47" s="2" t="inlineStr">
        <is>
          <t>1-5</t>
        </is>
      </c>
      <c r="G47" s="2" t="inlineStr"/>
      <c r="H47" s="2" t="inlineStr">
        <is>
          <t>Codevence Solutions s.r.o.</t>
        </is>
      </c>
      <c r="I47" s="2" t="inlineStr">
        <is>
          <t>Through solution provider only</t>
        </is>
      </c>
      <c r="J47" s="3">
        <f>Calc!B47</f>
        <v>100</v>
      </c>
      <c r="K47" s="3">
        <f>Calc!C47</f>
        <v>100</v>
      </c>
      <c r="L47" s="3">
        <f>Calc!F47</f>
        <v>12.5</v>
      </c>
      <c r="M47" s="3">
        <f>Verification!E47</f>
        <v>50</v>
      </c>
      <c r="N47" s="3">
        <f>Calc!I47</f>
        <v>100</v>
      </c>
      <c r="O47" s="3">
        <f>AVERAGE(J47:N47)</f>
        <v>72.5</v>
      </c>
      <c r="P47" s="2">
        <f>RANK.EQ(O47,$O$2:$O$113,0)</f>
        <v>13</v>
      </c>
      <c r="Q47" s="2" t="inlineStr">
        <is>
          <t>Volunteer staffing missing/unknown scored 0; Review affiliation coding; override available</t>
        </is>
      </c>
      <c r="R47" s="2">
        <f>Coverage!I47</f>
        <v>5</v>
      </c>
      <c r="S47" s="4">
        <f>Coverage!J47</f>
        <v>1</v>
      </c>
      <c r="T47" s="3">
        <f>Coverage!K47</f>
        <v>75</v>
      </c>
    </row>
    <row r="48">
      <c r="A48" s="2" t="inlineStr">
        <is>
          <t>Fedora</t>
        </is>
      </c>
      <c r="B48" s="2" t="inlineStr">
        <is>
          <t>Lyrasis</t>
        </is>
      </c>
      <c r="C48" s="2" t="inlineStr">
        <is>
          <t>Repository software</t>
        </is>
      </c>
      <c r="D48" s="2" t="inlineStr">
        <is>
          <t>Actual system proven in operational environment</t>
        </is>
      </c>
      <c r="E48" s="2" t="inlineStr">
        <is>
          <t>Actively Maintained</t>
        </is>
      </c>
      <c r="F48" s="2" t="inlineStr">
        <is>
          <t>1-5</t>
        </is>
      </c>
      <c r="G48" s="2" t="inlineStr">
        <is>
          <t>Unknown</t>
        </is>
      </c>
      <c r="H48" s="2" t="inlineStr"/>
      <c r="I48" s="2" t="inlineStr">
        <is>
          <t>Through third party vendor only</t>
        </is>
      </c>
      <c r="J48" s="3">
        <f>Calc!B48</f>
        <v>100</v>
      </c>
      <c r="K48" s="3">
        <f>Calc!C48</f>
        <v>100</v>
      </c>
      <c r="L48" s="3">
        <f>Calc!F48</f>
        <v>12.5</v>
      </c>
      <c r="M48" s="3">
        <f>Verification!E48</f>
        <v>0</v>
      </c>
      <c r="N48" s="3">
        <f>Calc!I48</f>
        <v>100</v>
      </c>
      <c r="O48" s="3">
        <f>AVERAGE(J48:N48)</f>
        <v>62.5</v>
      </c>
      <c r="P48" s="2">
        <f>RANK.EQ(O48,$O$2:$O$113,0)</f>
        <v>37</v>
      </c>
      <c r="Q48" s="2" t="inlineStr"/>
      <c r="R48" s="2">
        <f>Coverage!I48</f>
        <v>4</v>
      </c>
      <c r="S48" s="4">
        <f>Coverage!J48</f>
        <v>0.8</v>
      </c>
      <c r="T48" s="3">
        <f>Coverage!K48</f>
        <v>81.25</v>
      </c>
    </row>
    <row r="49">
      <c r="A49" s="2" t="inlineStr">
        <is>
          <t>fido</t>
        </is>
      </c>
      <c r="B49" s="2" t="inlineStr">
        <is>
          <t>Open Preservation Foundation</t>
        </is>
      </c>
      <c r="C49" s="2" t="inlineStr">
        <is>
          <t>Digital preservation tool</t>
        </is>
      </c>
      <c r="D49" s="2" t="inlineStr">
        <is>
          <t>Actual system proven in operational environment</t>
        </is>
      </c>
      <c r="E49" s="2" t="inlineStr">
        <is>
          <t>Actively Maintained</t>
        </is>
      </c>
      <c r="F49" s="2" t="inlineStr">
        <is>
          <t>6-10</t>
        </is>
      </c>
      <c r="G49" s="2" t="inlineStr"/>
      <c r="H49" s="2" t="inlineStr">
        <is>
          <t>Artefactual</t>
        </is>
      </c>
      <c r="I49" s="2" t="inlineStr">
        <is>
          <t>Not applicable</t>
        </is>
      </c>
      <c r="J49" s="3">
        <f>Calc!B49</f>
        <v>100</v>
      </c>
      <c r="K49" s="3">
        <f>Calc!C49</f>
        <v>100</v>
      </c>
      <c r="L49" s="3">
        <f>Calc!F49</f>
        <v>25</v>
      </c>
      <c r="M49" s="3">
        <f>Verification!E49</f>
        <v>50</v>
      </c>
      <c r="N49" s="3">
        <f>Calc!I49</f>
        <v>0</v>
      </c>
      <c r="O49" s="3">
        <f>AVERAGE(J49:N49)</f>
        <v>55</v>
      </c>
      <c r="P49" s="2">
        <f>RANK.EQ(O49,$O$2:$O$113,0)</f>
        <v>65</v>
      </c>
      <c r="Q49" s="2" t="inlineStr">
        <is>
          <t>Volunteer staffing missing/unknown scored 0; Review affiliation coding; override available; Service-delivery field not applicable/unknown scored 0</t>
        </is>
      </c>
      <c r="R49" s="2">
        <f>Coverage!I49</f>
        <v>4</v>
      </c>
      <c r="S49" s="4">
        <f>Coverage!J49</f>
        <v>0.8</v>
      </c>
      <c r="T49" s="3">
        <f>Coverage!K49</f>
        <v>75</v>
      </c>
    </row>
    <row r="50">
      <c r="A50" s="2" t="inlineStr">
        <is>
          <t>Fulcrum</t>
        </is>
      </c>
      <c r="B50" s="2" t="inlineStr">
        <is>
          <t>Michigan Publishing</t>
        </is>
      </c>
      <c r="C50" s="2" t="inlineStr">
        <is>
          <t>Publishing system</t>
        </is>
      </c>
      <c r="D50" s="2" t="inlineStr">
        <is>
          <t>Actual system proven in operational environment</t>
        </is>
      </c>
      <c r="E50" s="2" t="inlineStr">
        <is>
          <t>Actively Maintained</t>
        </is>
      </c>
      <c r="F50" s="2" t="inlineStr"/>
      <c r="G50" s="2" t="inlineStr"/>
      <c r="H50" s="2" t="inlineStr"/>
      <c r="I50" s="2" t="inlineStr">
        <is>
          <t>Through solution provider only</t>
        </is>
      </c>
      <c r="J50" s="3">
        <f>Calc!B50</f>
        <v>100</v>
      </c>
      <c r="K50" s="3">
        <f>Calc!C50</f>
        <v>100</v>
      </c>
      <c r="L50" s="3">
        <f>Calc!F50</f>
        <v>0</v>
      </c>
      <c r="M50" s="3">
        <f>Verification!E50</f>
        <v>0</v>
      </c>
      <c r="N50" s="3">
        <f>Calc!I50</f>
        <v>100</v>
      </c>
      <c r="O50" s="3">
        <f>AVERAGE(J50:N50)</f>
        <v>60</v>
      </c>
      <c r="P50" s="2">
        <f>RANK.EQ(O50,$O$2:$O$113,0)</f>
        <v>43</v>
      </c>
      <c r="Q50" s="2" t="inlineStr">
        <is>
          <t>Full-time staffing missing/unknown scored 0; Volunteer staffing missing/unknown scored 0</t>
        </is>
      </c>
      <c r="R50" s="2">
        <f>Coverage!I50</f>
        <v>3</v>
      </c>
      <c r="S50" s="4">
        <f>Coverage!J50</f>
        <v>0.6</v>
      </c>
      <c r="T50" s="3">
        <f>Coverage!K50</f>
        <v>100</v>
      </c>
    </row>
    <row r="51">
      <c r="A51" s="2" t="inlineStr">
        <is>
          <t>Galaxy</t>
        </is>
      </c>
      <c r="B51" s="2" t="inlineStr">
        <is>
          <t>The Galaxy community</t>
        </is>
      </c>
      <c r="C51" s="2" t="inlineStr">
        <is>
          <t>Computing framework | Discovery system</t>
        </is>
      </c>
      <c r="D51" s="2" t="inlineStr">
        <is>
          <t>Actual system proven in operational environment</t>
        </is>
      </c>
      <c r="E51" s="2" t="inlineStr">
        <is>
          <t>Actively Maintained</t>
        </is>
      </c>
      <c r="F51" s="2" t="inlineStr">
        <is>
          <t>More than 20</t>
        </is>
      </c>
      <c r="G51" s="2" t="inlineStr">
        <is>
          <t>More than 20</t>
        </is>
      </c>
      <c r="H51" s="2" t="inlineStr">
        <is>
          <t>It's an open source project with many affiliations.</t>
        </is>
      </c>
      <c r="I51" s="2" t="inlineStr">
        <is>
          <t>Through solution provider or third party vendor</t>
        </is>
      </c>
      <c r="J51" s="3">
        <f>Calc!B51</f>
        <v>100</v>
      </c>
      <c r="K51" s="3">
        <f>Calc!C51</f>
        <v>100</v>
      </c>
      <c r="L51" s="3">
        <f>Calc!F51</f>
        <v>100</v>
      </c>
      <c r="M51" s="3">
        <f>Verification!E51</f>
        <v>50</v>
      </c>
      <c r="N51" s="3">
        <f>Calc!I51</f>
        <v>100</v>
      </c>
      <c r="O51" s="3">
        <f>AVERAGE(J51:N51)</f>
        <v>90</v>
      </c>
      <c r="P51" s="2">
        <f>RANK.EQ(O51,$O$2:$O$113,0)</f>
        <v>2</v>
      </c>
      <c r="Q51" s="2" t="inlineStr">
        <is>
          <t>Review affiliation coding; override available</t>
        </is>
      </c>
      <c r="R51" s="2">
        <f>Coverage!I51</f>
        <v>5</v>
      </c>
      <c r="S51" s="4">
        <f>Coverage!J51</f>
        <v>1</v>
      </c>
      <c r="T51" s="3">
        <f>Coverage!K51</f>
        <v>90</v>
      </c>
    </row>
    <row r="52">
      <c r="A52" s="2" t="inlineStr">
        <is>
          <t>GeoServer</t>
        </is>
      </c>
      <c r="B52" s="2" t="inlineStr">
        <is>
          <t>Open Source Geospatial Foundation</t>
        </is>
      </c>
      <c r="C52" s="2" t="inlineStr">
        <is>
          <t>Geospatial data tool or platform</t>
        </is>
      </c>
      <c r="D52" s="2" t="inlineStr">
        <is>
          <t>Actual system proven in operational environment</t>
        </is>
      </c>
      <c r="E52" s="2" t="inlineStr">
        <is>
          <t>Actively Maintained</t>
        </is>
      </c>
      <c r="F52" s="2" t="inlineStr">
        <is>
          <t>0</t>
        </is>
      </c>
      <c r="G52" s="2" t="inlineStr">
        <is>
          <t>More than 20</t>
        </is>
      </c>
      <c r="H52" s="2" t="inlineStr">
        <is>
          <t>https://www.osgeo.org https://www.geosolutionsgroup.com/ https://www.afrigis.co.za/ https://www.geocat.net/ https://camptocamp.com/</t>
        </is>
      </c>
      <c r="I52" s="2" t="inlineStr">
        <is>
          <t>Through third party vendor only</t>
        </is>
      </c>
      <c r="J52" s="3">
        <f>Calc!B52</f>
        <v>100</v>
      </c>
      <c r="K52" s="3">
        <f>Calc!C52</f>
        <v>100</v>
      </c>
      <c r="L52" s="3">
        <f>Calc!F52</f>
        <v>50</v>
      </c>
      <c r="M52" s="3">
        <f>Verification!E52</f>
        <v>50</v>
      </c>
      <c r="N52" s="3">
        <f>Calc!I52</f>
        <v>100</v>
      </c>
      <c r="O52" s="3">
        <f>AVERAGE(J52:N52)</f>
        <v>80</v>
      </c>
      <c r="P52" s="2">
        <f>RANK.EQ(O52,$O$2:$O$113,0)</f>
        <v>6</v>
      </c>
      <c r="Q52" s="2" t="inlineStr">
        <is>
          <t>Review affiliation coding; override available</t>
        </is>
      </c>
      <c r="R52" s="2">
        <f>Coverage!I52</f>
        <v>5</v>
      </c>
      <c r="S52" s="4">
        <f>Coverage!J52</f>
        <v>1</v>
      </c>
      <c r="T52" s="3">
        <f>Coverage!K52</f>
        <v>80</v>
      </c>
    </row>
    <row r="53">
      <c r="A53" s="2" t="inlineStr">
        <is>
          <t>Hyku</t>
        </is>
      </c>
      <c r="B53" s="2" t="inlineStr">
        <is>
          <t>Samvera</t>
        </is>
      </c>
      <c r="C53" s="2" t="inlineStr">
        <is>
          <t>Repository software</t>
        </is>
      </c>
      <c r="D53" s="2" t="inlineStr">
        <is>
          <t>Actual system proven in operational environment</t>
        </is>
      </c>
      <c r="E53" s="2" t="inlineStr">
        <is>
          <t>Actively Maintained</t>
        </is>
      </c>
      <c r="F53" s="2" t="inlineStr">
        <is>
          <t>1-5</t>
        </is>
      </c>
      <c r="G53" s="2" t="inlineStr">
        <is>
          <t>1-5</t>
        </is>
      </c>
      <c r="H53" s="2" t="inlineStr"/>
      <c r="I53" s="2" t="inlineStr">
        <is>
          <t>Through third party vendor only</t>
        </is>
      </c>
      <c r="J53" s="3">
        <f>Calc!B53</f>
        <v>100</v>
      </c>
      <c r="K53" s="3">
        <f>Calc!C53</f>
        <v>100</v>
      </c>
      <c r="L53" s="3">
        <f>Calc!F53</f>
        <v>25</v>
      </c>
      <c r="M53" s="3">
        <f>Verification!E53</f>
        <v>0</v>
      </c>
      <c r="N53" s="3">
        <f>Calc!I53</f>
        <v>100</v>
      </c>
      <c r="O53" s="3">
        <f>AVERAGE(J53:N53)</f>
        <v>65</v>
      </c>
      <c r="P53" s="2">
        <f>RANK.EQ(O53,$O$2:$O$113,0)</f>
        <v>31</v>
      </c>
      <c r="Q53" s="2" t="inlineStr"/>
      <c r="R53" s="2">
        <f>Coverage!I53</f>
        <v>4</v>
      </c>
      <c r="S53" s="4">
        <f>Coverage!J53</f>
        <v>0.8</v>
      </c>
      <c r="T53" s="3">
        <f>Coverage!K53</f>
        <v>81.25</v>
      </c>
    </row>
    <row r="54">
      <c r="A54" s="2" t="inlineStr">
        <is>
          <t>Hyrax</t>
        </is>
      </c>
      <c r="B54" s="2" t="inlineStr">
        <is>
          <t>Samvera</t>
        </is>
      </c>
      <c r="C54" s="2" t="inlineStr">
        <is>
          <t>Repository software</t>
        </is>
      </c>
      <c r="D54" s="2" t="inlineStr">
        <is>
          <t>Actual system proven in operational environment</t>
        </is>
      </c>
      <c r="E54" s="2" t="inlineStr">
        <is>
          <t>Actively Maintained</t>
        </is>
      </c>
      <c r="F54" s="2" t="inlineStr">
        <is>
          <t>1-5</t>
        </is>
      </c>
      <c r="G54" s="2" t="inlineStr">
        <is>
          <t>1-5</t>
        </is>
      </c>
      <c r="H54" s="2" t="inlineStr">
        <is>
          <t>No affiliations</t>
        </is>
      </c>
      <c r="I54" s="2" t="inlineStr">
        <is>
          <t>Through third party vendor only</t>
        </is>
      </c>
      <c r="J54" s="3">
        <f>Calc!B54</f>
        <v>100</v>
      </c>
      <c r="K54" s="3">
        <f>Calc!C54</f>
        <v>100</v>
      </c>
      <c r="L54" s="3">
        <f>Calc!F54</f>
        <v>25</v>
      </c>
      <c r="M54" s="3">
        <f>Verification!E54</f>
        <v>0</v>
      </c>
      <c r="N54" s="3">
        <f>Calc!I54</f>
        <v>100</v>
      </c>
      <c r="O54" s="3">
        <f>AVERAGE(J54:N54)</f>
        <v>65</v>
      </c>
      <c r="P54" s="2">
        <f>RANK.EQ(O54,$O$2:$O$113,0)</f>
        <v>31</v>
      </c>
      <c r="Q54" s="2" t="inlineStr">
        <is>
          <t>Review affiliation coding; override available</t>
        </is>
      </c>
      <c r="R54" s="2">
        <f>Coverage!I54</f>
        <v>5</v>
      </c>
      <c r="S54" s="4">
        <f>Coverage!J54</f>
        <v>1</v>
      </c>
      <c r="T54" s="3">
        <f>Coverage!K54</f>
        <v>65</v>
      </c>
    </row>
    <row r="55">
      <c r="A55" s="2" t="inlineStr">
        <is>
          <t>IIIF</t>
        </is>
      </c>
      <c r="B55" s="2" t="inlineStr">
        <is>
          <t>IIIF Consortium</t>
        </is>
      </c>
      <c r="C55" s="2" t="inlineStr">
        <is>
          <t>Standard, specification or protocol</t>
        </is>
      </c>
      <c r="D55" s="2" t="inlineStr">
        <is>
          <t>Actual system proven in operational environment</t>
        </is>
      </c>
      <c r="E55" s="2" t="inlineStr">
        <is>
          <t>Actively Maintained</t>
        </is>
      </c>
      <c r="F55" s="2" t="inlineStr"/>
      <c r="G55" s="2" t="inlineStr"/>
      <c r="H55" s="2" t="inlineStr"/>
      <c r="I55" s="2" t="inlineStr">
        <is>
          <t>Not applicable</t>
        </is>
      </c>
      <c r="J55" s="3">
        <f>Calc!B55</f>
        <v>100</v>
      </c>
      <c r="K55" s="3">
        <f>Calc!C55</f>
        <v>100</v>
      </c>
      <c r="L55" s="3">
        <f>Calc!F55</f>
        <v>0</v>
      </c>
      <c r="M55" s="3">
        <f>Verification!E55</f>
        <v>0</v>
      </c>
      <c r="N55" s="3">
        <f>Calc!I55</f>
        <v>0</v>
      </c>
      <c r="O55" s="3">
        <f>AVERAGE(J55:N55)</f>
        <v>40</v>
      </c>
      <c r="P55" s="2">
        <f>RANK.EQ(O55,$O$2:$O$113,0)</f>
        <v>83</v>
      </c>
      <c r="Q55" s="2" t="inlineStr">
        <is>
          <t>Full-time staffing missing/unknown scored 0; Volunteer staffing missing/unknown scored 0; Service-delivery field not applicable/unknown scored 0</t>
        </is>
      </c>
      <c r="R55" s="2">
        <f>Coverage!I55</f>
        <v>2</v>
      </c>
      <c r="S55" s="4">
        <f>Coverage!J55</f>
        <v>0.4</v>
      </c>
      <c r="T55" s="3">
        <f>Coverage!K55</f>
        <v>100</v>
      </c>
    </row>
    <row r="56">
      <c r="A56" s="2" t="inlineStr">
        <is>
          <t>ImpactU</t>
        </is>
      </c>
      <c r="B56" s="2" t="inlineStr">
        <is>
          <t>Universidad de Antioquia and other Colombian universities</t>
        </is>
      </c>
      <c r="C56" s="2" t="inlineStr">
        <is>
          <t>Open scholarly dataset | Research profiling system</t>
        </is>
      </c>
      <c r="D56" s="2" t="inlineStr">
        <is>
          <t>Actual system proven in operational environment</t>
        </is>
      </c>
      <c r="E56" s="2" t="inlineStr">
        <is>
          <t>Actively Maintained</t>
        </is>
      </c>
      <c r="F56" s="2" t="inlineStr"/>
      <c r="G56" s="2" t="inlineStr"/>
      <c r="H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I56" s="2" t="inlineStr">
        <is>
          <t>Through solution provider or third party vendor</t>
        </is>
      </c>
      <c r="J56" s="3">
        <f>Calc!B56</f>
        <v>100</v>
      </c>
      <c r="K56" s="3">
        <f>Calc!C56</f>
        <v>100</v>
      </c>
      <c r="L56" s="3">
        <f>Calc!F56</f>
        <v>0</v>
      </c>
      <c r="M56" s="3">
        <f>Verification!E56</f>
        <v>50</v>
      </c>
      <c r="N56" s="3">
        <f>Calc!I56</f>
        <v>100</v>
      </c>
      <c r="O56" s="3">
        <f>AVERAGE(J56:N56)</f>
        <v>70</v>
      </c>
      <c r="P56" s="2">
        <f>RANK.EQ(O56,$O$2:$O$113,0)</f>
        <v>19</v>
      </c>
      <c r="Q56" s="2" t="inlineStr">
        <is>
          <t>Full-time staffing missing/unknown scored 0; Volunteer staffing missing/unknown scored 0; Review affiliation coding; override available</t>
        </is>
      </c>
      <c r="R56" s="2">
        <f>Coverage!I56</f>
        <v>4</v>
      </c>
      <c r="S56" s="4">
        <f>Coverage!J56</f>
        <v>0.8</v>
      </c>
      <c r="T56" s="3">
        <f>Coverage!K56</f>
        <v>87.5</v>
      </c>
    </row>
    <row r="57">
      <c r="A57" s="2" t="inlineStr">
        <is>
          <t>International Generic Sample Number (IGSN)</t>
        </is>
      </c>
      <c r="B57" s="2" t="inlineStr">
        <is>
          <t>International Generic Sample Number Organization e.V.</t>
        </is>
      </c>
      <c r="C57" s="2" t="inlineStr">
        <is>
          <t>Persistent identifier service</t>
        </is>
      </c>
      <c r="D57" s="2" t="inlineStr">
        <is>
          <t>Actual system proven in operational environment</t>
        </is>
      </c>
      <c r="E57" s="2" t="inlineStr">
        <is>
          <t>Actively Maintained</t>
        </is>
      </c>
      <c r="F57" s="2" t="inlineStr">
        <is>
          <t>1-5</t>
        </is>
      </c>
      <c r="G57" s="2" t="inlineStr">
        <is>
          <t>11-20</t>
        </is>
      </c>
      <c r="H57" s="2" t="inlineStr">
        <is>
          <t>DataCite e.V. SESAR GFZ Data Services Kiel University IGSN Service Lithodat Pty Ltd Commonwealth Scientific and Industrial Research Organisation Institut Français de Recherche pour l'Exploitation de la Mer</t>
        </is>
      </c>
      <c r="I57" s="2" t="inlineStr">
        <is>
          <t>Through solution provider only</t>
        </is>
      </c>
      <c r="J57" s="3">
        <f>Calc!B57</f>
        <v>100</v>
      </c>
      <c r="K57" s="3">
        <f>Calc!C57</f>
        <v>100</v>
      </c>
      <c r="L57" s="3">
        <f>Calc!F57</f>
        <v>50</v>
      </c>
      <c r="M57" s="3">
        <f>Verification!E57</f>
        <v>50</v>
      </c>
      <c r="N57" s="3">
        <f>Calc!I57</f>
        <v>100</v>
      </c>
      <c r="O57" s="3">
        <f>AVERAGE(J57:N57)</f>
        <v>80</v>
      </c>
      <c r="P57" s="2">
        <f>RANK.EQ(O57,$O$2:$O$113,0)</f>
        <v>6</v>
      </c>
      <c r="Q57" s="2" t="inlineStr">
        <is>
          <t>Review affiliation coding; override available</t>
        </is>
      </c>
      <c r="R57" s="2">
        <f>Coverage!I57</f>
        <v>5</v>
      </c>
      <c r="S57" s="4">
        <f>Coverage!J57</f>
        <v>1</v>
      </c>
      <c r="T57" s="3">
        <f>Coverage!K57</f>
        <v>80</v>
      </c>
    </row>
    <row r="58">
      <c r="A58" s="2" t="inlineStr">
        <is>
          <t>InvenioRDM</t>
        </is>
      </c>
      <c r="B58" s="2" t="inlineStr">
        <is>
          <t>CERN</t>
        </is>
      </c>
      <c r="C58" s="2" t="inlineStr">
        <is>
          <t>Repository software</t>
        </is>
      </c>
      <c r="D58" s="2" t="inlineStr">
        <is>
          <t>System complete and qualified</t>
        </is>
      </c>
      <c r="E58" s="2" t="inlineStr">
        <is>
          <t>Actively Maintained</t>
        </is>
      </c>
      <c r="F58" s="2" t="inlineStr"/>
      <c r="G58" s="2" t="inlineStr"/>
      <c r="H58" s="2" t="inlineStr"/>
      <c r="I58" s="2" t="inlineStr">
        <is>
          <t>No services available</t>
        </is>
      </c>
      <c r="J58" s="3">
        <f>Calc!B58</f>
        <v>88.8888888888889</v>
      </c>
      <c r="K58" s="3">
        <f>Calc!C58</f>
        <v>100</v>
      </c>
      <c r="L58" s="3">
        <f>Calc!F58</f>
        <v>0</v>
      </c>
      <c r="M58" s="3">
        <f>Verification!E58</f>
        <v>0</v>
      </c>
      <c r="N58" s="3">
        <f>Calc!I58</f>
        <v>0</v>
      </c>
      <c r="O58" s="3">
        <f>AVERAGE(J58:N58)</f>
        <v>37.7777777777778</v>
      </c>
      <c r="P58" s="2">
        <f>RANK.EQ(O58,$O$2:$O$113,0)</f>
        <v>108</v>
      </c>
      <c r="Q58" s="2" t="inlineStr">
        <is>
          <t>Full-time staffing missing/unknown scored 0; Volunteer staffing missing/unknown scored 0</t>
        </is>
      </c>
      <c r="R58" s="2">
        <f>Coverage!I58</f>
        <v>3</v>
      </c>
      <c r="S58" s="4">
        <f>Coverage!J58</f>
        <v>0.6</v>
      </c>
      <c r="T58" s="3">
        <f>Coverage!K58</f>
        <v>62.962962962963</v>
      </c>
    </row>
    <row r="59">
      <c r="A59" s="2" t="inlineStr">
        <is>
          <t>iRODS</t>
        </is>
      </c>
      <c r="B59" s="2" t="inlineStr">
        <is>
          <t>Renaissance Computing Institute (RENCI)</t>
        </is>
      </c>
      <c r="C59" s="2" t="inlineStr">
        <is>
          <t>Data management planning tool or service | Digital preservation system | Discovery system</t>
        </is>
      </c>
      <c r="D59" s="2" t="inlineStr">
        <is>
          <t>Actual system proven in operational environment</t>
        </is>
      </c>
      <c r="E59" s="2" t="inlineStr">
        <is>
          <t>Actively Maintained</t>
        </is>
      </c>
      <c r="F59" s="2" t="inlineStr">
        <is>
          <t>6-10</t>
        </is>
      </c>
      <c r="G59" s="2" t="inlineStr">
        <is>
          <t>0</t>
        </is>
      </c>
      <c r="H59" s="2" t="inlineStr">
        <is>
          <t>Executive Board Members (Premier Level)</t>
        </is>
      </c>
      <c r="I59" s="2" t="inlineStr">
        <is>
          <t>Through solution provider or third party vendor</t>
        </is>
      </c>
      <c r="J59" s="3">
        <f>Calc!B59</f>
        <v>100</v>
      </c>
      <c r="K59" s="3">
        <f>Calc!C59</f>
        <v>100</v>
      </c>
      <c r="L59" s="3">
        <f>Calc!F59</f>
        <v>25</v>
      </c>
      <c r="M59" s="3">
        <f>Verification!E59</f>
        <v>50</v>
      </c>
      <c r="N59" s="3">
        <f>Calc!I59</f>
        <v>100</v>
      </c>
      <c r="O59" s="3">
        <f>AVERAGE(J59:N59)</f>
        <v>75</v>
      </c>
      <c r="P59" s="2">
        <f>RANK.EQ(O59,$O$2:$O$113,0)</f>
        <v>10</v>
      </c>
      <c r="Q59" s="2" t="inlineStr">
        <is>
          <t>Review affiliation coding; override available</t>
        </is>
      </c>
      <c r="R59" s="2">
        <f>Coverage!I59</f>
        <v>5</v>
      </c>
      <c r="S59" s="4">
        <f>Coverage!J59</f>
        <v>1</v>
      </c>
      <c r="T59" s="3">
        <f>Coverage!K59</f>
        <v>75</v>
      </c>
    </row>
    <row r="60">
      <c r="A60" s="2" t="inlineStr">
        <is>
          <t>Islandora</t>
        </is>
      </c>
      <c r="B60" s="2" t="inlineStr">
        <is>
          <t>Islandora Foundation</t>
        </is>
      </c>
      <c r="C60" s="2" t="inlineStr">
        <is>
          <t>Authoring tool | Digital asset management system</t>
        </is>
      </c>
      <c r="D60" s="2" t="inlineStr">
        <is>
          <t>Actual system proven in operational environment</t>
        </is>
      </c>
      <c r="E60" s="2" t="inlineStr">
        <is>
          <t>Actively Maintained</t>
        </is>
      </c>
      <c r="F60" s="2" t="inlineStr"/>
      <c r="G60" s="2" t="inlineStr"/>
      <c r="H60" s="2" t="inlineStr"/>
      <c r="I60" s="2" t="inlineStr">
        <is>
          <t>Through third party vendor only</t>
        </is>
      </c>
      <c r="J60" s="3">
        <f>Calc!B60</f>
        <v>100</v>
      </c>
      <c r="K60" s="3">
        <f>Calc!C60</f>
        <v>100</v>
      </c>
      <c r="L60" s="3">
        <f>Calc!F60</f>
        <v>0</v>
      </c>
      <c r="M60" s="3">
        <f>Verification!E60</f>
        <v>0</v>
      </c>
      <c r="N60" s="3">
        <f>Calc!I60</f>
        <v>100</v>
      </c>
      <c r="O60" s="3">
        <f>AVERAGE(J60:N60)</f>
        <v>60</v>
      </c>
      <c r="P60" s="2">
        <f>RANK.EQ(O60,$O$2:$O$113,0)</f>
        <v>43</v>
      </c>
      <c r="Q60" s="2" t="inlineStr">
        <is>
          <t>Full-time staffing missing/unknown scored 0; Volunteer staffing missing/unknown scored 0</t>
        </is>
      </c>
      <c r="R60" s="2">
        <f>Coverage!I60</f>
        <v>3</v>
      </c>
      <c r="S60" s="4">
        <f>Coverage!J60</f>
        <v>0.6</v>
      </c>
      <c r="T60" s="3">
        <f>Coverage!K60</f>
        <v>100</v>
      </c>
    </row>
    <row r="61">
      <c r="A61" s="2" t="inlineStr">
        <is>
          <t>Janeway</t>
        </is>
      </c>
      <c r="B61" s="2" t="inlineStr">
        <is>
          <t>Open Library of Humanities</t>
        </is>
      </c>
      <c r="C61" s="2" t="inlineStr">
        <is>
          <t>Publishing system</t>
        </is>
      </c>
      <c r="D61" s="2" t="inlineStr">
        <is>
          <t>Actual system proven in operational environment</t>
        </is>
      </c>
      <c r="E61" s="2" t="inlineStr">
        <is>
          <t>Actively Maintained</t>
        </is>
      </c>
      <c r="F61" s="2" t="inlineStr"/>
      <c r="G61" s="2" t="inlineStr"/>
      <c r="H61" s="2" t="inlineStr"/>
      <c r="I61" s="2" t="inlineStr">
        <is>
          <t>Through solution provider only</t>
        </is>
      </c>
      <c r="J61" s="3">
        <f>Calc!B61</f>
        <v>100</v>
      </c>
      <c r="K61" s="3">
        <f>Calc!C61</f>
        <v>100</v>
      </c>
      <c r="L61" s="3">
        <f>Calc!F61</f>
        <v>0</v>
      </c>
      <c r="M61" s="3">
        <f>Verification!E61</f>
        <v>0</v>
      </c>
      <c r="N61" s="3">
        <f>Calc!I61</f>
        <v>100</v>
      </c>
      <c r="O61" s="3">
        <f>AVERAGE(J61:N61)</f>
        <v>60</v>
      </c>
      <c r="P61" s="2">
        <f>RANK.EQ(O61,$O$2:$O$113,0)</f>
        <v>43</v>
      </c>
      <c r="Q61" s="2" t="inlineStr">
        <is>
          <t>Full-time staffing missing/unknown scored 0; Volunteer staffing missing/unknown scored 0</t>
        </is>
      </c>
      <c r="R61" s="2">
        <f>Coverage!I61</f>
        <v>3</v>
      </c>
      <c r="S61" s="4">
        <f>Coverage!J61</f>
        <v>0.6</v>
      </c>
      <c r="T61" s="3">
        <f>Coverage!K61</f>
        <v>100</v>
      </c>
    </row>
    <row r="62">
      <c r="A62" s="2" t="inlineStr">
        <is>
          <t>JHOVE</t>
        </is>
      </c>
      <c r="B62" s="2" t="inlineStr">
        <is>
          <t>Open Preservation Foundation</t>
        </is>
      </c>
      <c r="C62" s="2" t="inlineStr">
        <is>
          <t>Computing library | Digital preservation tool</t>
        </is>
      </c>
      <c r="D62" s="2" t="inlineStr">
        <is>
          <t>Actual system proven in operational environment</t>
        </is>
      </c>
      <c r="E62" s="2" t="inlineStr">
        <is>
          <t>Actively Maintained</t>
        </is>
      </c>
      <c r="F62" s="2" t="inlineStr">
        <is>
          <t>1-5</t>
        </is>
      </c>
      <c r="G62" s="2" t="inlineStr">
        <is>
          <t>0</t>
        </is>
      </c>
      <c r="H62" s="2" t="inlineStr">
        <is>
          <t>OPF Membership</t>
        </is>
      </c>
      <c r="I62" s="2" t="inlineStr">
        <is>
          <t>No services available</t>
        </is>
      </c>
      <c r="J62" s="3">
        <f>Calc!B62</f>
        <v>100</v>
      </c>
      <c r="K62" s="3">
        <f>Calc!C62</f>
        <v>100</v>
      </c>
      <c r="L62" s="3">
        <f>Calc!F62</f>
        <v>12.5</v>
      </c>
      <c r="M62" s="3">
        <f>Verification!E62</f>
        <v>50</v>
      </c>
      <c r="N62" s="3">
        <f>Calc!I62</f>
        <v>0</v>
      </c>
      <c r="O62" s="3">
        <f>AVERAGE(J62:N62)</f>
        <v>52.5</v>
      </c>
      <c r="P62" s="2">
        <f>RANK.EQ(O62,$O$2:$O$113,0)</f>
        <v>69</v>
      </c>
      <c r="Q62" s="2" t="inlineStr">
        <is>
          <t>Review affiliation coding; override available</t>
        </is>
      </c>
      <c r="R62" s="2">
        <f>Coverage!I62</f>
        <v>5</v>
      </c>
      <c r="S62" s="4">
        <f>Coverage!J62</f>
        <v>1</v>
      </c>
      <c r="T62" s="3">
        <f>Coverage!K62</f>
        <v>52.5</v>
      </c>
    </row>
    <row r="63">
      <c r="A63" s="2" t="inlineStr">
        <is>
          <t>LA Referencia</t>
        </is>
      </c>
      <c r="B63" s="2" t="inlineStr">
        <is>
          <t>LA Referencia</t>
        </is>
      </c>
      <c r="C63" s="2" t="inlineStr">
        <is>
          <t>Discovery system</t>
        </is>
      </c>
      <c r="D63" s="2" t="inlineStr">
        <is>
          <t>Actual system proven in operational environment</t>
        </is>
      </c>
      <c r="E63" s="2" t="inlineStr">
        <is>
          <t>Actively Maintained</t>
        </is>
      </c>
      <c r="F63" s="2" t="inlineStr"/>
      <c r="G63" s="2" t="inlineStr"/>
      <c r="H63" s="2" t="inlineStr"/>
      <c r="I63" s="2" t="inlineStr">
        <is>
          <t>Not applicable</t>
        </is>
      </c>
      <c r="J63" s="3">
        <f>Calc!B63</f>
        <v>100</v>
      </c>
      <c r="K63" s="3">
        <f>Calc!C63</f>
        <v>100</v>
      </c>
      <c r="L63" s="3">
        <f>Calc!F63</f>
        <v>0</v>
      </c>
      <c r="M63" s="3">
        <f>Verification!E63</f>
        <v>0</v>
      </c>
      <c r="N63" s="3">
        <f>Calc!I63</f>
        <v>0</v>
      </c>
      <c r="O63" s="3">
        <f>AVERAGE(J63:N63)</f>
        <v>40</v>
      </c>
      <c r="P63" s="2">
        <f>RANK.EQ(O63,$O$2:$O$113,0)</f>
        <v>83</v>
      </c>
      <c r="Q63" s="2" t="inlineStr">
        <is>
          <t>Full-time staffing missing/unknown scored 0; Volunteer staffing missing/unknown scored 0; Service-delivery field not applicable/unknown scored 0</t>
        </is>
      </c>
      <c r="R63" s="2">
        <f>Coverage!I63</f>
        <v>2</v>
      </c>
      <c r="S63" s="4">
        <f>Coverage!J63</f>
        <v>0.4</v>
      </c>
      <c r="T63" s="3">
        <f>Coverage!K63</f>
        <v>100</v>
      </c>
    </row>
    <row r="64">
      <c r="A64" s="2" t="inlineStr">
        <is>
          <t>Manifold</t>
        </is>
      </c>
      <c r="B64" s="2" t="inlineStr">
        <is>
          <t>Manifold Digital Services</t>
        </is>
      </c>
      <c r="C64" s="2" t="inlineStr">
        <is>
          <t>Publishing system</t>
        </is>
      </c>
      <c r="D64" s="2" t="inlineStr">
        <is>
          <t>Actual system proven in operational environment</t>
        </is>
      </c>
      <c r="E64" s="2" t="inlineStr">
        <is>
          <t>Actively Maintained</t>
        </is>
      </c>
      <c r="F64" s="2" t="inlineStr"/>
      <c r="G64" s="2" t="inlineStr"/>
      <c r="H64" s="2" t="inlineStr"/>
      <c r="I64" s="2" t="inlineStr">
        <is>
          <t>Through third party vendor only</t>
        </is>
      </c>
      <c r="J64" s="3">
        <f>Calc!B64</f>
        <v>100</v>
      </c>
      <c r="K64" s="3">
        <f>Calc!C64</f>
        <v>100</v>
      </c>
      <c r="L64" s="3">
        <f>Calc!F64</f>
        <v>0</v>
      </c>
      <c r="M64" s="3">
        <f>Verification!E64</f>
        <v>0</v>
      </c>
      <c r="N64" s="3">
        <f>Calc!I64</f>
        <v>100</v>
      </c>
      <c r="O64" s="3">
        <f>AVERAGE(J64:N64)</f>
        <v>60</v>
      </c>
      <c r="P64" s="2">
        <f>RANK.EQ(O64,$O$2:$O$113,0)</f>
        <v>43</v>
      </c>
      <c r="Q64" s="2" t="inlineStr">
        <is>
          <t>Full-time staffing missing/unknown scored 0; Volunteer staffing missing/unknown scored 0</t>
        </is>
      </c>
      <c r="R64" s="2">
        <f>Coverage!I64</f>
        <v>3</v>
      </c>
      <c r="S64" s="4">
        <f>Coverage!J64</f>
        <v>0.6</v>
      </c>
      <c r="T64" s="3">
        <f>Coverage!K64</f>
        <v>100</v>
      </c>
    </row>
    <row r="65">
      <c r="A65" s="2" t="inlineStr">
        <is>
          <t>medRxiv</t>
        </is>
      </c>
      <c r="B65" s="2" t="inlineStr">
        <is>
          <t>Cold Spring Harbor Laboratory</t>
        </is>
      </c>
      <c r="C65" s="2" t="inlineStr">
        <is>
          <t>Repository service</t>
        </is>
      </c>
      <c r="D65" s="2" t="inlineStr">
        <is>
          <t>Actual system proven in operational environment</t>
        </is>
      </c>
      <c r="E65" s="2" t="inlineStr">
        <is>
          <t>Actively Maintained</t>
        </is>
      </c>
      <c r="F65" s="2" t="inlineStr"/>
      <c r="G65" s="2" t="inlineStr"/>
      <c r="H65" s="2" t="inlineStr"/>
      <c r="I65" s="2" t="inlineStr">
        <is>
          <t>Through solution provider or third party vendor</t>
        </is>
      </c>
      <c r="J65" s="3">
        <f>Calc!B65</f>
        <v>100</v>
      </c>
      <c r="K65" s="3">
        <f>Calc!C65</f>
        <v>100</v>
      </c>
      <c r="L65" s="3">
        <f>Calc!F65</f>
        <v>0</v>
      </c>
      <c r="M65" s="3">
        <f>Verification!E65</f>
        <v>0</v>
      </c>
      <c r="N65" s="3">
        <f>Calc!I65</f>
        <v>100</v>
      </c>
      <c r="O65" s="3">
        <f>AVERAGE(J65:N65)</f>
        <v>60</v>
      </c>
      <c r="P65" s="2">
        <f>RANK.EQ(O65,$O$2:$O$113,0)</f>
        <v>43</v>
      </c>
      <c r="Q65" s="2" t="inlineStr">
        <is>
          <t>Full-time staffing missing/unknown scored 0; Volunteer staffing missing/unknown scored 0</t>
        </is>
      </c>
      <c r="R65" s="2">
        <f>Coverage!I65</f>
        <v>3</v>
      </c>
      <c r="S65" s="4">
        <f>Coverage!J65</f>
        <v>0.6</v>
      </c>
      <c r="T65" s="3">
        <f>Coverage!K65</f>
        <v>100</v>
      </c>
    </row>
    <row r="66">
      <c r="A66" s="2" t="inlineStr">
        <is>
          <t>Metadata Encoding and Transmission Standard (METS)</t>
        </is>
      </c>
      <c r="B66" s="2" t="inlineStr">
        <is>
          <t>METS Editorial Board</t>
        </is>
      </c>
      <c r="C66" s="2" t="inlineStr">
        <is>
          <t>Standard, specification or protocol</t>
        </is>
      </c>
      <c r="D66" s="2" t="inlineStr">
        <is>
          <t>Actual system proven in operational environment</t>
        </is>
      </c>
      <c r="E66" s="2" t="inlineStr">
        <is>
          <t>Actively Maintained</t>
        </is>
      </c>
      <c r="F66" s="2" t="inlineStr">
        <is>
          <t>0</t>
        </is>
      </c>
      <c r="G66" s="2" t="inlineStr">
        <is>
          <t>1-5</t>
        </is>
      </c>
      <c r="H66" s="2" t="inlineStr">
        <is>
          <t>Library of Congress provides hosting support for the METS schema; the METS editorial board functions as an independent community group.</t>
        </is>
      </c>
      <c r="I66" s="2" t="inlineStr">
        <is>
          <t>Not applicable</t>
        </is>
      </c>
      <c r="J66" s="3">
        <f>Calc!B66</f>
        <v>100</v>
      </c>
      <c r="K66" s="3">
        <f>Calc!C66</f>
        <v>100</v>
      </c>
      <c r="L66" s="3">
        <f>Calc!F66</f>
        <v>12.5</v>
      </c>
      <c r="M66" s="3">
        <f>Verification!E66</f>
        <v>50</v>
      </c>
      <c r="N66" s="3">
        <f>Calc!I66</f>
        <v>0</v>
      </c>
      <c r="O66" s="3">
        <f>AVERAGE(J66:N66)</f>
        <v>52.5</v>
      </c>
      <c r="P66" s="2">
        <f>RANK.EQ(O66,$O$2:$O$113,0)</f>
        <v>69</v>
      </c>
      <c r="Q66" s="2" t="inlineStr">
        <is>
          <t>Review affiliation coding; override available; Service-delivery field not applicable/unknown scored 0</t>
        </is>
      </c>
      <c r="R66" s="2">
        <f>Coverage!I66</f>
        <v>4</v>
      </c>
      <c r="S66" s="4">
        <f>Coverage!J66</f>
        <v>0.8</v>
      </c>
      <c r="T66" s="3">
        <f>Coverage!K66</f>
        <v>65.625</v>
      </c>
    </row>
    <row r="67">
      <c r="A67" s="2" t="inlineStr">
        <is>
          <t>Mirador</t>
        </is>
      </c>
      <c r="B67" s="2" t="inlineStr">
        <is>
          <t>Project Mirador</t>
        </is>
      </c>
      <c r="C67" s="2" t="inlineStr">
        <is>
          <t>Annotations system | Media viewer/player</t>
        </is>
      </c>
      <c r="D67" s="2" t="inlineStr">
        <is>
          <t>Actual system proven in operational environment</t>
        </is>
      </c>
      <c r="E67" s="2" t="inlineStr">
        <is>
          <t>Actively Maintained</t>
        </is>
      </c>
      <c r="F67" s="2" t="inlineStr"/>
      <c r="G67" s="2" t="inlineStr"/>
      <c r="H67" s="2" t="inlineStr"/>
      <c r="I67" s="2" t="inlineStr">
        <is>
          <t>Not applicable</t>
        </is>
      </c>
      <c r="J67" s="3">
        <f>Calc!B67</f>
        <v>100</v>
      </c>
      <c r="K67" s="3">
        <f>Calc!C67</f>
        <v>100</v>
      </c>
      <c r="L67" s="3">
        <f>Calc!F67</f>
        <v>0</v>
      </c>
      <c r="M67" s="3">
        <f>Verification!E67</f>
        <v>0</v>
      </c>
      <c r="N67" s="3">
        <f>Calc!I67</f>
        <v>0</v>
      </c>
      <c r="O67" s="3">
        <f>AVERAGE(J67:N67)</f>
        <v>40</v>
      </c>
      <c r="P67" s="2">
        <f>RANK.EQ(O67,$O$2:$O$113,0)</f>
        <v>83</v>
      </c>
      <c r="Q67" s="2" t="inlineStr">
        <is>
          <t>Full-time staffing missing/unknown scored 0; Volunteer staffing missing/unknown scored 0; Service-delivery field not applicable/unknown scored 0</t>
        </is>
      </c>
      <c r="R67" s="2">
        <f>Coverage!I67</f>
        <v>2</v>
      </c>
      <c r="S67" s="4">
        <f>Coverage!J67</f>
        <v>0.4</v>
      </c>
      <c r="T67" s="3">
        <f>Coverage!K67</f>
        <v>100</v>
      </c>
    </row>
    <row r="68">
      <c r="A68" s="2" t="inlineStr">
        <is>
          <t>Mukurtu CMS</t>
        </is>
      </c>
      <c r="B68" s="2" t="inlineStr">
        <is>
          <t>Center for Digital Scholarship and Curation</t>
        </is>
      </c>
      <c r="C68" s="2" t="inlineStr">
        <is>
          <t>Archive information management system | Digital asset management system</t>
        </is>
      </c>
      <c r="D68" s="2" t="inlineStr">
        <is>
          <t>Actual system proven in operational environment</t>
        </is>
      </c>
      <c r="E68" s="2" t="inlineStr">
        <is>
          <t>Actively Maintained</t>
        </is>
      </c>
      <c r="F68" s="2" t="inlineStr"/>
      <c r="G68" s="2" t="inlineStr"/>
      <c r="H68" s="2" t="inlineStr"/>
      <c r="I68" s="2" t="inlineStr">
        <is>
          <t>Through third party vendor only</t>
        </is>
      </c>
      <c r="J68" s="3">
        <f>Calc!B68</f>
        <v>100</v>
      </c>
      <c r="K68" s="3">
        <f>Calc!C68</f>
        <v>100</v>
      </c>
      <c r="L68" s="3">
        <f>Calc!F68</f>
        <v>0</v>
      </c>
      <c r="M68" s="3">
        <f>Verification!E68</f>
        <v>0</v>
      </c>
      <c r="N68" s="3">
        <f>Calc!I68</f>
        <v>100</v>
      </c>
      <c r="O68" s="3">
        <f>AVERAGE(J68:N68)</f>
        <v>60</v>
      </c>
      <c r="P68" s="2">
        <f>RANK.EQ(O68,$O$2:$O$113,0)</f>
        <v>43</v>
      </c>
      <c r="Q68" s="2" t="inlineStr">
        <is>
          <t>Full-time staffing missing/unknown scored 0; Volunteer staffing missing/unknown scored 0</t>
        </is>
      </c>
      <c r="R68" s="2">
        <f>Coverage!I68</f>
        <v>3</v>
      </c>
      <c r="S68" s="4">
        <f>Coverage!J68</f>
        <v>0.6</v>
      </c>
      <c r="T68" s="3">
        <f>Coverage!K68</f>
        <v>100</v>
      </c>
    </row>
    <row r="69">
      <c r="A69" s="2" t="inlineStr">
        <is>
          <t>MyCoRe</t>
        </is>
      </c>
      <c r="B69" s="2" t="inlineStr">
        <is>
          <t>MyCoRe Community</t>
        </is>
      </c>
      <c r="C69" s="2" t="inlineStr">
        <is>
          <t>Digital asset management system | Digital library, collection or exhibit platform | Repository software</t>
        </is>
      </c>
      <c r="D69" s="2" t="inlineStr">
        <is>
          <t>Actual system proven in operational environment</t>
        </is>
      </c>
      <c r="E69" s="2" t="inlineStr">
        <is>
          <t>Actively Maintained</t>
        </is>
      </c>
      <c r="F69" s="2" t="inlineStr">
        <is>
          <t>1-5</t>
        </is>
      </c>
      <c r="G69" s="2" t="inlineStr">
        <is>
          <t>6-10</t>
        </is>
      </c>
      <c r="H69" s="2" t="inlineStr">
        <is>
          <t>Regional Computer Center, Hamburg University</t>
        </is>
      </c>
      <c r="I69" s="2" t="inlineStr">
        <is>
          <t>Through solution provider only</t>
        </is>
      </c>
      <c r="J69" s="3">
        <f>Calc!B69</f>
        <v>100</v>
      </c>
      <c r="K69" s="3">
        <f>Calc!C69</f>
        <v>100</v>
      </c>
      <c r="L69" s="3">
        <f>Calc!F69</f>
        <v>37.5</v>
      </c>
      <c r="M69" s="3">
        <f>Verification!E69</f>
        <v>50</v>
      </c>
      <c r="N69" s="3">
        <f>Calc!I69</f>
        <v>100</v>
      </c>
      <c r="O69" s="3">
        <f>AVERAGE(J69:N69)</f>
        <v>77.5</v>
      </c>
      <c r="P69" s="2">
        <f>RANK.EQ(O69,$O$2:$O$113,0)</f>
        <v>9</v>
      </c>
      <c r="Q69" s="2" t="inlineStr">
        <is>
          <t>Review affiliation coding; override available</t>
        </is>
      </c>
      <c r="R69" s="2">
        <f>Coverage!I69</f>
        <v>5</v>
      </c>
      <c r="S69" s="4">
        <f>Coverage!J69</f>
        <v>1</v>
      </c>
      <c r="T69" s="3">
        <f>Coverage!K69</f>
        <v>77.5</v>
      </c>
    </row>
    <row r="70">
      <c r="A70" s="2" t="inlineStr">
        <is>
          <t>NumPy</t>
        </is>
      </c>
      <c r="B70" s="2" t="inlineStr">
        <is>
          <t>NumPy Community</t>
        </is>
      </c>
      <c r="C70" s="2" t="inlineStr">
        <is>
          <t>Computing library | Standard, specification or protocol</t>
        </is>
      </c>
      <c r="D70" s="2" t="inlineStr">
        <is>
          <t>Actual system proven in operational environment</t>
        </is>
      </c>
      <c r="E70" s="2" t="inlineStr">
        <is>
          <t>Actively Maintained</t>
        </is>
      </c>
      <c r="F70" s="2" t="inlineStr">
        <is>
          <t>1-5</t>
        </is>
      </c>
      <c r="G70" s="2" t="inlineStr">
        <is>
          <t>6-10</t>
        </is>
      </c>
      <c r="H70" s="2" t="inlineStr">
        <is>
          <t>NumFOCUS; UC Berkeley; Quansight; NVIDIA</t>
        </is>
      </c>
      <c r="I70" s="2" t="inlineStr">
        <is>
          <t>Not applicable</t>
        </is>
      </c>
      <c r="J70" s="3">
        <f>Calc!B70</f>
        <v>100</v>
      </c>
      <c r="K70" s="3">
        <f>Calc!C70</f>
        <v>100</v>
      </c>
      <c r="L70" s="3">
        <f>Calc!F70</f>
        <v>37.5</v>
      </c>
      <c r="M70" s="3">
        <f>Verification!E70</f>
        <v>50</v>
      </c>
      <c r="N70" s="3">
        <f>Calc!I70</f>
        <v>0</v>
      </c>
      <c r="O70" s="3">
        <f>AVERAGE(J70:N70)</f>
        <v>57.5</v>
      </c>
      <c r="P70" s="2">
        <f>RANK.EQ(O70,$O$2:$O$113,0)</f>
        <v>63</v>
      </c>
      <c r="Q70" s="2" t="inlineStr">
        <is>
          <t>Review affiliation coding; override available; Service-delivery field not applicable/unknown scored 0</t>
        </is>
      </c>
      <c r="R70" s="2">
        <f>Coverage!I70</f>
        <v>4</v>
      </c>
      <c r="S70" s="4">
        <f>Coverage!J70</f>
        <v>0.8</v>
      </c>
      <c r="T70" s="3">
        <f>Coverage!K70</f>
        <v>71.875</v>
      </c>
    </row>
    <row r="71">
      <c r="A71" s="2" t="inlineStr">
        <is>
          <t>OA.Report</t>
        </is>
      </c>
      <c r="B71" s="2" t="inlineStr">
        <is>
          <t>OA.Works</t>
        </is>
      </c>
      <c r="C71" s="2" t="inlineStr">
        <is>
          <t>Open access or subscription management tool | Research profiling system</t>
        </is>
      </c>
      <c r="D71" s="2" t="inlineStr">
        <is>
          <t>Actual system proven in operational environment</t>
        </is>
      </c>
      <c r="E71" s="2" t="inlineStr">
        <is>
          <t>Actively Maintained</t>
        </is>
      </c>
      <c r="F71" s="2" t="inlineStr">
        <is>
          <t>6-10</t>
        </is>
      </c>
      <c r="G71" s="2" t="inlineStr">
        <is>
          <t>0</t>
        </is>
      </c>
      <c r="H71" s="2" t="inlineStr">
        <is>
          <t>Code for Science &amp; Society (fiscal sponsor of OA.Works)</t>
        </is>
      </c>
      <c r="I71" s="2" t="inlineStr">
        <is>
          <t>Through solution provider only</t>
        </is>
      </c>
      <c r="J71" s="3">
        <f>Calc!B71</f>
        <v>100</v>
      </c>
      <c r="K71" s="3">
        <f>Calc!C71</f>
        <v>100</v>
      </c>
      <c r="L71" s="3">
        <f>Calc!F71</f>
        <v>25</v>
      </c>
      <c r="M71" s="3">
        <f>Verification!E71</f>
        <v>100</v>
      </c>
      <c r="N71" s="3">
        <f>Calc!I71</f>
        <v>100</v>
      </c>
      <c r="O71" s="3">
        <f>AVERAGE(J71:N71)</f>
        <v>85</v>
      </c>
      <c r="P71" s="2">
        <f>RANK.EQ(O71,$O$2:$O$113,0)</f>
        <v>3</v>
      </c>
      <c r="Q71" s="2" t="inlineStr">
        <is>
          <t>Review affiliation coding; override available</t>
        </is>
      </c>
      <c r="R71" s="2">
        <f>Coverage!I71</f>
        <v>5</v>
      </c>
      <c r="S71" s="4">
        <f>Coverage!J71</f>
        <v>1</v>
      </c>
      <c r="T71" s="3">
        <f>Coverage!K71</f>
        <v>85</v>
      </c>
    </row>
    <row r="72">
      <c r="A72" s="2" t="inlineStr">
        <is>
          <t>OA Switchboard</t>
        </is>
      </c>
      <c r="B72" s="2" t="inlineStr">
        <is>
          <t>Stichting OA Switchboard</t>
        </is>
      </c>
      <c r="C72" s="2" t="inlineStr">
        <is>
          <t>Open access or subscription management tool</t>
        </is>
      </c>
      <c r="D72" s="2" t="inlineStr">
        <is>
          <t>Actual system proven in operational environment</t>
        </is>
      </c>
      <c r="E72" s="2" t="inlineStr">
        <is>
          <t>Actively Maintained</t>
        </is>
      </c>
      <c r="F72" s="2" t="inlineStr"/>
      <c r="G72" s="2" t="inlineStr"/>
      <c r="H72" s="2" t="inlineStr"/>
      <c r="I72" s="2" t="inlineStr">
        <is>
          <t>Not applicable</t>
        </is>
      </c>
      <c r="J72" s="3">
        <f>Calc!B72</f>
        <v>100</v>
      </c>
      <c r="K72" s="3">
        <f>Calc!C72</f>
        <v>100</v>
      </c>
      <c r="L72" s="3">
        <f>Calc!F72</f>
        <v>0</v>
      </c>
      <c r="M72" s="3">
        <f>Verification!E72</f>
        <v>0</v>
      </c>
      <c r="N72" s="3">
        <f>Calc!I72</f>
        <v>0</v>
      </c>
      <c r="O72" s="3">
        <f>AVERAGE(J72:N72)</f>
        <v>40</v>
      </c>
      <c r="P72" s="2">
        <f>RANK.EQ(O72,$O$2:$O$113,0)</f>
        <v>83</v>
      </c>
      <c r="Q72" s="2" t="inlineStr">
        <is>
          <t>Full-time staffing missing/unknown scored 0; Volunteer staffing missing/unknown scored 0; Service-delivery field not applicable/unknown scored 0</t>
        </is>
      </c>
      <c r="R72" s="2">
        <f>Coverage!I72</f>
        <v>2</v>
      </c>
      <c r="S72" s="4">
        <f>Coverage!J72</f>
        <v>0.4</v>
      </c>
      <c r="T72" s="3">
        <f>Coverage!K72</f>
        <v>100</v>
      </c>
    </row>
    <row r="73">
      <c r="A73" s="2" t="inlineStr">
        <is>
          <t>Omeka</t>
        </is>
      </c>
      <c r="B73" s="2" t="inlineStr">
        <is>
          <t>Digital Scholar</t>
        </is>
      </c>
      <c r="C73" s="2" t="inlineStr">
        <is>
          <t>Digital library, collection or exhibit platform</t>
        </is>
      </c>
      <c r="D73" s="2" t="inlineStr">
        <is>
          <t>Actual system proven in operational environment</t>
        </is>
      </c>
      <c r="E73" s="2" t="inlineStr">
        <is>
          <t>Actively Maintained</t>
        </is>
      </c>
      <c r="F73" s="2" t="inlineStr"/>
      <c r="G73" s="2" t="inlineStr"/>
      <c r="H73" s="2" t="inlineStr"/>
      <c r="I73" s="2" t="inlineStr">
        <is>
          <t>Through solution provider only</t>
        </is>
      </c>
      <c r="J73" s="3">
        <f>Calc!B73</f>
        <v>100</v>
      </c>
      <c r="K73" s="3">
        <f>Calc!C73</f>
        <v>100</v>
      </c>
      <c r="L73" s="3">
        <f>Calc!F73</f>
        <v>0</v>
      </c>
      <c r="M73" s="3">
        <f>Verification!E73</f>
        <v>0</v>
      </c>
      <c r="N73" s="3">
        <f>Calc!I73</f>
        <v>100</v>
      </c>
      <c r="O73" s="3">
        <f>AVERAGE(J73:N73)</f>
        <v>60</v>
      </c>
      <c r="P73" s="2">
        <f>RANK.EQ(O73,$O$2:$O$113,0)</f>
        <v>43</v>
      </c>
      <c r="Q73" s="2" t="inlineStr">
        <is>
          <t>Full-time staffing missing/unknown scored 0; Volunteer staffing missing/unknown scored 0</t>
        </is>
      </c>
      <c r="R73" s="2">
        <f>Coverage!I73</f>
        <v>3</v>
      </c>
      <c r="S73" s="4">
        <f>Coverage!J73</f>
        <v>0.6</v>
      </c>
      <c r="T73" s="3">
        <f>Coverage!K73</f>
        <v>100</v>
      </c>
    </row>
    <row r="74">
      <c r="A74" s="2" t="inlineStr">
        <is>
          <t>OpenAIRE Graph</t>
        </is>
      </c>
      <c r="B74" s="2" t="inlineStr">
        <is>
          <t>OpenAIRE</t>
        </is>
      </c>
      <c r="C74" s="2" t="inlineStr">
        <is>
          <t>Discovery system | Open scholarly dataset</t>
        </is>
      </c>
      <c r="D74" s="2" t="inlineStr">
        <is>
          <t>Actual system proven in operational environment</t>
        </is>
      </c>
      <c r="E74" s="2" t="inlineStr">
        <is>
          <t>Actively Maintained</t>
        </is>
      </c>
      <c r="F74" s="2" t="inlineStr"/>
      <c r="G74" s="2" t="inlineStr"/>
      <c r="H74" s="2" t="inlineStr">
        <is>
          <t>Athena Research Centre (ARC) The National Research Council of Italy Institute of Information Science and Technologies (ISTI-CNR) Interdisciplinary Centre for Mathematical and Computational Modelling at University of Warsaw (ICM)</t>
        </is>
      </c>
      <c r="I74" s="2" t="inlineStr">
        <is>
          <t>Not applicable</t>
        </is>
      </c>
      <c r="J74" s="3">
        <f>Calc!B74</f>
        <v>100</v>
      </c>
      <c r="K74" s="3">
        <f>Calc!C74</f>
        <v>100</v>
      </c>
      <c r="L74" s="3">
        <f>Calc!F74</f>
        <v>0</v>
      </c>
      <c r="M74" s="3">
        <f>Verification!E74</f>
        <v>50</v>
      </c>
      <c r="N74" s="3">
        <f>Calc!I74</f>
        <v>0</v>
      </c>
      <c r="O74" s="3">
        <f>AVERAGE(J74:N74)</f>
        <v>50</v>
      </c>
      <c r="P74" s="2">
        <f>RANK.EQ(O74,$O$2:$O$113,0)</f>
        <v>77</v>
      </c>
      <c r="Q74" s="2" t="inlineStr">
        <is>
          <t>Full-time staffing missing/unknown scored 0; Volunteer staffing missing/unknown scored 0; Review affiliation coding; override available; Service-delivery field not applicable/unknown scored 0</t>
        </is>
      </c>
      <c r="R74" s="2">
        <f>Coverage!I74</f>
        <v>3</v>
      </c>
      <c r="S74" s="4">
        <f>Coverage!J74</f>
        <v>0.6</v>
      </c>
      <c r="T74" s="3">
        <f>Coverage!K74</f>
        <v>83.3333333333333</v>
      </c>
    </row>
    <row r="75">
      <c r="A75" s="2" t="inlineStr">
        <is>
          <t>OpenAlex</t>
        </is>
      </c>
      <c r="B75" s="2" t="inlineStr">
        <is>
          <t>OurResearch</t>
        </is>
      </c>
      <c r="C75" s="2" t="inlineStr">
        <is>
          <t>Open scholarly dataset</t>
        </is>
      </c>
      <c r="D75" s="2" t="inlineStr">
        <is>
          <t>Actual system proven in operational environment</t>
        </is>
      </c>
      <c r="E75" s="2" t="inlineStr">
        <is>
          <t>Actively Maintained</t>
        </is>
      </c>
      <c r="F75" s="2" t="inlineStr"/>
      <c r="G75" s="2" t="inlineStr"/>
      <c r="H75" s="2" t="inlineStr"/>
      <c r="I75" s="2" t="inlineStr">
        <is>
          <t>Not applicable</t>
        </is>
      </c>
      <c r="J75" s="3">
        <f>Calc!B75</f>
        <v>100</v>
      </c>
      <c r="K75" s="3">
        <f>Calc!C75</f>
        <v>100</v>
      </c>
      <c r="L75" s="3">
        <f>Calc!F75</f>
        <v>0</v>
      </c>
      <c r="M75" s="3">
        <f>Verification!E75</f>
        <v>0</v>
      </c>
      <c r="N75" s="3">
        <f>Calc!I75</f>
        <v>0</v>
      </c>
      <c r="O75" s="3">
        <f>AVERAGE(J75:N75)</f>
        <v>40</v>
      </c>
      <c r="P75" s="2">
        <f>RANK.EQ(O75,$O$2:$O$113,0)</f>
        <v>83</v>
      </c>
      <c r="Q75" s="2" t="inlineStr">
        <is>
          <t>Full-time staffing missing/unknown scored 0; Volunteer staffing missing/unknown scored 0; Service-delivery field not applicable/unknown scored 0</t>
        </is>
      </c>
      <c r="R75" s="2">
        <f>Coverage!I75</f>
        <v>2</v>
      </c>
      <c r="S75" s="4">
        <f>Coverage!J75</f>
        <v>0.4</v>
      </c>
      <c r="T75" s="3">
        <f>Coverage!K75</f>
        <v>100</v>
      </c>
    </row>
    <row r="76">
      <c r="A76" s="2" t="inlineStr">
        <is>
          <t>OpenAPC</t>
        </is>
      </c>
      <c r="B76" s="2" t="inlineStr">
        <is>
          <t>Bielefeld University</t>
        </is>
      </c>
      <c r="C76" s="2" t="inlineStr">
        <is>
          <t>Open scholarly dataset</t>
        </is>
      </c>
      <c r="D76" s="2" t="inlineStr">
        <is>
          <t>Actual system proven in operational environment</t>
        </is>
      </c>
      <c r="E76" s="2" t="inlineStr">
        <is>
          <t>Actively Maintained</t>
        </is>
      </c>
      <c r="F76" s="2" t="inlineStr">
        <is>
          <t>1-5</t>
        </is>
      </c>
      <c r="G76" s="2" t="inlineStr">
        <is>
          <t>0</t>
        </is>
      </c>
      <c r="H76" s="2" t="inlineStr">
        <is>
          <t>OpenAPC is located at Bielefeld University Library. The project was set up in collaboration with the DINI working group Electronic Publishing. Since 2021 it is part of OpenAIRE Nexus.</t>
        </is>
      </c>
      <c r="I76" s="2" t="inlineStr">
        <is>
          <t>Not applicable</t>
        </is>
      </c>
      <c r="J76" s="3">
        <f>Calc!B76</f>
        <v>100</v>
      </c>
      <c r="K76" s="3">
        <f>Calc!C76</f>
        <v>100</v>
      </c>
      <c r="L76" s="3">
        <f>Calc!F76</f>
        <v>12.5</v>
      </c>
      <c r="M76" s="3">
        <f>Verification!E76</f>
        <v>50</v>
      </c>
      <c r="N76" s="3">
        <f>Calc!I76</f>
        <v>0</v>
      </c>
      <c r="O76" s="3">
        <f>AVERAGE(J76:N76)</f>
        <v>52.5</v>
      </c>
      <c r="P76" s="2">
        <f>RANK.EQ(O76,$O$2:$O$113,0)</f>
        <v>69</v>
      </c>
      <c r="Q76" s="2" t="inlineStr">
        <is>
          <t>Review affiliation coding; override available; Service-delivery field not applicable/unknown scored 0</t>
        </is>
      </c>
      <c r="R76" s="2">
        <f>Coverage!I76</f>
        <v>4</v>
      </c>
      <c r="S76" s="4">
        <f>Coverage!J76</f>
        <v>0.8</v>
      </c>
      <c r="T76" s="3">
        <f>Coverage!K76</f>
        <v>65.625</v>
      </c>
    </row>
    <row r="77">
      <c r="A77" s="2" t="inlineStr">
        <is>
          <t>OpenCitations</t>
        </is>
      </c>
      <c r="B77" s="2" t="inlineStr">
        <is>
          <t>Research Centre for Open Scholarly Metadata, University of Bologna</t>
        </is>
      </c>
      <c r="C77" s="2" t="inlineStr">
        <is>
          <t>Open scholarly dataset</t>
        </is>
      </c>
      <c r="D77" s="2" t="inlineStr">
        <is>
          <t>Actual system proven in operational environment</t>
        </is>
      </c>
      <c r="E77" s="2" t="inlineStr">
        <is>
          <t>Actively Maintained</t>
        </is>
      </c>
      <c r="F77" s="2" t="inlineStr">
        <is>
          <t>6-10</t>
        </is>
      </c>
      <c r="G77" s="2" t="inlineStr">
        <is>
          <t>1-5</t>
        </is>
      </c>
      <c r="H77" s="2" t="inlineStr">
        <is>
          <t>Research Centre for Open Scholarly Metadata, University of Bologna</t>
        </is>
      </c>
      <c r="I77" s="2" t="inlineStr">
        <is>
          <t>Not applicable</t>
        </is>
      </c>
      <c r="J77" s="3">
        <f>Calc!B77</f>
        <v>100</v>
      </c>
      <c r="K77" s="3">
        <f>Calc!C77</f>
        <v>100</v>
      </c>
      <c r="L77" s="3">
        <f>Calc!F77</f>
        <v>37.5</v>
      </c>
      <c r="M77" s="3">
        <f>Verification!E77</f>
        <v>50</v>
      </c>
      <c r="N77" s="3">
        <f>Calc!I77</f>
        <v>0</v>
      </c>
      <c r="O77" s="3">
        <f>AVERAGE(J77:N77)</f>
        <v>57.5</v>
      </c>
      <c r="P77" s="2">
        <f>RANK.EQ(O77,$O$2:$O$113,0)</f>
        <v>63</v>
      </c>
      <c r="Q77" s="2" t="inlineStr">
        <is>
          <t>Review affiliation coding; override available; Service-delivery field not applicable/unknown scored 0</t>
        </is>
      </c>
      <c r="R77" s="2">
        <f>Coverage!I77</f>
        <v>4</v>
      </c>
      <c r="S77" s="4">
        <f>Coverage!J77</f>
        <v>0.8</v>
      </c>
      <c r="T77" s="3">
        <f>Coverage!K77</f>
        <v>71.875</v>
      </c>
    </row>
    <row r="78">
      <c r="A78" s="2" t="inlineStr">
        <is>
          <t>openCost</t>
        </is>
      </c>
      <c r="B78" s="2" t="inlineStr">
        <is>
          <t>openCost</t>
        </is>
      </c>
      <c r="C78" s="2" t="inlineStr">
        <is>
          <t>Open scholarly dataset | Standard, specification or protocol</t>
        </is>
      </c>
      <c r="D78" s="2" t="inlineStr">
        <is>
          <t>Actual system proven in operational environment</t>
        </is>
      </c>
      <c r="E78" s="2" t="inlineStr">
        <is>
          <t>Actively Maintained</t>
        </is>
      </c>
      <c r="F78" s="2" t="inlineStr"/>
      <c r="G78" s="2" t="inlineStr"/>
      <c r="H78" s="2" t="inlineStr">
        <is>
          <t>Bielefeld University Library, the German Electron Synchrotron DESY (Hamburg) and University Library of Regensburg</t>
        </is>
      </c>
      <c r="I78" s="2" t="inlineStr">
        <is>
          <t>Not applicable</t>
        </is>
      </c>
      <c r="J78" s="3">
        <f>Calc!B78</f>
        <v>100</v>
      </c>
      <c r="K78" s="3">
        <f>Calc!C78</f>
        <v>100</v>
      </c>
      <c r="L78" s="3">
        <f>Calc!F78</f>
        <v>0</v>
      </c>
      <c r="M78" s="3">
        <f>Verification!E78</f>
        <v>50</v>
      </c>
      <c r="N78" s="3">
        <f>Calc!I78</f>
        <v>0</v>
      </c>
      <c r="O78" s="3">
        <f>AVERAGE(J78:N78)</f>
        <v>50</v>
      </c>
      <c r="P78" s="2">
        <f>RANK.EQ(O78,$O$2:$O$113,0)</f>
        <v>77</v>
      </c>
      <c r="Q78" s="2" t="inlineStr">
        <is>
          <t>Full-time staffing missing/unknown scored 0; Volunteer staffing missing/unknown scored 0; Review affiliation coding; override available; Service-delivery field not applicable/unknown scored 0</t>
        </is>
      </c>
      <c r="R78" s="2">
        <f>Coverage!I78</f>
        <v>3</v>
      </c>
      <c r="S78" s="4">
        <f>Coverage!J78</f>
        <v>0.6</v>
      </c>
      <c r="T78" s="3">
        <f>Coverage!K78</f>
        <v>83.3333333333333</v>
      </c>
    </row>
    <row r="79">
      <c r="A79" s="2" t="inlineStr">
        <is>
          <t>Open Data Editor</t>
        </is>
      </c>
      <c r="B79" s="2" t="inlineStr">
        <is>
          <t>Open Knowledge Foundation</t>
        </is>
      </c>
      <c r="C79" s="2" t="inlineStr">
        <is>
          <t>Data collection or management tool</t>
        </is>
      </c>
      <c r="D79" s="2" t="inlineStr">
        <is>
          <t>Actual system proven in operational environment</t>
        </is>
      </c>
      <c r="E79" s="2" t="inlineStr">
        <is>
          <t>Actively Maintained</t>
        </is>
      </c>
      <c r="F79" s="2" t="inlineStr">
        <is>
          <t>11-20</t>
        </is>
      </c>
      <c r="G79" s="2" t="inlineStr">
        <is>
          <t>More than 20</t>
        </is>
      </c>
      <c r="H79" s="2" t="inlineStr">
        <is>
          <t>Digital Public Goods Alliance, Open Knowledge Brazil, Open Knowledge Nepal, Escuela de Datos help disseminate the tool.</t>
        </is>
      </c>
      <c r="I79" s="2" t="inlineStr">
        <is>
          <t>Not applicable</t>
        </is>
      </c>
      <c r="J79" s="3">
        <f>Calc!B79</f>
        <v>100</v>
      </c>
      <c r="K79" s="3">
        <f>Calc!C79</f>
        <v>100</v>
      </c>
      <c r="L79" s="3">
        <f>Calc!F79</f>
        <v>87.5</v>
      </c>
      <c r="M79" s="3">
        <f>Verification!E79</f>
        <v>50</v>
      </c>
      <c r="N79" s="3">
        <f>Calc!I79</f>
        <v>0</v>
      </c>
      <c r="O79" s="3">
        <f>AVERAGE(J79:N79)</f>
        <v>67.5</v>
      </c>
      <c r="P79" s="2">
        <f>RANK.EQ(O79,$O$2:$O$113,0)</f>
        <v>29</v>
      </c>
      <c r="Q79" s="2" t="inlineStr">
        <is>
          <t>Review affiliation coding; override available; Service-delivery field not applicable/unknown scored 0</t>
        </is>
      </c>
      <c r="R79" s="2">
        <f>Coverage!I79</f>
        <v>4</v>
      </c>
      <c r="S79" s="4">
        <f>Coverage!J79</f>
        <v>0.8</v>
      </c>
      <c r="T79" s="3">
        <f>Coverage!K79</f>
        <v>84.375</v>
      </c>
    </row>
    <row r="80">
      <c r="A80" s="2" t="inlineStr">
        <is>
          <t>OpenEdition</t>
        </is>
      </c>
      <c r="B80" s="2" t="inlineStr">
        <is>
          <t>OpenEdition Center, Aix-Marseille University, the EHESS and Avignon University</t>
        </is>
      </c>
      <c r="C80" s="2" t="inlineStr">
        <is>
          <t>Discovery system</t>
        </is>
      </c>
      <c r="D80" s="2" t="inlineStr">
        <is>
          <t>Actual system proven in operational environment</t>
        </is>
      </c>
      <c r="E80" s="2" t="inlineStr">
        <is>
          <t>Unknown</t>
        </is>
      </c>
      <c r="F80" s="2" t="inlineStr"/>
      <c r="G80" s="2" t="inlineStr"/>
      <c r="H80" s="2" t="inlineStr"/>
      <c r="I80" s="2" t="inlineStr">
        <is>
          <t>Not applicable</t>
        </is>
      </c>
      <c r="J80" s="3">
        <f>Calc!B80</f>
        <v>100</v>
      </c>
      <c r="K80" s="3">
        <f>Calc!C80</f>
        <v>0</v>
      </c>
      <c r="L80" s="3">
        <f>Calc!F80</f>
        <v>0</v>
      </c>
      <c r="M80" s="3">
        <f>Verification!E80</f>
        <v>0</v>
      </c>
      <c r="N80" s="3">
        <f>Calc!I80</f>
        <v>0</v>
      </c>
      <c r="O80" s="3">
        <f>AVERAGE(J80:N80)</f>
        <v>20</v>
      </c>
      <c r="P80" s="2">
        <f>RANK.EQ(O80,$O$2:$O$113,0)</f>
        <v>112</v>
      </c>
      <c r="Q80" s="2" t="inlineStr">
        <is>
          <t>Full-time staffing missing/unknown scored 0; Volunteer staffing missing/unknown scored 0; Service-delivery field not applicable/unknown scored 0</t>
        </is>
      </c>
      <c r="R80" s="2">
        <f>Coverage!I80</f>
        <v>1</v>
      </c>
      <c r="S80" s="4">
        <f>Coverage!J80</f>
        <v>0.2</v>
      </c>
      <c r="T80" s="3">
        <f>Coverage!K80</f>
        <v>100</v>
      </c>
    </row>
    <row r="81">
      <c r="A81" s="2" t="inlineStr">
        <is>
          <t>Open Journal Systems (OJS)</t>
        </is>
      </c>
      <c r="B81" s="2" t="inlineStr">
        <is>
          <t>Public Knowledge Project (PKP)</t>
        </is>
      </c>
      <c r="C81" s="2" t="inlineStr">
        <is>
          <t>Publishing system</t>
        </is>
      </c>
      <c r="D81" s="2" t="inlineStr">
        <is>
          <t>Actual system proven in operational environment</t>
        </is>
      </c>
      <c r="E81" s="2" t="inlineStr">
        <is>
          <t>Actively Maintained</t>
        </is>
      </c>
      <c r="F81" s="2" t="inlineStr"/>
      <c r="G81" s="2" t="inlineStr"/>
      <c r="H81" s="2" t="inlineStr"/>
      <c r="I81" s="2" t="inlineStr">
        <is>
          <t>Through solution provider or third party vendor</t>
        </is>
      </c>
      <c r="J81" s="3">
        <f>Calc!B81</f>
        <v>100</v>
      </c>
      <c r="K81" s="3">
        <f>Calc!C81</f>
        <v>100</v>
      </c>
      <c r="L81" s="3">
        <f>Calc!F81</f>
        <v>0</v>
      </c>
      <c r="M81" s="3">
        <f>Verification!E81</f>
        <v>0</v>
      </c>
      <c r="N81" s="3">
        <f>Calc!I81</f>
        <v>100</v>
      </c>
      <c r="O81" s="3">
        <f>AVERAGE(J81:N81)</f>
        <v>60</v>
      </c>
      <c r="P81" s="2">
        <f>RANK.EQ(O81,$O$2:$O$113,0)</f>
        <v>43</v>
      </c>
      <c r="Q81" s="2" t="inlineStr">
        <is>
          <t>Full-time staffing missing/unknown scored 0; Volunteer staffing missing/unknown scored 0</t>
        </is>
      </c>
      <c r="R81" s="2">
        <f>Coverage!I81</f>
        <v>3</v>
      </c>
      <c r="S81" s="4">
        <f>Coverage!J81</f>
        <v>0.6</v>
      </c>
      <c r="T81" s="3">
        <f>Coverage!K81</f>
        <v>100</v>
      </c>
    </row>
    <row r="82">
      <c r="A82" s="2" t="inlineStr">
        <is>
          <t>Open Monograph Press (OMP)</t>
        </is>
      </c>
      <c r="B82" s="2" t="inlineStr">
        <is>
          <t>Public Knowledge Project (PKP)</t>
        </is>
      </c>
      <c r="C82" s="2" t="inlineStr">
        <is>
          <t>Publishing system</t>
        </is>
      </c>
      <c r="D82" s="2" t="inlineStr">
        <is>
          <t>Actual system proven in operational environment</t>
        </is>
      </c>
      <c r="E82" s="2" t="inlineStr">
        <is>
          <t>Actively Maintained</t>
        </is>
      </c>
      <c r="F82" s="2" t="inlineStr"/>
      <c r="G82" s="2" t="inlineStr"/>
      <c r="H82" s="2" t="inlineStr"/>
      <c r="I82" s="2" t="inlineStr">
        <is>
          <t>Through solution provider or third party vendor</t>
        </is>
      </c>
      <c r="J82" s="3">
        <f>Calc!B82</f>
        <v>100</v>
      </c>
      <c r="K82" s="3">
        <f>Calc!C82</f>
        <v>100</v>
      </c>
      <c r="L82" s="3">
        <f>Calc!F82</f>
        <v>0</v>
      </c>
      <c r="M82" s="3">
        <f>Verification!E82</f>
        <v>0</v>
      </c>
      <c r="N82" s="3">
        <f>Calc!I82</f>
        <v>100</v>
      </c>
      <c r="O82" s="3">
        <f>AVERAGE(J82:N82)</f>
        <v>60</v>
      </c>
      <c r="P82" s="2">
        <f>RANK.EQ(O82,$O$2:$O$113,0)</f>
        <v>43</v>
      </c>
      <c r="Q82" s="2" t="inlineStr">
        <is>
          <t>Full-time staffing missing/unknown scored 0; Volunteer staffing missing/unknown scored 0</t>
        </is>
      </c>
      <c r="R82" s="2">
        <f>Coverage!I82</f>
        <v>3</v>
      </c>
      <c r="S82" s="4">
        <f>Coverage!J82</f>
        <v>0.6</v>
      </c>
      <c r="T82" s="3">
        <f>Coverage!K82</f>
        <v>100</v>
      </c>
    </row>
    <row r="83">
      <c r="A83" s="2" t="inlineStr">
        <is>
          <t>Open Preprint Systems (OPS)</t>
        </is>
      </c>
      <c r="B83" s="2" t="inlineStr">
        <is>
          <t>Public Knowledge Project (PKP)</t>
        </is>
      </c>
      <c r="C83" s="2" t="inlineStr">
        <is>
          <t>Publishing system</t>
        </is>
      </c>
      <c r="D83" s="2" t="inlineStr">
        <is>
          <t>Actual system proven in operational environment</t>
        </is>
      </c>
      <c r="E83" s="2" t="inlineStr">
        <is>
          <t>Actively Maintained</t>
        </is>
      </c>
      <c r="F83" s="2" t="inlineStr"/>
      <c r="G83" s="2" t="inlineStr"/>
      <c r="H83" s="2" t="inlineStr"/>
      <c r="I83" s="2" t="inlineStr">
        <is>
          <t>Through solution provider or third party vendor</t>
        </is>
      </c>
      <c r="J83" s="3">
        <f>Calc!B83</f>
        <v>100</v>
      </c>
      <c r="K83" s="3">
        <f>Calc!C83</f>
        <v>100</v>
      </c>
      <c r="L83" s="3">
        <f>Calc!F83</f>
        <v>0</v>
      </c>
      <c r="M83" s="3">
        <f>Verification!E83</f>
        <v>0</v>
      </c>
      <c r="N83" s="3">
        <f>Calc!I83</f>
        <v>100</v>
      </c>
      <c r="O83" s="3">
        <f>AVERAGE(J83:N83)</f>
        <v>60</v>
      </c>
      <c r="P83" s="2">
        <f>RANK.EQ(O83,$O$2:$O$113,0)</f>
        <v>43</v>
      </c>
      <c r="Q83" s="2" t="inlineStr">
        <is>
          <t>Full-time staffing missing/unknown scored 0; Volunteer staffing missing/unknown scored 0</t>
        </is>
      </c>
      <c r="R83" s="2">
        <f>Coverage!I83</f>
        <v>3</v>
      </c>
      <c r="S83" s="4">
        <f>Coverage!J83</f>
        <v>0.6</v>
      </c>
      <c r="T83" s="3">
        <f>Coverage!K83</f>
        <v>100</v>
      </c>
    </row>
    <row r="84">
      <c r="A84" s="2" t="inlineStr">
        <is>
          <t>Openverse</t>
        </is>
      </c>
      <c r="B84" s="2" t="inlineStr">
        <is>
          <t>WordPress Foundation</t>
        </is>
      </c>
      <c r="C84" s="2" t="inlineStr">
        <is>
          <t>Discovery system</t>
        </is>
      </c>
      <c r="D84" s="2" t="inlineStr">
        <is>
          <t>Actual system proven in operational environment</t>
        </is>
      </c>
      <c r="E84" s="2" t="inlineStr">
        <is>
          <t>Actively Maintained</t>
        </is>
      </c>
      <c r="F84" s="2" t="inlineStr">
        <is>
          <t>6-10</t>
        </is>
      </c>
      <c r="G84" s="2" t="inlineStr">
        <is>
          <t>Unknown</t>
        </is>
      </c>
      <c r="H84" s="2" t="inlineStr">
        <is>
          <t>Openverse is part of the WordPress open source project: https://wordpress.org/</t>
        </is>
      </c>
      <c r="I84" s="2" t="inlineStr">
        <is>
          <t>Not applicable</t>
        </is>
      </c>
      <c r="J84" s="3">
        <f>Calc!B84</f>
        <v>100</v>
      </c>
      <c r="K84" s="3">
        <f>Calc!C84</f>
        <v>100</v>
      </c>
      <c r="L84" s="3">
        <f>Calc!F84</f>
        <v>25</v>
      </c>
      <c r="M84" s="3">
        <f>Verification!E84</f>
        <v>50</v>
      </c>
      <c r="N84" s="3">
        <f>Calc!I84</f>
        <v>0</v>
      </c>
      <c r="O84" s="3">
        <f>AVERAGE(J84:N84)</f>
        <v>55</v>
      </c>
      <c r="P84" s="2">
        <f>RANK.EQ(O84,$O$2:$O$113,0)</f>
        <v>65</v>
      </c>
      <c r="Q84" s="2" t="inlineStr">
        <is>
          <t>Review affiliation coding; override available; Service-delivery field not applicable/unknown scored 0</t>
        </is>
      </c>
      <c r="R84" s="2">
        <f>Coverage!I84</f>
        <v>4</v>
      </c>
      <c r="S84" s="4">
        <f>Coverage!J84</f>
        <v>0.8</v>
      </c>
      <c r="T84" s="3">
        <f>Coverage!K84</f>
        <v>75</v>
      </c>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2" t="inlineStr">
        <is>
          <t>Actual system proven in operational environment</t>
        </is>
      </c>
      <c r="E85" s="2" t="inlineStr">
        <is>
          <t>Actively Maintained</t>
        </is>
      </c>
      <c r="F85" s="2" t="inlineStr"/>
      <c r="G85" s="2" t="inlineStr"/>
      <c r="H85" s="2" t="inlineStr"/>
      <c r="I85" s="2" t="inlineStr">
        <is>
          <t>Not applicable</t>
        </is>
      </c>
      <c r="J85" s="3">
        <f>Calc!B85</f>
        <v>100</v>
      </c>
      <c r="K85" s="3">
        <f>Calc!C85</f>
        <v>100</v>
      </c>
      <c r="L85" s="3">
        <f>Calc!F85</f>
        <v>0</v>
      </c>
      <c r="M85" s="3">
        <f>Verification!E85</f>
        <v>0</v>
      </c>
      <c r="N85" s="3">
        <f>Calc!I85</f>
        <v>0</v>
      </c>
      <c r="O85" s="3">
        <f>AVERAGE(J85:N85)</f>
        <v>40</v>
      </c>
      <c r="P85" s="2">
        <f>RANK.EQ(O85,$O$2:$O$113,0)</f>
        <v>83</v>
      </c>
      <c r="Q85" s="2" t="inlineStr">
        <is>
          <t>Full-time staffing missing/unknown scored 0; Volunteer staffing missing/unknown scored 0; Service-delivery field not applicable/unknown scored 0</t>
        </is>
      </c>
      <c r="R85" s="2">
        <f>Coverage!I85</f>
        <v>2</v>
      </c>
      <c r="S85" s="4">
        <f>Coverage!J85</f>
        <v>0.4</v>
      </c>
      <c r="T85" s="3">
        <f>Coverage!K85</f>
        <v>100</v>
      </c>
    </row>
    <row r="86">
      <c r="A86" s="2" t="inlineStr">
        <is>
          <t>OSF (Open Science Framework)</t>
        </is>
      </c>
      <c r="B86" s="2" t="inlineStr">
        <is>
          <t>Center for Open Science, Inc.</t>
        </is>
      </c>
      <c r="C86" s="2" t="inlineStr">
        <is>
          <t>Repository service | Repository software</t>
        </is>
      </c>
      <c r="D86" s="2" t="inlineStr">
        <is>
          <t>Actual system proven in operational environment</t>
        </is>
      </c>
      <c r="E86" s="2" t="inlineStr">
        <is>
          <t>Actively Maintained</t>
        </is>
      </c>
      <c r="F86" s="2" t="inlineStr"/>
      <c r="G86" s="2" t="inlineStr"/>
      <c r="H86" s="2" t="inlineStr"/>
      <c r="I86" s="2" t="inlineStr">
        <is>
          <t>Through solution provider only</t>
        </is>
      </c>
      <c r="J86" s="3">
        <f>Calc!B86</f>
        <v>100</v>
      </c>
      <c r="K86" s="3">
        <f>Calc!C86</f>
        <v>100</v>
      </c>
      <c r="L86" s="3">
        <f>Calc!F86</f>
        <v>0</v>
      </c>
      <c r="M86" s="3">
        <f>Verification!E86</f>
        <v>0</v>
      </c>
      <c r="N86" s="3">
        <f>Calc!I86</f>
        <v>100</v>
      </c>
      <c r="O86" s="3">
        <f>AVERAGE(J86:N86)</f>
        <v>60</v>
      </c>
      <c r="P86" s="2">
        <f>RANK.EQ(O86,$O$2:$O$113,0)</f>
        <v>43</v>
      </c>
      <c r="Q86" s="2" t="inlineStr">
        <is>
          <t>Full-time staffing missing/unknown scored 0; Volunteer staffing missing/unknown scored 0</t>
        </is>
      </c>
      <c r="R86" s="2">
        <f>Coverage!I86</f>
        <v>3</v>
      </c>
      <c r="S86" s="4">
        <f>Coverage!J86</f>
        <v>0.6</v>
      </c>
      <c r="T86" s="3">
        <f>Coverage!K86</f>
        <v>100</v>
      </c>
    </row>
    <row r="87">
      <c r="A87" s="2" t="inlineStr">
        <is>
          <t>Oxford Common File Layout</t>
        </is>
      </c>
      <c r="B87" s="2" t="inlineStr">
        <is>
          <t>Oxford Common File Layout (OCFL)</t>
        </is>
      </c>
      <c r="C87" s="2" t="inlineStr">
        <is>
          <t>Standard, specification or protocol</t>
        </is>
      </c>
      <c r="D87" s="2" t="inlineStr">
        <is>
          <t>Actual system proven in operational environment</t>
        </is>
      </c>
      <c r="E87" s="2" t="inlineStr">
        <is>
          <t>Actively Maintained</t>
        </is>
      </c>
      <c r="F87" s="2" t="inlineStr"/>
      <c r="G87" s="2" t="inlineStr"/>
      <c r="H87" s="2" t="inlineStr"/>
      <c r="I87" s="2" t="inlineStr">
        <is>
          <t>Not applicable</t>
        </is>
      </c>
      <c r="J87" s="3">
        <f>Calc!B87</f>
        <v>100</v>
      </c>
      <c r="K87" s="3">
        <f>Calc!C87</f>
        <v>100</v>
      </c>
      <c r="L87" s="3">
        <f>Calc!F87</f>
        <v>0</v>
      </c>
      <c r="M87" s="3">
        <f>Verification!E87</f>
        <v>0</v>
      </c>
      <c r="N87" s="3">
        <f>Calc!I87</f>
        <v>0</v>
      </c>
      <c r="O87" s="3">
        <f>AVERAGE(J87:N87)</f>
        <v>40</v>
      </c>
      <c r="P87" s="2">
        <f>RANK.EQ(O87,$O$2:$O$113,0)</f>
        <v>83</v>
      </c>
      <c r="Q87" s="2" t="inlineStr">
        <is>
          <t>Full-time staffing missing/unknown scored 0; Volunteer staffing missing/unknown scored 0; Service-delivery field not applicable/unknown scored 0</t>
        </is>
      </c>
      <c r="R87" s="2">
        <f>Coverage!I87</f>
        <v>2</v>
      </c>
      <c r="S87" s="4">
        <f>Coverage!J87</f>
        <v>0.4</v>
      </c>
      <c r="T87" s="3">
        <f>Coverage!K87</f>
        <v>100</v>
      </c>
    </row>
    <row r="88">
      <c r="A88" s="2" t="inlineStr">
        <is>
          <t>Peer Community In</t>
        </is>
      </c>
      <c r="B88" s="2" t="inlineStr">
        <is>
          <t>PCI, Peer Community In</t>
        </is>
      </c>
      <c r="C88" s="2" t="inlineStr">
        <is>
          <t>Peer review system</t>
        </is>
      </c>
      <c r="D88" s="2" t="inlineStr">
        <is>
          <t>Actual system proven in operational environment</t>
        </is>
      </c>
      <c r="E88" s="2" t="inlineStr">
        <is>
          <t>Actively Maintained</t>
        </is>
      </c>
      <c r="F88" s="2" t="inlineStr"/>
      <c r="G88" s="2" t="inlineStr"/>
      <c r="H88" s="2" t="inlineStr"/>
      <c r="I88" s="2" t="inlineStr">
        <is>
          <t>Not applicable</t>
        </is>
      </c>
      <c r="J88" s="3">
        <f>Calc!B88</f>
        <v>100</v>
      </c>
      <c r="K88" s="3">
        <f>Calc!C88</f>
        <v>100</v>
      </c>
      <c r="L88" s="3">
        <f>Calc!F88</f>
        <v>0</v>
      </c>
      <c r="M88" s="3">
        <f>Verification!E88</f>
        <v>0</v>
      </c>
      <c r="N88" s="3">
        <f>Calc!I88</f>
        <v>0</v>
      </c>
      <c r="O88" s="3">
        <f>AVERAGE(J88:N88)</f>
        <v>40</v>
      </c>
      <c r="P88" s="2">
        <f>RANK.EQ(O88,$O$2:$O$113,0)</f>
        <v>83</v>
      </c>
      <c r="Q88" s="2" t="inlineStr">
        <is>
          <t>Full-time staffing missing/unknown scored 0; Volunteer staffing missing/unknown scored 0; Service-delivery field not applicable/unknown scored 0</t>
        </is>
      </c>
      <c r="R88" s="2">
        <f>Coverage!I88</f>
        <v>2</v>
      </c>
      <c r="S88" s="4">
        <f>Coverage!J88</f>
        <v>0.4</v>
      </c>
      <c r="T88" s="3">
        <f>Coverage!K88</f>
        <v>100</v>
      </c>
    </row>
    <row r="89">
      <c r="A89" s="2" t="inlineStr">
        <is>
          <t>PKP Preservation Network</t>
        </is>
      </c>
      <c r="B89" s="2" t="inlineStr">
        <is>
          <t>Public Knowledge Project (PKP)</t>
        </is>
      </c>
      <c r="C89" s="2" t="inlineStr">
        <is>
          <t>Digital preservation service</t>
        </is>
      </c>
      <c r="D89" s="2" t="inlineStr">
        <is>
          <t>Actual system proven in operational environment</t>
        </is>
      </c>
      <c r="E89" s="2" t="inlineStr">
        <is>
          <t>Actively Maintained</t>
        </is>
      </c>
      <c r="F89" s="2" t="inlineStr">
        <is>
          <t>More than 20</t>
        </is>
      </c>
      <c r="G89" s="2" t="inlineStr"/>
      <c r="H89" s="2" t="inlineStr">
        <is>
          <t>See OJS for affiliations.</t>
        </is>
      </c>
      <c r="I89" s="2" t="inlineStr">
        <is>
          <t>Not applicable</t>
        </is>
      </c>
      <c r="J89" s="3">
        <f>Calc!B89</f>
        <v>100</v>
      </c>
      <c r="K89" s="3">
        <f>Calc!C89</f>
        <v>100</v>
      </c>
      <c r="L89" s="3">
        <f>Calc!F89</f>
        <v>50</v>
      </c>
      <c r="M89" s="3">
        <f>Verification!E89</f>
        <v>50</v>
      </c>
      <c r="N89" s="3">
        <f>Calc!I89</f>
        <v>0</v>
      </c>
      <c r="O89" s="3">
        <f>AVERAGE(J89:N89)</f>
        <v>60</v>
      </c>
      <c r="P89" s="2">
        <f>RANK.EQ(O89,$O$2:$O$113,0)</f>
        <v>43</v>
      </c>
      <c r="Q89" s="2" t="inlineStr">
        <is>
          <t>Volunteer staffing missing/unknown scored 0; Review affiliation coding; override available; Service-delivery field not applicable/unknown scored 0</t>
        </is>
      </c>
      <c r="R89" s="2">
        <f>Coverage!I89</f>
        <v>4</v>
      </c>
      <c r="S89" s="4">
        <f>Coverage!J89</f>
        <v>0.8</v>
      </c>
      <c r="T89" s="3">
        <f>Coverage!K89</f>
        <v>87.5</v>
      </c>
    </row>
    <row r="90">
      <c r="A90" s="2" t="inlineStr">
        <is>
          <t>PREreview</t>
        </is>
      </c>
      <c r="B90" s="2" t="inlineStr">
        <is>
          <t>Code for Science and Society</t>
        </is>
      </c>
      <c r="C90" s="2" t="inlineStr">
        <is>
          <t>Discovery system | Peer review system</t>
        </is>
      </c>
      <c r="D90" s="2" t="inlineStr">
        <is>
          <t>Actual system proven in operational environment</t>
        </is>
      </c>
      <c r="E90" s="2" t="inlineStr">
        <is>
          <t>Actively Maintained</t>
        </is>
      </c>
      <c r="F90" s="2" t="inlineStr">
        <is>
          <t>1-5</t>
        </is>
      </c>
      <c r="G90" s="2" t="inlineStr"/>
      <c r="H90" s="2" t="inlineStr"/>
      <c r="I90" s="2" t="inlineStr">
        <is>
          <t>Not applicable</t>
        </is>
      </c>
      <c r="J90" s="3">
        <f>Calc!B90</f>
        <v>100</v>
      </c>
      <c r="K90" s="3">
        <f>Calc!C90</f>
        <v>100</v>
      </c>
      <c r="L90" s="3">
        <f>Calc!F90</f>
        <v>12.5</v>
      </c>
      <c r="M90" s="3">
        <f>Verification!E90</f>
        <v>0</v>
      </c>
      <c r="N90" s="3">
        <f>Calc!I90</f>
        <v>0</v>
      </c>
      <c r="O90" s="3">
        <f>AVERAGE(J90:N90)</f>
        <v>42.5</v>
      </c>
      <c r="P90" s="2">
        <f>RANK.EQ(O90,$O$2:$O$113,0)</f>
        <v>82</v>
      </c>
      <c r="Q90" s="2" t="inlineStr">
        <is>
          <t>Volunteer staffing missing/unknown scored 0; Service-delivery field not applicable/unknown scored 0</t>
        </is>
      </c>
      <c r="R90" s="2">
        <f>Coverage!I90</f>
        <v>3</v>
      </c>
      <c r="S90" s="4">
        <f>Coverage!J90</f>
        <v>0.6</v>
      </c>
      <c r="T90" s="3">
        <f>Coverage!K90</f>
        <v>75</v>
      </c>
    </row>
    <row r="91">
      <c r="A91" s="2" t="inlineStr">
        <is>
          <t>Pressbooks</t>
        </is>
      </c>
      <c r="B91" s="2" t="inlineStr">
        <is>
          <t>Book Oven, Inc.</t>
        </is>
      </c>
      <c r="C91" s="2" t="inlineStr">
        <is>
          <t>Publishing system</t>
        </is>
      </c>
      <c r="D91" s="2" t="inlineStr">
        <is>
          <t>Actual system proven in operational environment</t>
        </is>
      </c>
      <c r="E91" s="2" t="inlineStr">
        <is>
          <t>Actively Maintained</t>
        </is>
      </c>
      <c r="F91" s="2" t="inlineStr"/>
      <c r="G91" s="2" t="inlineStr"/>
      <c r="H91" s="2" t="inlineStr"/>
      <c r="I91" s="2" t="inlineStr">
        <is>
          <t>Through solution provider only</t>
        </is>
      </c>
      <c r="J91" s="3">
        <f>Calc!B91</f>
        <v>100</v>
      </c>
      <c r="K91" s="3">
        <f>Calc!C91</f>
        <v>100</v>
      </c>
      <c r="L91" s="3">
        <f>Calc!F91</f>
        <v>0</v>
      </c>
      <c r="M91" s="3">
        <f>Verification!E91</f>
        <v>0</v>
      </c>
      <c r="N91" s="3">
        <f>Calc!I91</f>
        <v>100</v>
      </c>
      <c r="O91" s="3">
        <f>AVERAGE(J91:N91)</f>
        <v>60</v>
      </c>
      <c r="P91" s="2">
        <f>RANK.EQ(O91,$O$2:$O$113,0)</f>
        <v>43</v>
      </c>
      <c r="Q91" s="2" t="inlineStr">
        <is>
          <t>Full-time staffing missing/unknown scored 0; Volunteer staffing missing/unknown scored 0</t>
        </is>
      </c>
      <c r="R91" s="2">
        <f>Coverage!I91</f>
        <v>3</v>
      </c>
      <c r="S91" s="4">
        <f>Coverage!J91</f>
        <v>0.6</v>
      </c>
      <c r="T91" s="3">
        <f>Coverage!K91</f>
        <v>100</v>
      </c>
    </row>
    <row r="92">
      <c r="A92" s="2" t="inlineStr">
        <is>
          <t>Public Access Submission System</t>
        </is>
      </c>
      <c r="B92" s="2" t="inlineStr">
        <is>
          <t>Eclipse Foundation</t>
        </is>
      </c>
      <c r="C92" s="2" t="inlineStr">
        <is>
          <t>Submissions system</t>
        </is>
      </c>
      <c r="D92" s="2" t="inlineStr">
        <is>
          <t>Actual system proven in operational environment</t>
        </is>
      </c>
      <c r="E92" s="2" t="inlineStr">
        <is>
          <t>Actively Maintained</t>
        </is>
      </c>
      <c r="F92" s="2" t="inlineStr"/>
      <c r="G92" s="2" t="inlineStr"/>
      <c r="H92" s="2" t="inlineStr"/>
      <c r="I92" s="2" t="inlineStr">
        <is>
          <t>No services available</t>
        </is>
      </c>
      <c r="J92" s="3">
        <f>Calc!B92</f>
        <v>100</v>
      </c>
      <c r="K92" s="3">
        <f>Calc!C92</f>
        <v>100</v>
      </c>
      <c r="L92" s="3">
        <f>Calc!F92</f>
        <v>0</v>
      </c>
      <c r="M92" s="3">
        <f>Verification!E92</f>
        <v>0</v>
      </c>
      <c r="N92" s="3">
        <f>Calc!I92</f>
        <v>0</v>
      </c>
      <c r="O92" s="3">
        <f>AVERAGE(J92:N92)</f>
        <v>40</v>
      </c>
      <c r="P92" s="2">
        <f>RANK.EQ(O92,$O$2:$O$113,0)</f>
        <v>83</v>
      </c>
      <c r="Q92" s="2" t="inlineStr">
        <is>
          <t>Full-time staffing missing/unknown scored 0; Volunteer staffing missing/unknown scored 0</t>
        </is>
      </c>
      <c r="R92" s="2">
        <f>Coverage!I92</f>
        <v>3</v>
      </c>
      <c r="S92" s="4">
        <f>Coverage!J92</f>
        <v>0.6</v>
      </c>
      <c r="T92" s="3">
        <f>Coverage!K92</f>
        <v>66.6666666666667</v>
      </c>
    </row>
    <row r="93">
      <c r="A93" s="2" t="inlineStr">
        <is>
          <t>Public Utility Data Liberation (PUDL)</t>
        </is>
      </c>
      <c r="B93" s="2" t="inlineStr">
        <is>
          <t>Catalyst Cooperative</t>
        </is>
      </c>
      <c r="C93" s="2" t="inlineStr">
        <is>
          <t>Open scholarly dataset | Web archiving system</t>
        </is>
      </c>
      <c r="D93" s="2" t="inlineStr">
        <is>
          <t>Actual system proven in operational environment</t>
        </is>
      </c>
      <c r="E93" s="2" t="inlineStr">
        <is>
          <t>Actively Maintained</t>
        </is>
      </c>
      <c r="F93" s="2" t="inlineStr">
        <is>
          <t>6-10</t>
        </is>
      </c>
      <c r="G93" s="2" t="inlineStr">
        <is>
          <t>0</t>
        </is>
      </c>
      <c r="H93" s="2" t="inlineStr">
        <is>
          <t>RMI GridLab</t>
        </is>
      </c>
      <c r="I93" s="2" t="inlineStr">
        <is>
          <t>No services available</t>
        </is>
      </c>
      <c r="J93" s="3">
        <f>Calc!B93</f>
        <v>100</v>
      </c>
      <c r="K93" s="3">
        <f>Calc!C93</f>
        <v>100</v>
      </c>
      <c r="L93" s="3">
        <f>Calc!F93</f>
        <v>25</v>
      </c>
      <c r="M93" s="3">
        <f>Verification!E93</f>
        <v>50</v>
      </c>
      <c r="N93" s="3">
        <f>Calc!I93</f>
        <v>0</v>
      </c>
      <c r="O93" s="3">
        <f>AVERAGE(J93:N93)</f>
        <v>55</v>
      </c>
      <c r="P93" s="2">
        <f>RANK.EQ(O93,$O$2:$O$113,0)</f>
        <v>65</v>
      </c>
      <c r="Q93" s="2" t="inlineStr">
        <is>
          <t>Review affiliation coding; override available</t>
        </is>
      </c>
      <c r="R93" s="2">
        <f>Coverage!I93</f>
        <v>5</v>
      </c>
      <c r="S93" s="4">
        <f>Coverage!J93</f>
        <v>1</v>
      </c>
      <c r="T93" s="3">
        <f>Coverage!K93</f>
        <v>55</v>
      </c>
    </row>
    <row r="94">
      <c r="A94" s="2" t="inlineStr">
        <is>
          <t>PubPub</t>
        </is>
      </c>
      <c r="B94" s="2" t="inlineStr">
        <is>
          <t>Knowledge Futures</t>
        </is>
      </c>
      <c r="C94" s="2" t="inlineStr">
        <is>
          <t>Publishing system</t>
        </is>
      </c>
      <c r="D94" s="2" t="inlineStr">
        <is>
          <t>System complete and qualified</t>
        </is>
      </c>
      <c r="E94" s="2" t="inlineStr">
        <is>
          <t>Actively Maintained</t>
        </is>
      </c>
      <c r="F94" s="2" t="inlineStr"/>
      <c r="G94" s="2" t="inlineStr"/>
      <c r="H94" s="2" t="inlineStr"/>
      <c r="I94" s="2" t="inlineStr">
        <is>
          <t>Through solution provider only</t>
        </is>
      </c>
      <c r="J94" s="3">
        <f>Calc!B94</f>
        <v>88.8888888888889</v>
      </c>
      <c r="K94" s="3">
        <f>Calc!C94</f>
        <v>100</v>
      </c>
      <c r="L94" s="3">
        <f>Calc!F94</f>
        <v>0</v>
      </c>
      <c r="M94" s="3">
        <f>Verification!E94</f>
        <v>0</v>
      </c>
      <c r="N94" s="3">
        <f>Calc!I94</f>
        <v>100</v>
      </c>
      <c r="O94" s="3">
        <f>AVERAGE(J94:N94)</f>
        <v>57.7777777777778</v>
      </c>
      <c r="P94" s="2">
        <f>RANK.EQ(O94,$O$2:$O$113,0)</f>
        <v>62</v>
      </c>
      <c r="Q94" s="2" t="inlineStr">
        <is>
          <t>Full-time staffing missing/unknown scored 0; Volunteer staffing missing/unknown scored 0</t>
        </is>
      </c>
      <c r="R94" s="2">
        <f>Coverage!I94</f>
        <v>3</v>
      </c>
      <c r="S94" s="4">
        <f>Coverage!J94</f>
        <v>0.6</v>
      </c>
      <c r="T94" s="3">
        <f>Coverage!K94</f>
        <v>96.2962962962963</v>
      </c>
    </row>
    <row r="95">
      <c r="A95" s="2" t="inlineStr">
        <is>
          <t>Pundit</t>
        </is>
      </c>
      <c r="B95" s="2" t="inlineStr">
        <is>
          <t>Net7 Srl</t>
        </is>
      </c>
      <c r="C95" s="2" t="inlineStr">
        <is>
          <t>Annotations system</t>
        </is>
      </c>
      <c r="D95" s="2" t="inlineStr">
        <is>
          <t>Actual system proven in operational environment</t>
        </is>
      </c>
      <c r="E95" s="2" t="inlineStr">
        <is>
          <t>Actively Maintained</t>
        </is>
      </c>
      <c r="F95" s="2" t="inlineStr">
        <is>
          <t>More than 20</t>
        </is>
      </c>
      <c r="G95" s="2" t="inlineStr">
        <is>
          <t>0</t>
        </is>
      </c>
      <c r="H95" s="2" t="inlineStr">
        <is>
          <t>No affiliations</t>
        </is>
      </c>
      <c r="I95" s="2" t="inlineStr">
        <is>
          <t>Through solution provider only</t>
        </is>
      </c>
      <c r="J95" s="3">
        <f>Calc!B95</f>
        <v>100</v>
      </c>
      <c r="K95" s="3">
        <f>Calc!C95</f>
        <v>100</v>
      </c>
      <c r="L95" s="3">
        <f>Calc!F95</f>
        <v>50</v>
      </c>
      <c r="M95" s="3">
        <f>Verification!E95</f>
        <v>0</v>
      </c>
      <c r="N95" s="3">
        <f>Calc!I95</f>
        <v>100</v>
      </c>
      <c r="O95" s="3">
        <f>AVERAGE(J95:N95)</f>
        <v>70</v>
      </c>
      <c r="P95" s="2">
        <f>RANK.EQ(O95,$O$2:$O$113,0)</f>
        <v>19</v>
      </c>
      <c r="Q95" s="2" t="inlineStr">
        <is>
          <t>Review affiliation coding; override available</t>
        </is>
      </c>
      <c r="R95" s="2">
        <f>Coverage!I95</f>
        <v>5</v>
      </c>
      <c r="S95" s="4">
        <f>Coverage!J95</f>
        <v>1</v>
      </c>
      <c r="T95" s="3">
        <f>Coverage!K95</f>
        <v>70</v>
      </c>
    </row>
    <row r="96">
      <c r="A96" s="2" t="inlineStr">
        <is>
          <t>pyOpenSci</t>
        </is>
      </c>
      <c r="B96" s="2" t="inlineStr">
        <is>
          <t>Community Initiatives</t>
        </is>
      </c>
      <c r="C96" s="2" t="inlineStr">
        <is>
          <t>Research software community</t>
        </is>
      </c>
      <c r="D96" s="2" t="inlineStr">
        <is>
          <t>Actual system proven in operational environment</t>
        </is>
      </c>
      <c r="E96" s="2" t="inlineStr">
        <is>
          <t>Actively Maintained</t>
        </is>
      </c>
      <c r="F96" s="2" t="inlineStr">
        <is>
          <t>1-5</t>
        </is>
      </c>
      <c r="G96" s="2" t="inlineStr">
        <is>
          <t>More than 20</t>
        </is>
      </c>
      <c r="H96" s="2" t="inlineStr">
        <is>
          <t>Community Initiatives is our Fiscal sponsor</t>
        </is>
      </c>
      <c r="I96" s="2" t="inlineStr">
        <is>
          <t>Not applicable</t>
        </is>
      </c>
      <c r="J96" s="3">
        <f>Calc!B96</f>
        <v>100</v>
      </c>
      <c r="K96" s="3">
        <f>Calc!C96</f>
        <v>100</v>
      </c>
      <c r="L96" s="3">
        <f>Calc!F96</f>
        <v>62.5</v>
      </c>
      <c r="M96" s="3">
        <f>Verification!E96</f>
        <v>100</v>
      </c>
      <c r="N96" s="3">
        <f>Calc!I96</f>
        <v>0</v>
      </c>
      <c r="O96" s="3">
        <f>AVERAGE(J96:N96)</f>
        <v>72.5</v>
      </c>
      <c r="P96" s="2">
        <f>RANK.EQ(O96,$O$2:$O$113,0)</f>
        <v>13</v>
      </c>
      <c r="Q96" s="2" t="inlineStr">
        <is>
          <t>Review affiliation coding; override available; Service-delivery field not applicable/unknown scored 0</t>
        </is>
      </c>
      <c r="R96" s="2">
        <f>Coverage!I96</f>
        <v>4</v>
      </c>
      <c r="S96" s="4">
        <f>Coverage!J96</f>
        <v>0.8</v>
      </c>
      <c r="T96" s="3">
        <f>Coverage!K96</f>
        <v>90.625</v>
      </c>
    </row>
    <row r="97">
      <c r="A97" s="2" t="inlineStr">
        <is>
          <t>Renku</t>
        </is>
      </c>
      <c r="B97" s="2" t="inlineStr">
        <is>
          <t>Swiss Data Science Center</t>
        </is>
      </c>
      <c r="C97" s="2" t="inlineStr">
        <is>
          <t>Data management planning tool or service | Discovery system | Research software community</t>
        </is>
      </c>
      <c r="D97" s="2" t="inlineStr">
        <is>
          <t>Actual system proven in operational environment</t>
        </is>
      </c>
      <c r="E97" s="2" t="inlineStr">
        <is>
          <t>Actively Maintained</t>
        </is>
      </c>
      <c r="F97" s="2" t="inlineStr">
        <is>
          <t>11-20</t>
        </is>
      </c>
      <c r="G97" s="2" t="inlineStr">
        <is>
          <t>1-5</t>
        </is>
      </c>
      <c r="H97" s="2" t="inlineStr">
        <is>
          <t>The Renku platform at renkulab.io (“Renku”) is managed jointly by the Ecole Polytechnique Fédérale de Lausanne (« EPFL ») and the Eidgenössische Technische Hochschule Zürich (« ETHZ »), Rämistrasse 101, 8092 Zürich, Switzerland.</t>
        </is>
      </c>
      <c r="I97" s="2" t="inlineStr">
        <is>
          <t>Through solution provider or third party vendor</t>
        </is>
      </c>
      <c r="J97" s="3">
        <f>Calc!B97</f>
        <v>100</v>
      </c>
      <c r="K97" s="3">
        <f>Calc!C97</f>
        <v>100</v>
      </c>
      <c r="L97" s="3">
        <f>Calc!F97</f>
        <v>50</v>
      </c>
      <c r="M97" s="3">
        <f>Verification!E97</f>
        <v>50</v>
      </c>
      <c r="N97" s="3">
        <f>Calc!I97</f>
        <v>100</v>
      </c>
      <c r="O97" s="3">
        <f>AVERAGE(J97:N97)</f>
        <v>80</v>
      </c>
      <c r="P97" s="2">
        <f>RANK.EQ(O97,$O$2:$O$113,0)</f>
        <v>6</v>
      </c>
      <c r="Q97" s="2" t="inlineStr">
        <is>
          <t>Review affiliation coding; override available</t>
        </is>
      </c>
      <c r="R97" s="2">
        <f>Coverage!I97</f>
        <v>5</v>
      </c>
      <c r="S97" s="4">
        <f>Coverage!J97</f>
        <v>1</v>
      </c>
      <c r="T97" s="3">
        <f>Coverage!K97</f>
        <v>80</v>
      </c>
    </row>
    <row r="98">
      <c r="A98" s="2" t="inlineStr">
        <is>
          <t>RePEc</t>
        </is>
      </c>
      <c r="B98" s="2" t="inlineStr">
        <is>
          <t>RePEc</t>
        </is>
      </c>
      <c r="C98" s="2" t="inlineStr">
        <is>
          <t>Discovery system | Index or directory</t>
        </is>
      </c>
      <c r="D98" s="2" t="inlineStr">
        <is>
          <t>Actual system proven in operational environment</t>
        </is>
      </c>
      <c r="E98" s="2" t="inlineStr">
        <is>
          <t>Minimally Maintained</t>
        </is>
      </c>
      <c r="F98" s="2" t="inlineStr">
        <is>
          <t>0</t>
        </is>
      </c>
      <c r="G98" s="2" t="inlineStr"/>
      <c r="H98" s="2" t="inlineStr">
        <is>
          <t>Since 2010‒10‒01, RePEc has been an independent project of the Open Library Society.</t>
        </is>
      </c>
      <c r="I98" s="2" t="inlineStr">
        <is>
          <t>Not applicable</t>
        </is>
      </c>
      <c r="J98" s="3">
        <f>Calc!B98</f>
        <v>100</v>
      </c>
      <c r="K98" s="3">
        <f>Calc!C98</f>
        <v>50</v>
      </c>
      <c r="L98" s="3">
        <f>Calc!F98</f>
        <v>0</v>
      </c>
      <c r="M98" s="3">
        <f>Verification!E98</f>
        <v>50</v>
      </c>
      <c r="N98" s="3">
        <f>Calc!I98</f>
        <v>0</v>
      </c>
      <c r="O98" s="3">
        <f>AVERAGE(J98:N98)</f>
        <v>40</v>
      </c>
      <c r="P98" s="2">
        <f>RANK.EQ(O98,$O$2:$O$113,0)</f>
        <v>83</v>
      </c>
      <c r="Q98" s="2" t="inlineStr">
        <is>
          <t>Volunteer staffing missing/unknown scored 0; Review affiliation coding; override available; Service-delivery field not applicable/unknown scored 0</t>
        </is>
      </c>
      <c r="R98" s="2">
        <f>Coverage!I98</f>
        <v>4</v>
      </c>
      <c r="S98" s="4">
        <f>Coverage!J98</f>
        <v>0.8</v>
      </c>
      <c r="T98" s="3">
        <f>Coverage!K98</f>
        <v>50</v>
      </c>
    </row>
    <row r="99">
      <c r="A99" s="2" t="inlineStr">
        <is>
          <t>Research Organization Registry (ROR)</t>
        </is>
      </c>
      <c r="B99" s="2" t="inlineStr">
        <is>
          <t>California Digital Library, Crossref, DataCite</t>
        </is>
      </c>
      <c r="C99" s="2" t="inlineStr">
        <is>
          <t>Persistent identifier service</t>
        </is>
      </c>
      <c r="D99" s="2" t="inlineStr">
        <is>
          <t>Actual system proven in operational environment</t>
        </is>
      </c>
      <c r="E99" s="2" t="inlineStr">
        <is>
          <t>Actively Maintained</t>
        </is>
      </c>
      <c r="F99" s="2" t="inlineStr"/>
      <c r="G99" s="2" t="inlineStr"/>
      <c r="H99" s="2" t="inlineStr"/>
      <c r="I99" s="2" t="inlineStr">
        <is>
          <t>Not applicable</t>
        </is>
      </c>
      <c r="J99" s="3">
        <f>Calc!B99</f>
        <v>100</v>
      </c>
      <c r="K99" s="3">
        <f>Calc!C99</f>
        <v>100</v>
      </c>
      <c r="L99" s="3">
        <f>Calc!F99</f>
        <v>0</v>
      </c>
      <c r="M99" s="3">
        <f>Verification!E99</f>
        <v>0</v>
      </c>
      <c r="N99" s="3">
        <f>Calc!I99</f>
        <v>0</v>
      </c>
      <c r="O99" s="3">
        <f>AVERAGE(J99:N99)</f>
        <v>40</v>
      </c>
      <c r="P99" s="2">
        <f>RANK.EQ(O99,$O$2:$O$113,0)</f>
        <v>83</v>
      </c>
      <c r="Q99" s="2" t="inlineStr">
        <is>
          <t>Full-time staffing missing/unknown scored 0; Volunteer staffing missing/unknown scored 0; Service-delivery field not applicable/unknown scored 0</t>
        </is>
      </c>
      <c r="R99" s="2">
        <f>Coverage!I99</f>
        <v>2</v>
      </c>
      <c r="S99" s="4">
        <f>Coverage!J99</f>
        <v>0.4</v>
      </c>
      <c r="T99" s="3">
        <f>Coverage!K99</f>
        <v>100</v>
      </c>
    </row>
    <row r="100">
      <c r="A100" s="2" t="inlineStr">
        <is>
          <t>Rogue Scholar</t>
        </is>
      </c>
      <c r="B100" s="2" t="inlineStr">
        <is>
          <t>The Rogue Scholar</t>
        </is>
      </c>
      <c r="C100" s="2" t="inlineStr">
        <is>
          <t>Digital preservation system | Discovery system</t>
        </is>
      </c>
      <c r="D100" s="2" t="inlineStr">
        <is>
          <t>Actual system proven in operational environment</t>
        </is>
      </c>
      <c r="E100" s="2" t="inlineStr">
        <is>
          <t>Actively Maintained</t>
        </is>
      </c>
      <c r="F100" s="2" t="inlineStr"/>
      <c r="G100" s="2" t="inlineStr"/>
      <c r="H100" s="2" t="inlineStr"/>
      <c r="I100" s="2" t="inlineStr">
        <is>
          <t>Not applicable</t>
        </is>
      </c>
      <c r="J100" s="3">
        <f>Calc!B100</f>
        <v>100</v>
      </c>
      <c r="K100" s="3">
        <f>Calc!C100</f>
        <v>100</v>
      </c>
      <c r="L100" s="3">
        <f>Calc!F100</f>
        <v>0</v>
      </c>
      <c r="M100" s="3">
        <f>Verification!E100</f>
        <v>0</v>
      </c>
      <c r="N100" s="3">
        <f>Calc!I100</f>
        <v>0</v>
      </c>
      <c r="O100" s="3">
        <f>AVERAGE(J100:N100)</f>
        <v>40</v>
      </c>
      <c r="P100" s="2">
        <f>RANK.EQ(O100,$O$2:$O$113,0)</f>
        <v>83</v>
      </c>
      <c r="Q100" s="2" t="inlineStr">
        <is>
          <t>Full-time staffing missing/unknown scored 0; Volunteer staffing missing/unknown scored 0; Service-delivery field not applicable/unknown scored 0</t>
        </is>
      </c>
      <c r="R100" s="2">
        <f>Coverage!I100</f>
        <v>2</v>
      </c>
      <c r="S100" s="4">
        <f>Coverage!J100</f>
        <v>0.4</v>
      </c>
      <c r="T100" s="3">
        <f>Coverage!K100</f>
        <v>100</v>
      </c>
    </row>
    <row r="101">
      <c r="A101" s="2" t="inlineStr">
        <is>
          <t>RSpace</t>
        </is>
      </c>
      <c r="B101" s="2" t="inlineStr">
        <is>
          <t>Research Innovations Ltd (trading as Research Space)</t>
        </is>
      </c>
      <c r="C101" s="2" t="inlineStr">
        <is>
          <t>Authoring tool | Digital asset management system</t>
        </is>
      </c>
      <c r="D101" s="2" t="inlineStr">
        <is>
          <t>Actual system proven in operational environment</t>
        </is>
      </c>
      <c r="E101" s="2" t="inlineStr">
        <is>
          <t>Actively Maintained</t>
        </is>
      </c>
      <c r="F101" s="2" t="inlineStr">
        <is>
          <t>11-20</t>
        </is>
      </c>
      <c r="G101" s="2" t="inlineStr">
        <is>
          <t>0</t>
        </is>
      </c>
      <c r="H101" s="2" t="inlineStr">
        <is>
          <t>No affiliations</t>
        </is>
      </c>
      <c r="I101" s="2" t="inlineStr">
        <is>
          <t>Through solution provider only</t>
        </is>
      </c>
      <c r="J101" s="3">
        <f>Calc!B101</f>
        <v>100</v>
      </c>
      <c r="K101" s="3">
        <f>Calc!C101</f>
        <v>100</v>
      </c>
      <c r="L101" s="3">
        <f>Calc!F101</f>
        <v>37.5</v>
      </c>
      <c r="M101" s="3">
        <f>Verification!E101</f>
        <v>0</v>
      </c>
      <c r="N101" s="3">
        <f>Calc!I101</f>
        <v>100</v>
      </c>
      <c r="O101" s="3">
        <f>AVERAGE(J101:N101)</f>
        <v>67.5</v>
      </c>
      <c r="P101" s="2">
        <f>RANK.EQ(O101,$O$2:$O$113,0)</f>
        <v>29</v>
      </c>
      <c r="Q101" s="2" t="inlineStr">
        <is>
          <t>Review affiliation coding; override available</t>
        </is>
      </c>
      <c r="R101" s="2">
        <f>Coverage!I101</f>
        <v>5</v>
      </c>
      <c r="S101" s="4">
        <f>Coverage!J101</f>
        <v>1</v>
      </c>
      <c r="T101" s="3">
        <f>Coverage!K101</f>
        <v>67.5</v>
      </c>
    </row>
    <row r="102">
      <c r="A102" s="2" t="inlineStr">
        <is>
          <t>Sciety</t>
        </is>
      </c>
      <c r="B102" s="2" t="inlineStr">
        <is>
          <t>eLife</t>
        </is>
      </c>
      <c r="C102" s="2" t="inlineStr">
        <is>
          <t>Discovery system | Peer review system</t>
        </is>
      </c>
      <c r="D102" s="2" t="inlineStr">
        <is>
          <t>Actual system proven in operational environment</t>
        </is>
      </c>
      <c r="E102" s="2" t="inlineStr">
        <is>
          <t>Actively Maintained</t>
        </is>
      </c>
      <c r="F102" s="2" t="inlineStr">
        <is>
          <t>1-5</t>
        </is>
      </c>
      <c r="G102" s="2" t="inlineStr">
        <is>
          <t>0</t>
        </is>
      </c>
      <c r="H102" s="2" t="inlineStr">
        <is>
          <t>Howard Hughes Medical Institute, Wellcome Trust</t>
        </is>
      </c>
      <c r="I102" s="2" t="inlineStr">
        <is>
          <t>Not applicable</t>
        </is>
      </c>
      <c r="J102" s="3">
        <f>Calc!B102</f>
        <v>100</v>
      </c>
      <c r="K102" s="3">
        <f>Calc!C102</f>
        <v>100</v>
      </c>
      <c r="L102" s="3">
        <f>Calc!F102</f>
        <v>12.5</v>
      </c>
      <c r="M102" s="3">
        <f>Verification!E102</f>
        <v>50</v>
      </c>
      <c r="N102" s="3">
        <f>Calc!I102</f>
        <v>0</v>
      </c>
      <c r="O102" s="3">
        <f>AVERAGE(J102:N102)</f>
        <v>52.5</v>
      </c>
      <c r="P102" s="2">
        <f>RANK.EQ(O102,$O$2:$O$113,0)</f>
        <v>69</v>
      </c>
      <c r="Q102" s="2" t="inlineStr">
        <is>
          <t>Review affiliation coding; override available; Service-delivery field not applicable/unknown scored 0</t>
        </is>
      </c>
      <c r="R102" s="2">
        <f>Coverage!I102</f>
        <v>4</v>
      </c>
      <c r="S102" s="4">
        <f>Coverage!J102</f>
        <v>0.8</v>
      </c>
      <c r="T102" s="3">
        <f>Coverage!K102</f>
        <v>65.625</v>
      </c>
    </row>
    <row r="103">
      <c r="A103" s="2" t="inlineStr">
        <is>
          <t>Synapse</t>
        </is>
      </c>
      <c r="B103" s="2" t="inlineStr">
        <is>
          <t>Sage Bionetworks</t>
        </is>
      </c>
      <c r="C103" s="2" t="inlineStr">
        <is>
          <t>Annotations system | Repository service</t>
        </is>
      </c>
      <c r="D103" s="2" t="inlineStr">
        <is>
          <t>Actual system proven in operational environment</t>
        </is>
      </c>
      <c r="E103" s="2" t="inlineStr">
        <is>
          <t>Actively Maintained</t>
        </is>
      </c>
      <c r="F103" s="2" t="inlineStr">
        <is>
          <t>More than 20</t>
        </is>
      </c>
      <c r="G103" s="2" t="inlineStr">
        <is>
          <t>0</t>
        </is>
      </c>
      <c r="H103" s="2" t="inlineStr">
        <is>
          <t>No Affiliations</t>
        </is>
      </c>
      <c r="I103" s="2" t="inlineStr">
        <is>
          <t>Through solution provider only</t>
        </is>
      </c>
      <c r="J103" s="3">
        <f>Calc!B103</f>
        <v>100</v>
      </c>
      <c r="K103" s="3">
        <f>Calc!C103</f>
        <v>100</v>
      </c>
      <c r="L103" s="3">
        <f>Calc!F103</f>
        <v>50</v>
      </c>
      <c r="M103" s="3">
        <f>Verification!E103</f>
        <v>0</v>
      </c>
      <c r="N103" s="3">
        <f>Calc!I103</f>
        <v>100</v>
      </c>
      <c r="O103" s="3">
        <f>AVERAGE(J103:N103)</f>
        <v>70</v>
      </c>
      <c r="P103" s="2">
        <f>RANK.EQ(O103,$O$2:$O$113,0)</f>
        <v>19</v>
      </c>
      <c r="Q103" s="2" t="inlineStr">
        <is>
          <t>Review affiliation coding; override available</t>
        </is>
      </c>
      <c r="R103" s="2">
        <f>Coverage!I103</f>
        <v>5</v>
      </c>
      <c r="S103" s="4">
        <f>Coverage!J103</f>
        <v>1</v>
      </c>
      <c r="T103" s="3">
        <f>Coverage!K103</f>
        <v>70</v>
      </c>
    </row>
    <row r="104">
      <c r="A104" s="2" t="inlineStr">
        <is>
          <t>TagTeam</t>
        </is>
      </c>
      <c r="B104" s="2" t="inlineStr">
        <is>
          <t>Harvard University</t>
        </is>
      </c>
      <c r="C104" s="2" t="inlineStr">
        <is>
          <t>Annotations system | Discovery system</t>
        </is>
      </c>
      <c r="D104" s="2" t="inlineStr">
        <is>
          <t>Actual system proven in operational environment</t>
        </is>
      </c>
      <c r="E104" s="2" t="inlineStr">
        <is>
          <t>Minimally Maintained</t>
        </is>
      </c>
      <c r="F104" s="2" t="inlineStr">
        <is>
          <t>0</t>
        </is>
      </c>
      <c r="G104" s="2" t="inlineStr">
        <is>
          <t>More than 20</t>
        </is>
      </c>
      <c r="H104" s="2" t="inlineStr">
        <is>
          <t>Berkman Klein Center for Internet &amp; Society</t>
        </is>
      </c>
      <c r="I104" s="2" t="inlineStr">
        <is>
          <t>Not applicable</t>
        </is>
      </c>
      <c r="J104" s="3">
        <f>Calc!B104</f>
        <v>100</v>
      </c>
      <c r="K104" s="3">
        <f>Calc!C104</f>
        <v>50</v>
      </c>
      <c r="L104" s="3">
        <f>Calc!F104</f>
        <v>50</v>
      </c>
      <c r="M104" s="3">
        <f>Verification!E104</f>
        <v>50</v>
      </c>
      <c r="N104" s="3">
        <f>Calc!I104</f>
        <v>0</v>
      </c>
      <c r="O104" s="3">
        <f>AVERAGE(J104:N104)</f>
        <v>50</v>
      </c>
      <c r="P104" s="2">
        <f>RANK.EQ(O104,$O$2:$O$113,0)</f>
        <v>77</v>
      </c>
      <c r="Q104" s="2" t="inlineStr">
        <is>
          <t>Review affiliation coding; override available; Service-delivery field not applicable/unknown scored 0</t>
        </is>
      </c>
      <c r="R104" s="2">
        <f>Coverage!I104</f>
        <v>4</v>
      </c>
      <c r="S104" s="4">
        <f>Coverage!J104</f>
        <v>0.8</v>
      </c>
      <c r="T104" s="3">
        <f>Coverage!K104</f>
        <v>62.5</v>
      </c>
    </row>
    <row r="105">
      <c r="A105" s="2" t="inlineStr">
        <is>
          <t>Thoth Open Metadata</t>
        </is>
      </c>
      <c r="B105" s="2" t="inlineStr">
        <is>
          <t>Thoth Open Metadata</t>
        </is>
      </c>
      <c r="C105" s="2" t="inlineStr">
        <is>
          <t>Digital preservation service | Format conversion tool or service | Open scholarly dataset</t>
        </is>
      </c>
      <c r="D105" s="2" t="inlineStr">
        <is>
          <t>Actual system proven in operational environment</t>
        </is>
      </c>
      <c r="E105" s="2" t="inlineStr">
        <is>
          <t>Actively Maintained</t>
        </is>
      </c>
      <c r="F105" s="2" t="inlineStr">
        <is>
          <t>1-5</t>
        </is>
      </c>
      <c r="G105" s="2" t="inlineStr">
        <is>
          <t>0</t>
        </is>
      </c>
      <c r="H105" s="2" t="inlineStr">
        <is>
          <t>Community-led Open Publication Infrastructures for Monographs (COPIM) Copim Open Book Futures Open Book Collective</t>
        </is>
      </c>
      <c r="I105" s="2" t="inlineStr">
        <is>
          <t>Through solution provider only</t>
        </is>
      </c>
      <c r="J105" s="3">
        <f>Calc!B105</f>
        <v>100</v>
      </c>
      <c r="K105" s="3">
        <f>Calc!C105</f>
        <v>100</v>
      </c>
      <c r="L105" s="3">
        <f>Calc!F105</f>
        <v>12.5</v>
      </c>
      <c r="M105" s="3">
        <f>Verification!E105</f>
        <v>50</v>
      </c>
      <c r="N105" s="3">
        <f>Calc!I105</f>
        <v>100</v>
      </c>
      <c r="O105" s="3">
        <f>AVERAGE(J105:N105)</f>
        <v>72.5</v>
      </c>
      <c r="P105" s="2">
        <f>RANK.EQ(O105,$O$2:$O$113,0)</f>
        <v>13</v>
      </c>
      <c r="Q105" s="2" t="inlineStr">
        <is>
          <t>Review affiliation coding; override available</t>
        </is>
      </c>
      <c r="R105" s="2">
        <f>Coverage!I105</f>
        <v>5</v>
      </c>
      <c r="S105" s="4">
        <f>Coverage!J105</f>
        <v>1</v>
      </c>
      <c r="T105" s="3">
        <f>Coverage!K105</f>
        <v>72.5</v>
      </c>
    </row>
    <row r="106">
      <c r="A106" s="2" t="inlineStr">
        <is>
          <t>Tropy</t>
        </is>
      </c>
      <c r="B106" s="2" t="inlineStr">
        <is>
          <t>Digital Scholar</t>
        </is>
      </c>
      <c r="C106" s="2" t="inlineStr">
        <is>
          <t>Digital asset management system</t>
        </is>
      </c>
      <c r="D106" s="2" t="inlineStr">
        <is>
          <t>Actual system proven in operational environment</t>
        </is>
      </c>
      <c r="E106" s="2" t="inlineStr">
        <is>
          <t>Actively Maintained</t>
        </is>
      </c>
      <c r="F106" s="2" t="inlineStr"/>
      <c r="G106" s="2" t="inlineStr"/>
      <c r="H106" s="2" t="inlineStr">
        <is>
          <t>None.</t>
        </is>
      </c>
      <c r="I106" s="2" t="inlineStr">
        <is>
          <t>Not applicable</t>
        </is>
      </c>
      <c r="J106" s="3">
        <f>Calc!B106</f>
        <v>100</v>
      </c>
      <c r="K106" s="3">
        <f>Calc!C106</f>
        <v>100</v>
      </c>
      <c r="L106" s="3">
        <f>Calc!F106</f>
        <v>0</v>
      </c>
      <c r="M106" s="3">
        <f>Verification!E106</f>
        <v>0</v>
      </c>
      <c r="N106" s="3">
        <f>Calc!I106</f>
        <v>0</v>
      </c>
      <c r="O106" s="3">
        <f>AVERAGE(J106:N106)</f>
        <v>40</v>
      </c>
      <c r="P106" s="2">
        <f>RANK.EQ(O106,$O$2:$O$113,0)</f>
        <v>83</v>
      </c>
      <c r="Q106" s="2" t="inlineStr">
        <is>
          <t>Full-time staffing missing/unknown scored 0; Volunteer staffing missing/unknown scored 0; Review affiliation coding; override available; Service-delivery field not applicable/unknown scored 0</t>
        </is>
      </c>
      <c r="R106" s="2">
        <f>Coverage!I106</f>
        <v>3</v>
      </c>
      <c r="S106" s="4">
        <f>Coverage!J106</f>
        <v>0.6</v>
      </c>
      <c r="T106" s="3">
        <f>Coverage!K106</f>
        <v>66.6666666666667</v>
      </c>
    </row>
    <row r="107">
      <c r="A107" s="2" t="inlineStr">
        <is>
          <t>veraPDF</t>
        </is>
      </c>
      <c r="B107" s="2" t="inlineStr">
        <is>
          <t>veraPDF Consortium</t>
        </is>
      </c>
      <c r="C107" s="2" t="inlineStr">
        <is>
          <t>Digital preservation tool | Standard, specification or protocol</t>
        </is>
      </c>
      <c r="D107" s="2" t="inlineStr">
        <is>
          <t>Actual system proven in operational environment</t>
        </is>
      </c>
      <c r="E107" s="2" t="inlineStr">
        <is>
          <t>Actively Maintained</t>
        </is>
      </c>
      <c r="F107" s="2" t="inlineStr">
        <is>
          <t>1-5</t>
        </is>
      </c>
      <c r="G107" s="2" t="inlineStr">
        <is>
          <t>0</t>
        </is>
      </c>
      <c r="H107" s="2" t="inlineStr">
        <is>
          <t>Open Preservation Foundation PDF Association Dual Labs</t>
        </is>
      </c>
      <c r="I107" s="2" t="inlineStr">
        <is>
          <t>Not applicable</t>
        </is>
      </c>
      <c r="J107" s="3">
        <f>Calc!B107</f>
        <v>100</v>
      </c>
      <c r="K107" s="3">
        <f>Calc!C107</f>
        <v>100</v>
      </c>
      <c r="L107" s="3">
        <f>Calc!F107</f>
        <v>12.5</v>
      </c>
      <c r="M107" s="3">
        <f>Verification!E107</f>
        <v>50</v>
      </c>
      <c r="N107" s="3">
        <f>Calc!I107</f>
        <v>0</v>
      </c>
      <c r="O107" s="3">
        <f>AVERAGE(J107:N107)</f>
        <v>52.5</v>
      </c>
      <c r="P107" s="2">
        <f>RANK.EQ(O107,$O$2:$O$113,0)</f>
        <v>69</v>
      </c>
      <c r="Q107" s="2" t="inlineStr">
        <is>
          <t>Review affiliation coding; override available; Service-delivery field not applicable/unknown scored 0</t>
        </is>
      </c>
      <c r="R107" s="2">
        <f>Coverage!I107</f>
        <v>4</v>
      </c>
      <c r="S107" s="4">
        <f>Coverage!J107</f>
        <v>0.8</v>
      </c>
      <c r="T107" s="3">
        <f>Coverage!K107</f>
        <v>65.625</v>
      </c>
    </row>
    <row r="108">
      <c r="A108" s="2" t="inlineStr">
        <is>
          <t>ViPER</t>
        </is>
      </c>
      <c r="B108" s="2" t="inlineStr">
        <is>
          <t>Open Preservation Foundation</t>
        </is>
      </c>
      <c r="C108" s="2" t="inlineStr">
        <is>
          <t>Digital preservation tool</t>
        </is>
      </c>
      <c r="D108" s="2" t="inlineStr">
        <is>
          <t>Actual system proven in operational environment</t>
        </is>
      </c>
      <c r="E108" s="2" t="inlineStr">
        <is>
          <t>Actively Maintained</t>
        </is>
      </c>
      <c r="F108" s="2" t="inlineStr">
        <is>
          <t>6-10</t>
        </is>
      </c>
      <c r="G108" s="2" t="inlineStr"/>
      <c r="H108" s="2" t="inlineStr">
        <is>
          <t>Artefactual</t>
        </is>
      </c>
      <c r="I108" s="2" t="inlineStr">
        <is>
          <t>Not applicable</t>
        </is>
      </c>
      <c r="J108" s="3">
        <f>Calc!B108</f>
        <v>100</v>
      </c>
      <c r="K108" s="3">
        <f>Calc!C108</f>
        <v>100</v>
      </c>
      <c r="L108" s="3">
        <f>Calc!F108</f>
        <v>25</v>
      </c>
      <c r="M108" s="3">
        <f>Verification!E108</f>
        <v>50</v>
      </c>
      <c r="N108" s="3">
        <f>Calc!I108</f>
        <v>0</v>
      </c>
      <c r="O108" s="3">
        <f>AVERAGE(J108:N108)</f>
        <v>55</v>
      </c>
      <c r="P108" s="2">
        <f>RANK.EQ(O108,$O$2:$O$113,0)</f>
        <v>65</v>
      </c>
      <c r="Q108" s="2" t="inlineStr">
        <is>
          <t>Volunteer staffing missing/unknown scored 0; Review affiliation coding; override available; Service-delivery field not applicable/unknown scored 0</t>
        </is>
      </c>
      <c r="R108" s="2">
        <f>Coverage!I108</f>
        <v>4</v>
      </c>
      <c r="S108" s="4">
        <f>Coverage!J108</f>
        <v>0.8</v>
      </c>
      <c r="T108" s="3">
        <f>Coverage!K108</f>
        <v>75</v>
      </c>
    </row>
    <row r="109">
      <c r="A109" s="2" t="inlineStr">
        <is>
          <t>Vireo ETD</t>
        </is>
      </c>
      <c r="B109" s="2" t="inlineStr">
        <is>
          <t>Texas Digital Library</t>
        </is>
      </c>
      <c r="C109" s="2" t="inlineStr">
        <is>
          <t>Publishing system | Repository software | Submissions system</t>
        </is>
      </c>
      <c r="D109" s="2" t="inlineStr">
        <is>
          <t>Actual system proven in operational environment</t>
        </is>
      </c>
      <c r="E109" s="2" t="inlineStr">
        <is>
          <t>Actively Maintained</t>
        </is>
      </c>
      <c r="F109" s="2" t="inlineStr">
        <is>
          <t>1-5</t>
        </is>
      </c>
      <c r="G109" s="2" t="inlineStr">
        <is>
          <t>Unknown</t>
        </is>
      </c>
      <c r="H109" s="2" t="inlineStr">
        <is>
          <t>Texas Digital Library Vireo User Group Steering Committee</t>
        </is>
      </c>
      <c r="I109" s="2" t="inlineStr">
        <is>
          <t>Through solution provider only</t>
        </is>
      </c>
      <c r="J109" s="3">
        <f>Calc!B109</f>
        <v>100</v>
      </c>
      <c r="K109" s="3">
        <f>Calc!C109</f>
        <v>100</v>
      </c>
      <c r="L109" s="3">
        <f>Calc!F109</f>
        <v>12.5</v>
      </c>
      <c r="M109" s="3">
        <f>Verification!E109</f>
        <v>50</v>
      </c>
      <c r="N109" s="3">
        <f>Calc!I109</f>
        <v>100</v>
      </c>
      <c r="O109" s="3">
        <f>AVERAGE(J109:N109)</f>
        <v>72.5</v>
      </c>
      <c r="P109" s="2">
        <f>RANK.EQ(O109,$O$2:$O$113,0)</f>
        <v>13</v>
      </c>
      <c r="Q109" s="2" t="inlineStr">
        <is>
          <t>Review affiliation coding; override available</t>
        </is>
      </c>
      <c r="R109" s="2">
        <f>Coverage!I109</f>
        <v>5</v>
      </c>
      <c r="S109" s="4">
        <f>Coverage!J109</f>
        <v>1</v>
      </c>
      <c r="T109" s="3">
        <f>Coverage!K109</f>
        <v>75</v>
      </c>
    </row>
    <row r="110">
      <c r="A110" s="2" t="inlineStr">
        <is>
          <t>VIVO</t>
        </is>
      </c>
      <c r="B110" s="2" t="inlineStr">
        <is>
          <t>Lyrasis</t>
        </is>
      </c>
      <c r="C110" s="2" t="inlineStr">
        <is>
          <t>Discovery system | Research profiling system | Standard, specification or protocol</t>
        </is>
      </c>
      <c r="D110" s="2" t="inlineStr">
        <is>
          <t>Actual system proven in operational environment</t>
        </is>
      </c>
      <c r="E110" s="2" t="inlineStr">
        <is>
          <t>Actively Maintained</t>
        </is>
      </c>
      <c r="F110" s="2" t="inlineStr">
        <is>
          <t>1-5</t>
        </is>
      </c>
      <c r="G110" s="2" t="inlineStr">
        <is>
          <t>Unknown</t>
        </is>
      </c>
      <c r="H110" s="2" t="inlineStr">
        <is>
          <t>Lyrasis serves as the organizational home for VIVO. Multiple research institutions and universities across the world are involved in the governance of VIVO.</t>
        </is>
      </c>
      <c r="I110" s="2" t="inlineStr">
        <is>
          <t>Through solution provider or third party vendor</t>
        </is>
      </c>
      <c r="J110" s="3">
        <f>Calc!B110</f>
        <v>100</v>
      </c>
      <c r="K110" s="3">
        <f>Calc!C110</f>
        <v>100</v>
      </c>
      <c r="L110" s="3">
        <f>Calc!F110</f>
        <v>12.5</v>
      </c>
      <c r="M110" s="3">
        <f>Verification!E110</f>
        <v>100</v>
      </c>
      <c r="N110" s="3">
        <f>Calc!I110</f>
        <v>100</v>
      </c>
      <c r="O110" s="3">
        <f>AVERAGE(J110:N110)</f>
        <v>82.5</v>
      </c>
      <c r="P110" s="2">
        <f>RANK.EQ(O110,$O$2:$O$113,0)</f>
        <v>5</v>
      </c>
      <c r="Q110" s="2" t="inlineStr">
        <is>
          <t>Review affiliation coding; override available</t>
        </is>
      </c>
      <c r="R110" s="2">
        <f>Coverage!I110</f>
        <v>5</v>
      </c>
      <c r="S110" s="4">
        <f>Coverage!J110</f>
        <v>1</v>
      </c>
      <c r="T110" s="3">
        <f>Coverage!K110</f>
        <v>85</v>
      </c>
    </row>
    <row r="111">
      <c r="A111" s="2" t="inlineStr">
        <is>
          <t>VuFind®</t>
        </is>
      </c>
      <c r="B111" s="2" t="inlineStr">
        <is>
          <t>Open Library Foundation</t>
        </is>
      </c>
      <c r="C111" s="2" t="inlineStr">
        <is>
          <t>Discovery system</t>
        </is>
      </c>
      <c r="D111" s="2" t="inlineStr">
        <is>
          <t>Actual system proven in operational environment</t>
        </is>
      </c>
      <c r="E111" s="2" t="inlineStr">
        <is>
          <t>Actively Maintained</t>
        </is>
      </c>
      <c r="F111" s="2" t="inlineStr"/>
      <c r="G111" s="2" t="inlineStr"/>
      <c r="H111" s="2" t="inlineStr"/>
      <c r="I111" s="2" t="inlineStr">
        <is>
          <t>Through solution provider or third party vendor</t>
        </is>
      </c>
      <c r="J111" s="3">
        <f>Calc!B111</f>
        <v>100</v>
      </c>
      <c r="K111" s="3">
        <f>Calc!C111</f>
        <v>100</v>
      </c>
      <c r="L111" s="3">
        <f>Calc!F111</f>
        <v>0</v>
      </c>
      <c r="M111" s="3">
        <f>Verification!E111</f>
        <v>0</v>
      </c>
      <c r="N111" s="3">
        <f>Calc!I111</f>
        <v>100</v>
      </c>
      <c r="O111" s="3">
        <f>AVERAGE(J111:N111)</f>
        <v>60</v>
      </c>
      <c r="P111" s="2">
        <f>RANK.EQ(O111,$O$2:$O$113,0)</f>
        <v>43</v>
      </c>
      <c r="Q111" s="2" t="inlineStr">
        <is>
          <t>Full-time staffing missing/unknown scored 0; Volunteer staffing missing/unknown scored 0</t>
        </is>
      </c>
      <c r="R111" s="2">
        <f>Coverage!I111</f>
        <v>3</v>
      </c>
      <c r="S111" s="4">
        <f>Coverage!J111</f>
        <v>0.6</v>
      </c>
      <c r="T111" s="3">
        <f>Coverage!K111</f>
        <v>100</v>
      </c>
    </row>
    <row r="112">
      <c r="A112" s="2" t="inlineStr">
        <is>
          <t>Zenodo</t>
        </is>
      </c>
      <c r="B112" s="2" t="inlineStr">
        <is>
          <t>CERN</t>
        </is>
      </c>
      <c r="C112" s="2" t="inlineStr">
        <is>
          <t>Repository service</t>
        </is>
      </c>
      <c r="D112" s="2" t="inlineStr">
        <is>
          <t>Actual system proven in operational environment</t>
        </is>
      </c>
      <c r="E112" s="2" t="inlineStr">
        <is>
          <t>Actively Maintained</t>
        </is>
      </c>
      <c r="F112" s="2" t="inlineStr"/>
      <c r="G112" s="2" t="inlineStr"/>
      <c r="H112" s="2" t="inlineStr"/>
      <c r="I112" s="2" t="inlineStr">
        <is>
          <t>Not applicable</t>
        </is>
      </c>
      <c r="J112" s="3">
        <f>Calc!B112</f>
        <v>100</v>
      </c>
      <c r="K112" s="3">
        <f>Calc!C112</f>
        <v>100</v>
      </c>
      <c r="L112" s="3">
        <f>Calc!F112</f>
        <v>0</v>
      </c>
      <c r="M112" s="3">
        <f>Verification!E112</f>
        <v>0</v>
      </c>
      <c r="N112" s="3">
        <f>Calc!I112</f>
        <v>0</v>
      </c>
      <c r="O112" s="3">
        <f>AVERAGE(J112:N112)</f>
        <v>40</v>
      </c>
      <c r="P112" s="2">
        <f>RANK.EQ(O112,$O$2:$O$113,0)</f>
        <v>83</v>
      </c>
      <c r="Q112" s="2" t="inlineStr">
        <is>
          <t>Full-time staffing missing/unknown scored 0; Volunteer staffing missing/unknown scored 0; Service-delivery field not applicable/unknown scored 0</t>
        </is>
      </c>
      <c r="R112" s="2">
        <f>Coverage!I112</f>
        <v>2</v>
      </c>
      <c r="S112" s="4">
        <f>Coverage!J112</f>
        <v>0.4</v>
      </c>
      <c r="T112" s="3">
        <f>Coverage!K112</f>
        <v>100</v>
      </c>
    </row>
    <row r="113">
      <c r="A113" s="2" t="inlineStr">
        <is>
          <t>Zotero</t>
        </is>
      </c>
      <c r="B113" s="2" t="inlineStr">
        <is>
          <t>Digital Scholar</t>
        </is>
      </c>
      <c r="C113" s="2" t="inlineStr">
        <is>
          <t>Annotations system</t>
        </is>
      </c>
      <c r="D113" s="2" t="inlineStr">
        <is>
          <t>Actual system proven in operational environment</t>
        </is>
      </c>
      <c r="E113" s="2" t="inlineStr">
        <is>
          <t>Actively Maintained</t>
        </is>
      </c>
      <c r="F113" s="2" t="inlineStr"/>
      <c r="G113" s="2" t="inlineStr"/>
      <c r="H113" s="2" t="inlineStr">
        <is>
          <t>No affiliations</t>
        </is>
      </c>
      <c r="I113" s="2" t="inlineStr">
        <is>
          <t>Through solution provider only</t>
        </is>
      </c>
      <c r="J113" s="3">
        <f>Calc!B113</f>
        <v>100</v>
      </c>
      <c r="K113" s="3">
        <f>Calc!C113</f>
        <v>100</v>
      </c>
      <c r="L113" s="3">
        <f>Calc!F113</f>
        <v>0</v>
      </c>
      <c r="M113" s="3">
        <f>Verification!E113</f>
        <v>0</v>
      </c>
      <c r="N113" s="3">
        <f>Calc!I113</f>
        <v>100</v>
      </c>
      <c r="O113" s="3">
        <f>AVERAGE(J113:N113)</f>
        <v>60</v>
      </c>
      <c r="P113" s="2">
        <f>RANK.EQ(O113,$O$2:$O$113,0)</f>
        <v>43</v>
      </c>
      <c r="Q113" s="2" t="inlineStr">
        <is>
          <t>Full-time staffing missing/unknown scored 0; Volunteer staffing missing/unknown scored 0; Review affiliation coding; override available</t>
        </is>
      </c>
      <c r="R113" s="2">
        <f>Coverage!I113</f>
        <v>4</v>
      </c>
      <c r="S113" s="4">
        <f>Coverage!J113</f>
        <v>0.8</v>
      </c>
      <c r="T113" s="3">
        <f>Coverage!K113</f>
        <v>75</v>
      </c>
    </row>
  </sheetData>
  <autoFilter ref="A1:T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0" customWidth="1" min="3" max="3"/>
    <col width="12" customWidth="1" min="4" max="4"/>
    <col width="72" customWidth="1" min="5" max="5"/>
    <col width="58" customWidth="1" min="6" max="6"/>
    <col width="62" customWidth="1" min="7" max="7"/>
  </cols>
  <sheetData>
    <row r="1" ht="32" customHeight="1">
      <c r="A1" s="1" t="inlineStr">
        <is>
          <t>Code</t>
        </is>
      </c>
      <c r="B1" s="1" t="inlineStr">
        <is>
          <t>Metric</t>
        </is>
      </c>
      <c r="C1" s="1" t="inlineStr">
        <is>
          <t>Source field(s)</t>
        </is>
      </c>
      <c r="D1" s="1" t="inlineStr">
        <is>
          <t>Weight</t>
        </is>
      </c>
      <c r="E1" s="1" t="inlineStr">
        <is>
          <t>Scoring criteria</t>
        </is>
      </c>
      <c r="F1" s="1" t="inlineStr">
        <is>
          <t>Unavailable-data treatment</t>
        </is>
      </c>
      <c r="G1" s="1" t="inlineStr">
        <is>
          <t>Interpretation / caution</t>
        </is>
      </c>
    </row>
    <row r="2">
      <c r="A2" s="2" t="inlineStr">
        <is>
          <t>M1</t>
        </is>
      </c>
      <c r="B2" s="2" t="inlineStr">
        <is>
          <t>Technology readiness</t>
        </is>
      </c>
      <c r="C2" s="2" t="inlineStr">
        <is>
          <t>079</t>
        </is>
      </c>
      <c r="D2" s="2" t="n">
        <v>0.2</v>
      </c>
      <c r="E2" s="2" t="inlineStr">
        <is>
          <t>Nine-stage source scale: score = level / 9 x 100. Observed: Actual system proven in operational environment=100; System complete and qualified=88.89; Technology validated in relevant environment=55.56.</t>
        </is>
      </c>
      <c r="F2" s="2" t="inlineStr">
        <is>
          <t>Unknown, blank, or unrecognized=0.</t>
        </is>
      </c>
      <c r="G2" s="2" t="inlineStr">
        <is>
          <t>Ordinal normalization on the source readiness scale; current data are concentrated at the highest level.</t>
        </is>
      </c>
    </row>
    <row r="3">
      <c r="A3" s="2" t="inlineStr">
        <is>
          <t>M2</t>
        </is>
      </c>
      <c r="B3" s="2" t="inlineStr">
        <is>
          <t>Maintenance status</t>
        </is>
      </c>
      <c r="C3" s="2" t="inlineStr">
        <is>
          <t>080</t>
        </is>
      </c>
      <c r="D3" s="2" t="n">
        <v>0.2</v>
      </c>
      <c r="E3" s="2" t="inlineStr">
        <is>
          <t>Actively Maintained=100; Minimally Maintained=50; Inactive/not maintained=0.</t>
        </is>
      </c>
      <c r="F3" s="2" t="inlineStr">
        <is>
          <t>Unknown or blank=0.</t>
        </is>
      </c>
      <c r="G3" s="2" t="inlineStr">
        <is>
          <t>Current responses are highly concentrated at actively maintained.</t>
        </is>
      </c>
    </row>
    <row r="4">
      <c r="A4" s="2" t="inlineStr">
        <is>
          <t>H1</t>
        </is>
      </c>
      <c r="B4" s="2" t="inlineStr">
        <is>
          <t>Human-resource capacity</t>
        </is>
      </c>
      <c r="C4" s="2" t="inlineStr">
        <is>
          <t>054 + 055</t>
        </is>
      </c>
      <c r="D4" s="2" t="n">
        <v>0.2</v>
      </c>
      <c r="E4" s="2" t="inlineStr">
        <is>
          <t>Score each field: 0 people=0; 1-5=25; 6-10=50; 11-20=75; &gt;20=100. H1=(full-time score+volunteer score)/2.</t>
        </is>
      </c>
      <c r="F4" s="2" t="inlineStr">
        <is>
          <t>Unknown or blank in either field=0 for that field; H1 remains the average of both fields.</t>
        </is>
      </c>
      <c r="G4" s="2" t="inlineStr">
        <is>
          <t>Ordinal ranges, not exact headcounts. Paid and volunteer staffing each contribute half of H1.</t>
        </is>
      </c>
    </row>
    <row r="5">
      <c r="A5" s="2" t="inlineStr">
        <is>
          <t>I2</t>
        </is>
      </c>
      <c r="B5" s="2" t="inlineStr">
        <is>
          <t>Institutional affiliations and support</t>
        </is>
      </c>
      <c r="C5" s="2" t="inlineStr">
        <is>
          <t>058</t>
        </is>
      </c>
      <c r="D5" s="2" t="n">
        <v>0.2</v>
      </c>
      <c r="E5" s="2" t="inlineStr">
        <is>
          <t>Formal host or explicit operational/financial support=100; substantive affiliation/membership without stated operational support=50; explicit absence/placeholders=0.</t>
        </is>
      </c>
      <c r="F5" s="2" t="inlineStr">
        <is>
          <t>Blank or unknown=0. Free-text provisional coding can be overridden on Verification sheet with 0, 50, or 100.</t>
        </is>
      </c>
      <c r="G5" s="2" t="inlineStr">
        <is>
          <t>Narrative coding needs consistent review; an override changes the Scoring sheet formula after recalculation in Excel.</t>
        </is>
      </c>
    </row>
    <row r="6">
      <c r="A6" s="2" t="inlineStr">
        <is>
          <t>O1</t>
        </is>
      </c>
      <c r="B6" s="2" t="inlineStr">
        <is>
          <t>Hosted/service-delivery capacity</t>
        </is>
      </c>
      <c r="C6" s="2" t="inlineStr">
        <is>
          <t>076</t>
        </is>
      </c>
      <c r="D6" s="2" t="n">
        <v>0.2</v>
      </c>
      <c r="E6" s="2" t="inlineStr">
        <is>
          <t>Any 'Through ...' hosted/service route=100; No services available=0.</t>
        </is>
      </c>
      <c r="F6" s="2" t="inlineStr">
        <is>
          <t>Not applicable, unknown, or blank=0.</t>
        </is>
      </c>
      <c r="G6" s="2" t="inlineStr">
        <is>
          <t>Measures reported service availability, not quality, uptime, affordability, or control.</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Methodology and interpretation</t>
        </is>
      </c>
      <c r="B1" s="1" t="inlineStr">
        <is>
          <t>Details</t>
        </is>
      </c>
    </row>
    <row r="2">
      <c r="A2" s="2" t="inlineStr">
        <is>
          <t>Metric selection</t>
        </is>
      </c>
      <c r="B2" s="2" t="inlineStr">
        <is>
          <t>Five measures are retained: technology readiness, maintenance, combined staffing, institutional affiliations/support, and hosted/service-delivery capacity. M3 Infrastructure age and I1 Formal organizational host are excluded. Funding, legal form, SCOSS, and provider-list fields remain descriptive, not scored.</t>
        </is>
      </c>
    </row>
    <row r="3">
      <c r="A3" s="2" t="inlineStr">
        <is>
          <t>Equal weighting</t>
        </is>
      </c>
      <c r="B3" s="2" t="inlineStr">
        <is>
          <t>Each of the five metrics receives 20%. Equal weighting is a transparent analytic choice; it is not estimated from the observed data or claimed to establish equal causal importance.</t>
        </is>
      </c>
    </row>
    <row r="4">
      <c r="A4" s="2" t="inlineStr">
        <is>
          <t>Final formula</t>
        </is>
      </c>
      <c r="B4" s="2" t="inlineStr">
        <is>
          <t>Organizational Capacity Score = (M1 + M2 + H1 + I2 + O1) / 5. Each metric is first placed on a 0-100 scale.</t>
        </is>
      </c>
    </row>
    <row r="5">
      <c r="A5" s="2" t="inlineStr">
        <is>
          <t>Missing-data rule</t>
        </is>
      </c>
      <c r="B5" s="2" t="inlineStr">
        <is>
          <t>No coverage or eligibility threshold is applied. Blank, unknown, not applicable, or unrecognized values score 0, as requested. The denominator remains five for every infrastructure.</t>
        </is>
      </c>
    </row>
    <row r="6">
      <c r="A6" s="2" t="inlineStr">
        <is>
          <t>Observed coverage diagnostics</t>
        </is>
      </c>
      <c r="B6" s="2" t="inlineStr">
        <is>
          <t>Observed coverage is reported for transparency only; it is not an eligibility gate. A metric is observed when a valid source response exists. H1 is observed if at least one staffing subfield has a recognized category; its observed-only diagnostic averages only the staffing subfields actually reported, while the final H1 score assigns zero to a missing subfield.</t>
        </is>
      </c>
    </row>
    <row r="7">
      <c r="A7" s="2" t="inlineStr">
        <is>
          <t>Observed-only mean</t>
        </is>
      </c>
      <c r="B7" s="2" t="inlineStr">
        <is>
          <t>The per-infrastructure observed-only mean averages available metric scores and excludes unavailable metrics. It uses a variable denominator and is descriptive; the final score remains the equal-weight zero-filled mean across all five metrics.</t>
        </is>
      </c>
    </row>
    <row r="8">
      <c r="A8" s="2" t="inlineStr">
        <is>
          <t>Interpretation</t>
        </is>
      </c>
      <c r="B8" s="2" t="inlineStr">
        <is>
          <t>The zero-filled score reflects recorded capacity and data availability together. A zero for a missing field does not prove the underlying capacity is absent. Publish metric-level values and data-quality notes with the total.</t>
        </is>
      </c>
    </row>
    <row r="9">
      <c r="A9" s="2" t="inlineStr">
        <is>
          <t>Human resources</t>
        </is>
      </c>
      <c r="B9" s="2" t="inlineStr">
        <is>
          <t>Full-time and volunteer staffing are subfields of one metric. Each is scored 0/25/50/75/100 by reported category; their two sub-scores are averaged. Missing/unknown subfields score zero. The category scale is ordinal.</t>
        </is>
      </c>
    </row>
    <row r="10">
      <c r="A10" s="2" t="inlineStr">
        <is>
          <t>Affiliation coding</t>
        </is>
      </c>
      <c r="B10" s="2" t="inlineStr">
        <is>
          <t>Field 058 is free text. A provisional deterministic rule assigns 100 only where explicit hosting/support language is present; other substantive affiliation text receives 50; explicit absence/placeholders/blank receive 0. Review and numeric overrides (0, 50, 100) are available in Verification.</t>
        </is>
      </c>
    </row>
    <row r="11">
      <c r="A11" s="2" t="inlineStr">
        <is>
          <t>Source data</t>
        </is>
      </c>
      <c r="B11" s="2" t="inlineStr">
        <is>
          <t>The workbook contains 112 source entries copied from the Organizational Capacity verification sheet and includes the source Field_Guide. The source data are preserved as a separate sheet.</t>
        </is>
      </c>
    </row>
    <row r="12">
      <c r="A12" s="2" t="inlineStr">
        <is>
          <t>No performance bands</t>
        </is>
      </c>
      <c r="B12" s="2" t="inlineStr">
        <is>
          <t>No 70-point cutoff or high/medium/low categories are applied.</t>
        </is>
      </c>
    </row>
    <row r="13">
      <c r="A13" s="2" t="inlineStr">
        <is>
          <t>Limitations</t>
        </is>
      </c>
      <c r="B13" s="2" t="inlineStr">
        <is>
          <t>Technology readiness and maintenance responses show little variation. Staffing and affiliation information is incomplete or narrative. Hosted/service delivery is not a direct measure of quality. These constraints should be stated when interpreting comparisons.</t>
        </is>
      </c>
    </row>
  </sheetData>
  <autoFilter ref="A1:B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52" customWidth="1" min="3" max="3"/>
    <col width="15" customWidth="1" min="4" max="4"/>
    <col width="18" customWidth="1" min="5" max="5"/>
    <col width="18" customWidth="1" min="6" max="6"/>
  </cols>
  <sheetData>
    <row r="1" ht="32" customHeight="1">
      <c r="A1" s="1" t="inlineStr">
        <is>
          <t>Code</t>
        </is>
      </c>
      <c r="B1" s="1" t="inlineStr">
        <is>
          <t>Metric</t>
        </is>
      </c>
      <c r="C1" s="1" t="inlineStr">
        <is>
          <t>Source field(s)</t>
        </is>
      </c>
      <c r="D1" s="1" t="inlineStr">
        <is>
          <t>Exact weight</t>
        </is>
      </c>
      <c r="E1" s="1" t="inlineStr">
        <is>
          <t>Displayed weight</t>
        </is>
      </c>
      <c r="F1" s="1" t="inlineStr">
        <is>
          <t>Scale</t>
        </is>
      </c>
    </row>
    <row r="2">
      <c r="A2" s="2" t="inlineStr">
        <is>
          <t>M1</t>
        </is>
      </c>
      <c r="B2" s="2" t="inlineStr">
        <is>
          <t>Technology readiness</t>
        </is>
      </c>
      <c r="C2" s="2" t="inlineStr">
        <is>
          <t>079_technology_readiness</t>
        </is>
      </c>
      <c r="D2" s="2" t="n">
        <v>0.2</v>
      </c>
      <c r="E2" s="2" t="inlineStr">
        <is>
          <t>20.00%</t>
        </is>
      </c>
      <c r="F2" s="2" t="inlineStr">
        <is>
          <t>0-100</t>
        </is>
      </c>
    </row>
    <row r="3">
      <c r="A3" s="2" t="inlineStr">
        <is>
          <t>M2</t>
        </is>
      </c>
      <c r="B3" s="2" t="inlineStr">
        <is>
          <t>Maintenance status</t>
        </is>
      </c>
      <c r="C3" s="2" t="inlineStr">
        <is>
          <t>080_maintenance_status</t>
        </is>
      </c>
      <c r="D3" s="2" t="n">
        <v>0.2</v>
      </c>
      <c r="E3" s="2" t="inlineStr">
        <is>
          <t>20.00%</t>
        </is>
      </c>
      <c r="F3" s="2" t="inlineStr">
        <is>
          <t>0-100</t>
        </is>
      </c>
    </row>
    <row r="4">
      <c r="A4" s="2" t="inlineStr">
        <is>
          <t>H1</t>
        </is>
      </c>
      <c r="B4" s="2" t="inlineStr">
        <is>
          <t>Human-resource capacity</t>
        </is>
      </c>
      <c r="C4" s="2" t="inlineStr">
        <is>
          <t>054_staffing_full_time + 055_staffing_volunteer</t>
        </is>
      </c>
      <c r="D4" s="2" t="n">
        <v>0.2</v>
      </c>
      <c r="E4" s="2" t="inlineStr">
        <is>
          <t>20.00%</t>
        </is>
      </c>
      <c r="F4" s="2" t="inlineStr">
        <is>
          <t>0-100</t>
        </is>
      </c>
    </row>
    <row r="5">
      <c r="A5" s="2" t="inlineStr">
        <is>
          <t>I2</t>
        </is>
      </c>
      <c r="B5" s="2" t="inlineStr">
        <is>
          <t>Institutional affiliations and support</t>
        </is>
      </c>
      <c r="C5" s="2" t="inlineStr">
        <is>
          <t>058_affiliations</t>
        </is>
      </c>
      <c r="D5" s="2" t="n">
        <v>0.2</v>
      </c>
      <c r="E5" s="2" t="inlineStr">
        <is>
          <t>20.00%</t>
        </is>
      </c>
      <c r="F5" s="2" t="inlineStr">
        <is>
          <t>0-100</t>
        </is>
      </c>
    </row>
    <row r="6">
      <c r="A6" s="2" t="inlineStr">
        <is>
          <t>O1</t>
        </is>
      </c>
      <c r="B6" s="2" t="inlineStr">
        <is>
          <t>Hosted/service-delivery capacity</t>
        </is>
      </c>
      <c r="C6" s="2" t="inlineStr">
        <is>
          <t>076_saas_options</t>
        </is>
      </c>
      <c r="D6" s="2" t="n">
        <v>0.2</v>
      </c>
      <c r="E6" s="2" t="inlineStr">
        <is>
          <t>20.00%</t>
        </is>
      </c>
      <c r="F6" s="2" t="inlineStr">
        <is>
          <t>0-100</t>
        </is>
      </c>
    </row>
    <row r="7">
      <c r="A7" s="2" t="inlineStr">
        <is>
          <t>Total</t>
        </is>
      </c>
      <c r="B7" s="2" t="inlineStr"/>
      <c r="C7" s="2" t="inlineStr"/>
      <c r="D7" s="2" t="n">
        <v>1</v>
      </c>
      <c r="E7" s="2" t="inlineStr">
        <is>
          <t>100.00%</t>
        </is>
      </c>
      <c r="F7" s="2" t="inlineStr"/>
    </row>
    <row r="8">
      <c r="A8" s="2" t="n"/>
      <c r="B8" s="2" t="n"/>
      <c r="C8" s="2" t="n"/>
      <c r="D8" s="2" t="n"/>
      <c r="E8" s="2" t="n"/>
      <c r="F8" s="2" t="n"/>
    </row>
    <row r="9">
      <c r="A9" s="2" t="inlineStr">
        <is>
          <t>Zero-fill policy</t>
        </is>
      </c>
      <c r="B9" s="2" t="inlineStr">
        <is>
          <t>All unavailable, unknown, not applicable, or unrecognized values score 0; denominator stays five.</t>
        </is>
      </c>
      <c r="C9" s="2" t="n"/>
      <c r="D9" s="2" t="n"/>
      <c r="E9" s="2" t="n"/>
      <c r="F9" s="2" t="n"/>
    </row>
    <row r="10">
      <c r="A10" s="2" t="inlineStr">
        <is>
          <t>Coverage threshold</t>
        </is>
      </c>
      <c r="B10" s="2" t="inlineStr">
        <is>
          <t>None</t>
        </is>
      </c>
      <c r="C10" s="2" t="n"/>
      <c r="D10" s="2" t="n"/>
      <c r="E10" s="2" t="n"/>
      <c r="F10" s="2" t="n"/>
    </row>
  </sheetData>
  <autoFilter ref="A1:F10"/>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22" customWidth="1" min="4" max="4"/>
    <col width="18" customWidth="1" min="5" max="5"/>
    <col width="68" customWidth="1" min="6" max="6"/>
  </cols>
  <sheetData>
    <row r="1" ht="32" customHeight="1">
      <c r="A1" s="1" t="inlineStr">
        <is>
          <t>Service</t>
        </is>
      </c>
      <c r="B1" s="1" t="inlineStr">
        <is>
          <t>Raw 058 affiliation text</t>
        </is>
      </c>
      <c r="C1" s="1" t="inlineStr">
        <is>
          <t>Provisional I2 score</t>
        </is>
      </c>
      <c r="D1" s="1" t="inlineStr">
        <is>
          <t>Override I2 (0/50/100)</t>
        </is>
      </c>
      <c r="E1" s="1" t="inlineStr">
        <is>
          <t>Final I2 score</t>
        </is>
      </c>
      <c r="F1" s="1" t="inlineStr">
        <is>
          <t>Reviewer notes</t>
        </is>
      </c>
    </row>
    <row r="2">
      <c r="A2" s="2" t="inlineStr">
        <is>
          <t>2i2c</t>
        </is>
      </c>
      <c r="B2" s="2" t="n"/>
      <c r="C2" s="3" t="n">
        <v>0</v>
      </c>
      <c r="D2" s="5" t="n"/>
      <c r="E2" s="3">
        <f>IF(ISNUMBER(D2),D2,C2)</f>
        <v>0</v>
      </c>
      <c r="F2" s="3" t="inlineStr">
        <is>
          <t>Enter 0, 50, or 100 only when correcting the provisional text coding.</t>
        </is>
      </c>
    </row>
    <row r="3">
      <c r="A3" s="2" t="inlineStr">
        <is>
          <t>Academic Preservation Trust (APTrust)</t>
        </is>
      </c>
      <c r="B3" s="2" t="inlineStr">
        <is>
          <t>University of Virginia</t>
        </is>
      </c>
      <c r="C3" s="3" t="n">
        <v>50</v>
      </c>
      <c r="D3" s="5" t="n"/>
      <c r="E3" s="3">
        <f>IF(ISNUMBER(D3),D3,C3)</f>
        <v>50</v>
      </c>
      <c r="F3" s="3" t="inlineStr">
        <is>
          <t>Enter 0, 50, or 100 only when correcting the provisional text coding.</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5" t="n"/>
      <c r="E4" s="3">
        <f>IF(ISNUMBER(D4),D4,C4)</f>
        <v>100</v>
      </c>
      <c r="F4" s="3" t="inlineStr">
        <is>
          <t>Enter 0, 50, or 100 only when correcting the provisional text coding.</t>
        </is>
      </c>
    </row>
    <row r="5">
      <c r="A5" s="2" t="inlineStr">
        <is>
          <t>Arches Heritage Data Management Platform</t>
        </is>
      </c>
      <c r="B5" s="2" t="inlineStr">
        <is>
          <t>Getty Conservation Institute
Farallon Geographics</t>
        </is>
      </c>
      <c r="C5" s="3" t="n">
        <v>50</v>
      </c>
      <c r="D5" s="5" t="n"/>
      <c r="E5" s="3">
        <f>IF(ISNUMBER(D5),D5,C5)</f>
        <v>50</v>
      </c>
      <c r="F5" s="3" t="inlineStr">
        <is>
          <t>Enter 0, 50, or 100 only when correcting the provisional text coding.</t>
        </is>
      </c>
    </row>
    <row r="6">
      <c r="A6" s="2" t="inlineStr">
        <is>
          <t>Archipelago Commons</t>
        </is>
      </c>
      <c r="B6" s="2" t="n"/>
      <c r="C6" s="3" t="n">
        <v>0</v>
      </c>
      <c r="D6" s="5" t="n"/>
      <c r="E6" s="3">
        <f>IF(ISNUMBER(D6),D6,C6)</f>
        <v>0</v>
      </c>
      <c r="F6" s="3" t="inlineStr">
        <is>
          <t>Enter 0, 50, or 100 only when correcting the provisional text coding.</t>
        </is>
      </c>
    </row>
    <row r="7">
      <c r="A7" s="2" t="inlineStr">
        <is>
          <t>Archival Resource Key</t>
        </is>
      </c>
      <c r="B7" s="2" t="n"/>
      <c r="C7" s="3" t="n">
        <v>0</v>
      </c>
      <c r="D7" s="5" t="n"/>
      <c r="E7" s="3">
        <f>IF(ISNUMBER(D7),D7,C7)</f>
        <v>0</v>
      </c>
      <c r="F7" s="3" t="inlineStr">
        <is>
          <t>Enter 0, 50, or 100 only when correcting the provisional text coding.</t>
        </is>
      </c>
    </row>
    <row r="8">
      <c r="A8" s="2" t="inlineStr">
        <is>
          <t>Archivematica</t>
        </is>
      </c>
      <c r="B8" s="2" t="inlineStr">
        <is>
          <t>No Affiliations</t>
        </is>
      </c>
      <c r="C8" s="3" t="n">
        <v>0</v>
      </c>
      <c r="D8" s="5" t="n"/>
      <c r="E8" s="3">
        <f>IF(ISNUMBER(D8),D8,C8)</f>
        <v>0</v>
      </c>
      <c r="F8" s="3" t="inlineStr">
        <is>
          <t>Enter 0, 50, or 100 only when correcting the provisional text coding.</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5" t="n"/>
      <c r="E9" s="3">
        <f>IF(ISNUMBER(D9),D9,C9)</f>
        <v>100</v>
      </c>
      <c r="F9" s="3" t="inlineStr">
        <is>
          <t>Enter 0, 50, or 100 only when correcting the provisional text coding.</t>
        </is>
      </c>
    </row>
    <row r="10">
      <c r="A10" s="2" t="inlineStr">
        <is>
          <t>ARGOS</t>
        </is>
      </c>
      <c r="B10" s="2" t="inlineStr">
        <is>
          <t>Athena Research Center (ARC)
Communication &amp; Information Technologies Experts (CITE)</t>
        </is>
      </c>
      <c r="C10" s="3" t="n">
        <v>50</v>
      </c>
      <c r="D10" s="5" t="n"/>
      <c r="E10" s="3">
        <f>IF(ISNUMBER(D10),D10,C10)</f>
        <v>50</v>
      </c>
      <c r="F10" s="3" t="inlineStr">
        <is>
          <t>Enter 0, 50, or 100 only when correcting the provisional text coding.</t>
        </is>
      </c>
    </row>
    <row r="11">
      <c r="A11" s="2" t="inlineStr">
        <is>
          <t>arXiv</t>
        </is>
      </c>
      <c r="B11" s="2" t="n"/>
      <c r="C11" s="3" t="n">
        <v>0</v>
      </c>
      <c r="D11" s="5" t="n"/>
      <c r="E11" s="3">
        <f>IF(ISNUMBER(D11),D11,C11)</f>
        <v>0</v>
      </c>
      <c r="F11" s="3" t="inlineStr">
        <is>
          <t>Enter 0, 50, or 100 only when correcting the provisional text coding.</t>
        </is>
      </c>
    </row>
    <row r="12">
      <c r="A12" s="2" t="inlineStr">
        <is>
          <t>AtoM</t>
        </is>
      </c>
      <c r="B12" s="2" t="inlineStr">
        <is>
          <t>No affiliations</t>
        </is>
      </c>
      <c r="C12" s="3" t="n">
        <v>0</v>
      </c>
      <c r="D12" s="5" t="n"/>
      <c r="E12" s="3">
        <f>IF(ISNUMBER(D12),D12,C12)</f>
        <v>0</v>
      </c>
      <c r="F12" s="3" t="inlineStr">
        <is>
          <t>Enter 0, 50, or 100 only when correcting the provisional text coding.</t>
        </is>
      </c>
    </row>
    <row r="13">
      <c r="A13" s="2" t="inlineStr">
        <is>
          <t>Avalon Media System</t>
        </is>
      </c>
      <c r="B13" s="2" t="inlineStr">
        <is>
          <t>Indiana University Libraries</t>
        </is>
      </c>
      <c r="C13" s="3" t="n">
        <v>50</v>
      </c>
      <c r="D13" s="5" t="n"/>
      <c r="E13" s="3">
        <f>IF(ISNUMBER(D13),D13,C13)</f>
        <v>50</v>
      </c>
      <c r="F13" s="3" t="inlineStr">
        <is>
          <t>Enter 0, 50, or 100 only when correcting the provisional text coding.</t>
        </is>
      </c>
    </row>
    <row r="14">
      <c r="A14" s="2" t="inlineStr">
        <is>
          <t>Biodiversity Heritage Library</t>
        </is>
      </c>
      <c r="B14" s="2" t="inlineStr">
        <is>
          <t>BHL’s fiscal sponsor is the Council on Library and Information Resources (CLIR).</t>
        </is>
      </c>
      <c r="C14" s="3" t="n">
        <v>100</v>
      </c>
      <c r="D14" s="5" t="n"/>
      <c r="E14" s="3">
        <f>IF(ISNUMBER(D14),D14,C14)</f>
        <v>100</v>
      </c>
      <c r="F14" s="3" t="inlineStr">
        <is>
          <t>Enter 0, 50, or 100 only when correcting the provisional text coding.</t>
        </is>
      </c>
    </row>
    <row r="15">
      <c r="A15" s="2" t="inlineStr">
        <is>
          <t>bioRxiv</t>
        </is>
      </c>
      <c r="B15" s="2" t="n"/>
      <c r="C15" s="3" t="n">
        <v>0</v>
      </c>
      <c r="D15" s="5" t="n"/>
      <c r="E15" s="3">
        <f>IF(ISNUMBER(D15),D15,C15)</f>
        <v>0</v>
      </c>
      <c r="F15" s="3" t="inlineStr">
        <is>
          <t>Enter 0, 50, or 100 only when correcting the provisional text coding.</t>
        </is>
      </c>
    </row>
    <row r="16">
      <c r="A16" s="2" t="inlineStr">
        <is>
          <t>BitCurator Environment</t>
        </is>
      </c>
      <c r="B16" s="2" t="inlineStr">
        <is>
          <t>BitCurator Consortium is administratively hosted by the Open Library Foundation.</t>
        </is>
      </c>
      <c r="C16" s="3" t="n">
        <v>100</v>
      </c>
      <c r="D16" s="5" t="n"/>
      <c r="E16" s="3">
        <f>IF(ISNUMBER(D16),D16,C16)</f>
        <v>100</v>
      </c>
      <c r="F16" s="3" t="inlineStr">
        <is>
          <t>Enter 0, 50, or 100 only when correcting the provisional text coding.</t>
        </is>
      </c>
    </row>
    <row r="17">
      <c r="A17" s="2" t="inlineStr">
        <is>
          <t>Blacklight</t>
        </is>
      </c>
      <c r="B17" s="2" t="inlineStr">
        <is>
          <t>See website</t>
        </is>
      </c>
      <c r="C17" s="3" t="n">
        <v>0</v>
      </c>
      <c r="D17" s="5" t="n"/>
      <c r="E17" s="3">
        <f>IF(ISNUMBER(D17),D17,C17)</f>
        <v>0</v>
      </c>
      <c r="F17" s="3" t="inlineStr">
        <is>
          <t>Enter 0, 50, or 100 only when correcting the provisional text coding.</t>
        </is>
      </c>
    </row>
    <row r="18">
      <c r="A18" s="2" t="inlineStr">
        <is>
          <t>BrCRIS</t>
        </is>
      </c>
      <c r="B18" s="2" t="n"/>
      <c r="C18" s="3" t="n">
        <v>0</v>
      </c>
      <c r="D18" s="5" t="n"/>
      <c r="E18" s="3">
        <f>IF(ISNUMBER(D18),D18,C18)</f>
        <v>0</v>
      </c>
      <c r="F18" s="3" t="inlineStr">
        <is>
          <t>Enter 0, 50, or 100 only when correcting the provisional text coding.</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5" t="n"/>
      <c r="E19" s="3">
        <f>IF(ISNUMBER(D19),D19,C19)</f>
        <v>50</v>
      </c>
      <c r="F19" s="3" t="inlineStr">
        <is>
          <t>Enter 0, 50, or 100 only when correcting the provisional text coding.</t>
        </is>
      </c>
    </row>
    <row r="20">
      <c r="A20" s="2" t="inlineStr">
        <is>
          <t>CLOCKSS</t>
        </is>
      </c>
      <c r="B20" s="2" t="inlineStr">
        <is>
          <t>n/a</t>
        </is>
      </c>
      <c r="C20" s="3" t="n">
        <v>0</v>
      </c>
      <c r="D20" s="5" t="n"/>
      <c r="E20" s="3">
        <f>IF(ISNUMBER(D20),D20,C20)</f>
        <v>0</v>
      </c>
      <c r="F20" s="3" t="inlineStr">
        <is>
          <t>Enter 0, 50, or 100 only when correcting the provisional text coding.</t>
        </is>
      </c>
    </row>
    <row r="21">
      <c r="A21" s="2" t="inlineStr">
        <is>
          <t>COAR International Repository Directory (IRD)</t>
        </is>
      </c>
      <c r="B21" s="2" t="inlineStr">
        <is>
          <t>Responsible Organisations: https://ird.coar-repositories.org/about?lang=en</t>
        </is>
      </c>
      <c r="C21" s="3" t="n">
        <v>50</v>
      </c>
      <c r="D21" s="5" t="n"/>
      <c r="E21" s="3">
        <f>IF(ISNUMBER(D21),D21,C21)</f>
        <v>50</v>
      </c>
      <c r="F21" s="3" t="inlineStr">
        <is>
          <t>Enter 0, 50, or 100 only when correcting the provisional text coding.</t>
        </is>
      </c>
    </row>
    <row r="22">
      <c r="A22" s="2" t="inlineStr">
        <is>
          <t>COAR Notify</t>
        </is>
      </c>
      <c r="B22" s="2" t="inlineStr">
        <is>
          <t>No affiliations.</t>
        </is>
      </c>
      <c r="C22" s="3" t="n">
        <v>0</v>
      </c>
      <c r="D22" s="5" t="n"/>
      <c r="E22" s="3">
        <f>IF(ISNUMBER(D22),D22,C22)</f>
        <v>0</v>
      </c>
      <c r="F22" s="3" t="inlineStr">
        <is>
          <t>Enter 0, 50, or 100 only when correcting the provisional text coding.</t>
        </is>
      </c>
    </row>
    <row r="23">
      <c r="A23" s="2" t="inlineStr">
        <is>
          <t>CollectiveAccess</t>
        </is>
      </c>
      <c r="B23" s="2" t="inlineStr">
        <is>
          <t>No affiliations</t>
        </is>
      </c>
      <c r="C23" s="3" t="n">
        <v>0</v>
      </c>
      <c r="D23" s="5" t="n"/>
      <c r="E23" s="3">
        <f>IF(ISNUMBER(D23),D23,C23)</f>
        <v>0</v>
      </c>
      <c r="F23" s="3" t="inlineStr">
        <is>
          <t>Enter 0, 50, or 100 only when correcting the provisional text coding.</t>
        </is>
      </c>
    </row>
    <row r="24">
      <c r="A24" s="2" t="inlineStr">
        <is>
          <t>CORE</t>
        </is>
      </c>
      <c r="B24" s="2" t="n"/>
      <c r="C24" s="3" t="n">
        <v>0</v>
      </c>
      <c r="D24" s="5" t="n"/>
      <c r="E24" s="3">
        <f>IF(ISNUMBER(D24),D24,C24)</f>
        <v>0</v>
      </c>
      <c r="F24" s="3" t="inlineStr">
        <is>
          <t>Enter 0, 50, or 100 only when correcting the provisional text coding.</t>
        </is>
      </c>
    </row>
    <row r="25">
      <c r="A25" s="2" t="inlineStr">
        <is>
          <t>COUNTER Code of Practice</t>
        </is>
      </c>
      <c r="B25" s="2" t="n"/>
      <c r="C25" s="3" t="n">
        <v>0</v>
      </c>
      <c r="D25" s="5" t="n"/>
      <c r="E25" s="3">
        <f>IF(ISNUMBER(D25),D25,C25)</f>
        <v>0</v>
      </c>
      <c r="F25" s="3" t="inlineStr">
        <is>
          <t>Enter 0, 50, or 100 only when correcting the provisional text coding.</t>
        </is>
      </c>
    </row>
    <row r="26">
      <c r="A26" s="2" t="inlineStr">
        <is>
          <t>Creative Commons Licenses</t>
        </is>
      </c>
      <c r="B26" s="2" t="n"/>
      <c r="C26" s="3" t="n">
        <v>0</v>
      </c>
      <c r="D26" s="5" t="n"/>
      <c r="E26" s="3">
        <f>IF(ISNUMBER(D26),D26,C26)</f>
        <v>0</v>
      </c>
      <c r="F26" s="3" t="inlineStr">
        <is>
          <t>Enter 0, 50, or 100 only when correcting the provisional text coding.</t>
        </is>
      </c>
    </row>
    <row r="27">
      <c r="A27" s="2" t="inlineStr">
        <is>
          <t>Crossref Metadata Retrieval</t>
        </is>
      </c>
      <c r="B27" s="2" t="n"/>
      <c r="C27" s="3" t="n">
        <v>0</v>
      </c>
      <c r="D27" s="5" t="n"/>
      <c r="E27" s="3">
        <f>IF(ISNUMBER(D27),D27,C27)</f>
        <v>0</v>
      </c>
      <c r="F27" s="3" t="inlineStr">
        <is>
          <t>Enter 0, 50, or 100 only when correcting the provisional text coding.</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5" t="n"/>
      <c r="E28" s="3">
        <f>IF(ISNUMBER(D28),D28,C28)</f>
        <v>100</v>
      </c>
      <c r="F28" s="3" t="inlineStr">
        <is>
          <t>Enter 0, 50, or 100 only when correcting the provisional text coding.</t>
        </is>
      </c>
    </row>
    <row r="29">
      <c r="A29" s="2" t="inlineStr">
        <is>
          <t>DART (Digital Archivist's Resource Tool)</t>
        </is>
      </c>
      <c r="B29" s="2" t="inlineStr">
        <is>
          <t>University of Virginia</t>
        </is>
      </c>
      <c r="C29" s="3" t="n">
        <v>50</v>
      </c>
      <c r="D29" s="5" t="n"/>
      <c r="E29" s="3">
        <f>IF(ISNUMBER(D29),D29,C29)</f>
        <v>50</v>
      </c>
      <c r="F29" s="3" t="inlineStr">
        <is>
          <t>Enter 0, 50, or 100 only when correcting the provisional text coding.</t>
        </is>
      </c>
    </row>
    <row r="30">
      <c r="A30" s="2" t="inlineStr">
        <is>
          <t>Database Information System</t>
        </is>
      </c>
      <c r="B30" s="2" t="inlineStr">
        <is>
          <t>DBIS is operated by the University Library of Regensburg.</t>
        </is>
      </c>
      <c r="C30" s="3" t="n">
        <v>50</v>
      </c>
      <c r="D30" s="5" t="n"/>
      <c r="E30" s="3">
        <f>IF(ISNUMBER(D30),D30,C30)</f>
        <v>50</v>
      </c>
      <c r="F30" s="3" t="inlineStr">
        <is>
          <t>Enter 0, 50, or 100 only when correcting the provisional text coding.</t>
        </is>
      </c>
    </row>
    <row r="31">
      <c r="A31" s="2" t="inlineStr">
        <is>
          <t>Data Citation Corpus</t>
        </is>
      </c>
      <c r="B31" s="2" t="inlineStr">
        <is>
          <t>DataCite leads the development of the Data Citation Corpus as part of Make Data Count activities.</t>
        </is>
      </c>
      <c r="C31" s="3" t="n">
        <v>50</v>
      </c>
      <c r="D31" s="5" t="n"/>
      <c r="E31" s="3">
        <f>IF(ISNUMBER(D31),D31,C31)</f>
        <v>50</v>
      </c>
      <c r="F31" s="3" t="inlineStr">
        <is>
          <t>Enter 0, 50, or 100 only when correcting the provisional text coding.</t>
        </is>
      </c>
    </row>
    <row r="32">
      <c r="A32" s="2" t="inlineStr">
        <is>
          <t>DataCite</t>
        </is>
      </c>
      <c r="B32" s="2" t="n"/>
      <c r="C32" s="3" t="n">
        <v>0</v>
      </c>
      <c r="D32" s="5" t="n"/>
      <c r="E32" s="3">
        <f>IF(ISNUMBER(D32),D32,C32)</f>
        <v>0</v>
      </c>
      <c r="F32" s="3" t="inlineStr">
        <is>
          <t>Enter 0, 50, or 100 only when correcting the provisional text coding.</t>
        </is>
      </c>
    </row>
    <row r="33">
      <c r="A33" s="2" t="inlineStr">
        <is>
          <t>Data Stewardship Wizard</t>
        </is>
      </c>
      <c r="B33" s="2" t="inlineStr">
        <is>
          <t>Czech Technical University in Prague / ELIXIR-CZ
Codevence Solutions</t>
        </is>
      </c>
      <c r="C33" s="3" t="n">
        <v>50</v>
      </c>
      <c r="D33" s="5" t="n"/>
      <c r="E33" s="3">
        <f>IF(ISNUMBER(D33),D33,C33)</f>
        <v>50</v>
      </c>
      <c r="F33" s="3" t="inlineStr">
        <is>
          <t>Enter 0, 50, or 100 only when correcting the provisional text coding.</t>
        </is>
      </c>
    </row>
    <row r="34">
      <c r="A34" s="2" t="inlineStr">
        <is>
          <t>Dataverse</t>
        </is>
      </c>
      <c r="B34" s="2" t="n"/>
      <c r="C34" s="3" t="n">
        <v>0</v>
      </c>
      <c r="D34" s="5" t="n"/>
      <c r="E34" s="3">
        <f>IF(ISNUMBER(D34),D34,C34)</f>
        <v>0</v>
      </c>
      <c r="F34" s="3" t="inlineStr">
        <is>
          <t>Enter 0, 50, or 100 only when correcting the provisional text coding.</t>
        </is>
      </c>
    </row>
    <row r="35">
      <c r="A35" s="2" t="inlineStr">
        <is>
          <t>DLCM Backend</t>
        </is>
      </c>
      <c r="B35" s="2" t="inlineStr">
        <is>
          <t>University of Geneva (https://www.unige.ch/)
HEG, HES-SO (https://www.hesge.ch/heg/en)
UNIFR (https://www.unifr.ch/home/en/)
BFH (https://www.bfh.ch/en/)
OLOS (https://olos.swiss/)</t>
        </is>
      </c>
      <c r="C35" s="3" t="n">
        <v>50</v>
      </c>
      <c r="D35" s="5" t="n"/>
      <c r="E35" s="3">
        <f>IF(ISNUMBER(D35),D35,C35)</f>
        <v>50</v>
      </c>
      <c r="F35" s="3" t="inlineStr">
        <is>
          <t>Enter 0, 50, or 100 only when correcting the provisional text coding.</t>
        </is>
      </c>
    </row>
    <row r="36">
      <c r="A36" s="2" t="inlineStr">
        <is>
          <t>DLCM Portal</t>
        </is>
      </c>
      <c r="B36" s="2" t="inlineStr">
        <is>
          <t>University of Geneva (https://www.unige.ch/)HEG, HES-SO (https://www.hesge.ch/heg/en)UNIFR (https://www.unifr.ch/home/en/)BFH (https://www.bfh.ch/en/)OLOS (https://olos.swiss/)</t>
        </is>
      </c>
      <c r="C36" s="3" t="n">
        <v>50</v>
      </c>
      <c r="D36" s="5" t="n"/>
      <c r="E36" s="3">
        <f>IF(ISNUMBER(D36),D36,C36)</f>
        <v>50</v>
      </c>
      <c r="F36" s="3" t="inlineStr">
        <is>
          <t>Enter 0, 50, or 100 only when correcting the provisional text coding.</t>
        </is>
      </c>
    </row>
    <row r="37">
      <c r="A37" s="2" t="inlineStr">
        <is>
          <t>DMP Tool</t>
        </is>
      </c>
      <c r="B37" s="2" t="n"/>
      <c r="C37" s="3" t="n">
        <v>0</v>
      </c>
      <c r="D37" s="5" t="n"/>
      <c r="E37" s="3">
        <f>IF(ISNUMBER(D37),D37,C37)</f>
        <v>0</v>
      </c>
      <c r="F37" s="3" t="inlineStr">
        <is>
          <t>Enter 0, 50, or 100 only when correcting the provisional text coding.</t>
        </is>
      </c>
    </row>
    <row r="38">
      <c r="A38" s="2" t="inlineStr">
        <is>
          <t>DOAJ (Directory of Open Access Journals)</t>
        </is>
      </c>
      <c r="B38" s="2" t="n"/>
      <c r="C38" s="3" t="n">
        <v>0</v>
      </c>
      <c r="D38" s="5" t="n"/>
      <c r="E38" s="3">
        <f>IF(ISNUMBER(D38),D38,C38)</f>
        <v>0</v>
      </c>
      <c r="F38" s="3" t="inlineStr">
        <is>
          <t>Enter 0, 50, or 100 only when correcting the provisional text coding.</t>
        </is>
      </c>
    </row>
    <row r="39">
      <c r="A39" s="2" t="inlineStr">
        <is>
          <t>dokieli</t>
        </is>
      </c>
      <c r="B39" s="2" t="n"/>
      <c r="C39" s="3" t="n">
        <v>0</v>
      </c>
      <c r="D39" s="5" t="n"/>
      <c r="E39" s="3">
        <f>IF(ISNUMBER(D39),D39,C39)</f>
        <v>0</v>
      </c>
      <c r="F39" s="3" t="inlineStr">
        <is>
          <t>Enter 0, 50, or 100 only when correcting the provisional text coding.</t>
        </is>
      </c>
    </row>
    <row r="40">
      <c r="A40" s="2" t="inlineStr">
        <is>
          <t>Dryad</t>
        </is>
      </c>
      <c r="B40" s="2" t="n"/>
      <c r="C40" s="3" t="n">
        <v>0</v>
      </c>
      <c r="D40" s="5" t="n"/>
      <c r="E40" s="3">
        <f>IF(ISNUMBER(D40),D40,C40)</f>
        <v>0</v>
      </c>
      <c r="F40" s="3" t="inlineStr">
        <is>
          <t>Enter 0, 50, or 100 only when correcting the provisional text coding.</t>
        </is>
      </c>
    </row>
    <row r="41">
      <c r="A41" s="2" t="inlineStr">
        <is>
          <t>DSpace</t>
        </is>
      </c>
      <c r="B41" s="2" t="n"/>
      <c r="C41" s="3" t="n">
        <v>0</v>
      </c>
      <c r="D41" s="5" t="n"/>
      <c r="E41" s="3">
        <f>IF(ISNUMBER(D41),D41,C41)</f>
        <v>0</v>
      </c>
      <c r="F41" s="3" t="inlineStr">
        <is>
          <t>Enter 0, 50, or 100 only when correcting the provisional text coding.</t>
        </is>
      </c>
    </row>
    <row r="42">
      <c r="A42" s="2" t="inlineStr">
        <is>
          <t>DuraCloud</t>
        </is>
      </c>
      <c r="B42" s="2" t="inlineStr">
        <is>
          <t>N/A</t>
        </is>
      </c>
      <c r="C42" s="3" t="n">
        <v>0</v>
      </c>
      <c r="D42" s="5" t="n"/>
      <c r="E42" s="3">
        <f>IF(ISNUMBER(D42),D42,C42)</f>
        <v>0</v>
      </c>
      <c r="F42" s="3" t="inlineStr">
        <is>
          <t>Enter 0, 50, or 100 only when correcting the provisional text coding.</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5" t="n"/>
      <c r="E43" s="3">
        <f>IF(ISNUMBER(D43),D43,C43)</f>
        <v>50</v>
      </c>
      <c r="F43" s="3" t="inlineStr">
        <is>
          <t>Enter 0, 50, or 100 only when correcting the provisional text coding.</t>
        </is>
      </c>
    </row>
    <row r="44">
      <c r="A44" s="2" t="inlineStr">
        <is>
          <t>EPrints</t>
        </is>
      </c>
      <c r="B44" s="2" t="inlineStr">
        <is>
          <t>ECS Partners Ltd</t>
        </is>
      </c>
      <c r="C44" s="3" t="n">
        <v>50</v>
      </c>
      <c r="D44" s="5" t="n"/>
      <c r="E44" s="3">
        <f>IF(ISNUMBER(D44),D44,C44)</f>
        <v>50</v>
      </c>
      <c r="F44" s="3" t="inlineStr">
        <is>
          <t>Enter 0, 50, or 100 only when correcting the provisional text coding.</t>
        </is>
      </c>
    </row>
    <row r="45">
      <c r="A45" s="2" t="inlineStr">
        <is>
          <t>Érudit</t>
        </is>
      </c>
      <c r="B45" s="2" t="n"/>
      <c r="C45" s="3" t="n">
        <v>0</v>
      </c>
      <c r="D45" s="5" t="n"/>
      <c r="E45" s="3">
        <f>IF(ISNUMBER(D45),D45,C45)</f>
        <v>0</v>
      </c>
      <c r="F45" s="3" t="inlineStr">
        <is>
          <t>Enter 0, 50, or 100 only when correcting the provisional text coding.</t>
        </is>
      </c>
    </row>
    <row r="46">
      <c r="A46" s="2" t="inlineStr">
        <is>
          <t>Europe PMC</t>
        </is>
      </c>
      <c r="B46" s="2" t="n"/>
      <c r="C46" s="3" t="n">
        <v>0</v>
      </c>
      <c r="D46" s="5" t="n"/>
      <c r="E46" s="3">
        <f>IF(ISNUMBER(D46),D46,C46)</f>
        <v>0</v>
      </c>
      <c r="F46" s="3" t="inlineStr">
        <is>
          <t>Enter 0, 50, or 100 only when correcting the provisional text coding.</t>
        </is>
      </c>
    </row>
    <row r="47">
      <c r="A47" s="2" t="inlineStr">
        <is>
          <t>FAIR Wizard</t>
        </is>
      </c>
      <c r="B47" s="2" t="inlineStr">
        <is>
          <t>Codevence Solutions s.r.o.</t>
        </is>
      </c>
      <c r="C47" s="3" t="n">
        <v>50</v>
      </c>
      <c r="D47" s="5" t="n"/>
      <c r="E47" s="3">
        <f>IF(ISNUMBER(D47),D47,C47)</f>
        <v>50</v>
      </c>
      <c r="F47" s="3" t="inlineStr">
        <is>
          <t>Enter 0, 50, or 100 only when correcting the provisional text coding.</t>
        </is>
      </c>
    </row>
    <row r="48">
      <c r="A48" s="2" t="inlineStr">
        <is>
          <t>Fedora</t>
        </is>
      </c>
      <c r="B48" s="2" t="n"/>
      <c r="C48" s="3" t="n">
        <v>0</v>
      </c>
      <c r="D48" s="5" t="n"/>
      <c r="E48" s="3">
        <f>IF(ISNUMBER(D48),D48,C48)</f>
        <v>0</v>
      </c>
      <c r="F48" s="3" t="inlineStr">
        <is>
          <t>Enter 0, 50, or 100 only when correcting the provisional text coding.</t>
        </is>
      </c>
    </row>
    <row r="49">
      <c r="A49" s="2" t="inlineStr">
        <is>
          <t>fido</t>
        </is>
      </c>
      <c r="B49" s="2" t="inlineStr">
        <is>
          <t>Artefactual</t>
        </is>
      </c>
      <c r="C49" s="3" t="n">
        <v>50</v>
      </c>
      <c r="D49" s="5" t="n"/>
      <c r="E49" s="3">
        <f>IF(ISNUMBER(D49),D49,C49)</f>
        <v>50</v>
      </c>
      <c r="F49" s="3" t="inlineStr">
        <is>
          <t>Enter 0, 50, or 100 only when correcting the provisional text coding.</t>
        </is>
      </c>
    </row>
    <row r="50">
      <c r="A50" s="2" t="inlineStr">
        <is>
          <t>Fulcrum</t>
        </is>
      </c>
      <c r="B50" s="2" t="n"/>
      <c r="C50" s="3" t="n">
        <v>0</v>
      </c>
      <c r="D50" s="5" t="n"/>
      <c r="E50" s="3">
        <f>IF(ISNUMBER(D50),D50,C50)</f>
        <v>0</v>
      </c>
      <c r="F50" s="3" t="inlineStr">
        <is>
          <t>Enter 0, 50, or 100 only when correcting the provisional text coding.</t>
        </is>
      </c>
    </row>
    <row r="51">
      <c r="A51" s="2" t="inlineStr">
        <is>
          <t>Galaxy</t>
        </is>
      </c>
      <c r="B51" s="2" t="inlineStr">
        <is>
          <t>It's an open source project with many affiliations.</t>
        </is>
      </c>
      <c r="C51" s="3" t="n">
        <v>50</v>
      </c>
      <c r="D51" s="5" t="n"/>
      <c r="E51" s="3">
        <f>IF(ISNUMBER(D51),D51,C51)</f>
        <v>50</v>
      </c>
      <c r="F51" s="3" t="inlineStr">
        <is>
          <t>Enter 0, 50, or 100 only when correcting the provisional text coding.</t>
        </is>
      </c>
    </row>
    <row r="52">
      <c r="A52" s="2" t="inlineStr">
        <is>
          <t>GeoServer</t>
        </is>
      </c>
      <c r="B52" s="2" t="inlineStr">
        <is>
          <t>https://www.osgeo.org
https://www.geosolutionsgroup.com/
https://www.afrigis.co.za/
https://www.geocat.net/
https://camptocamp.com/</t>
        </is>
      </c>
      <c r="C52" s="3" t="n">
        <v>50</v>
      </c>
      <c r="D52" s="5" t="n"/>
      <c r="E52" s="3">
        <f>IF(ISNUMBER(D52),D52,C52)</f>
        <v>50</v>
      </c>
      <c r="F52" s="3" t="inlineStr">
        <is>
          <t>Enter 0, 50, or 100 only when correcting the provisional text coding.</t>
        </is>
      </c>
    </row>
    <row r="53">
      <c r="A53" s="2" t="inlineStr">
        <is>
          <t>Hyku</t>
        </is>
      </c>
      <c r="B53" s="2" t="n"/>
      <c r="C53" s="3" t="n">
        <v>0</v>
      </c>
      <c r="D53" s="5" t="n"/>
      <c r="E53" s="3">
        <f>IF(ISNUMBER(D53),D53,C53)</f>
        <v>0</v>
      </c>
      <c r="F53" s="3" t="inlineStr">
        <is>
          <t>Enter 0, 50, or 100 only when correcting the provisional text coding.</t>
        </is>
      </c>
    </row>
    <row r="54">
      <c r="A54" s="2" t="inlineStr">
        <is>
          <t>Hyrax</t>
        </is>
      </c>
      <c r="B54" s="2" t="inlineStr">
        <is>
          <t>No affiliations</t>
        </is>
      </c>
      <c r="C54" s="3" t="n">
        <v>0</v>
      </c>
      <c r="D54" s="5" t="n"/>
      <c r="E54" s="3">
        <f>IF(ISNUMBER(D54),D54,C54)</f>
        <v>0</v>
      </c>
      <c r="F54" s="3" t="inlineStr">
        <is>
          <t>Enter 0, 50, or 100 only when correcting the provisional text coding.</t>
        </is>
      </c>
    </row>
    <row r="55">
      <c r="A55" s="2" t="inlineStr">
        <is>
          <t>IIIF</t>
        </is>
      </c>
      <c r="B55" s="2" t="n"/>
      <c r="C55" s="3" t="n">
        <v>0</v>
      </c>
      <c r="D55" s="5" t="n"/>
      <c r="E55" s="3">
        <f>IF(ISNUMBER(D55),D55,C55)</f>
        <v>0</v>
      </c>
      <c r="F55" s="3" t="inlineStr">
        <is>
          <t>Enter 0, 50, or 100 only when correcting the provisional text coding.</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5" t="n"/>
      <c r="E56" s="3">
        <f>IF(ISNUMBER(D56),D56,C56)</f>
        <v>50</v>
      </c>
      <c r="F56" s="3" t="inlineStr">
        <is>
          <t>Enter 0, 50, or 100 only when correcting the provisional text coding.</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5" t="n"/>
      <c r="E57" s="3">
        <f>IF(ISNUMBER(D57),D57,C57)</f>
        <v>50</v>
      </c>
      <c r="F57" s="3" t="inlineStr">
        <is>
          <t>Enter 0, 50, or 100 only when correcting the provisional text coding.</t>
        </is>
      </c>
    </row>
    <row r="58">
      <c r="A58" s="2" t="inlineStr">
        <is>
          <t>InvenioRDM</t>
        </is>
      </c>
      <c r="B58" s="2" t="n"/>
      <c r="C58" s="3" t="n">
        <v>0</v>
      </c>
      <c r="D58" s="5" t="n"/>
      <c r="E58" s="3">
        <f>IF(ISNUMBER(D58),D58,C58)</f>
        <v>0</v>
      </c>
      <c r="F58" s="3" t="inlineStr">
        <is>
          <t>Enter 0, 50, or 100 only when correcting the provisional text coding.</t>
        </is>
      </c>
    </row>
    <row r="59">
      <c r="A59" s="2" t="inlineStr">
        <is>
          <t>iRODS</t>
        </is>
      </c>
      <c r="B59" s="2" t="inlineStr">
        <is>
          <t>Executive Board Members (Premier Level)</t>
        </is>
      </c>
      <c r="C59" s="3" t="n">
        <v>50</v>
      </c>
      <c r="D59" s="5" t="n"/>
      <c r="E59" s="3">
        <f>IF(ISNUMBER(D59),D59,C59)</f>
        <v>50</v>
      </c>
      <c r="F59" s="3" t="inlineStr">
        <is>
          <t>Enter 0, 50, or 100 only when correcting the provisional text coding.</t>
        </is>
      </c>
    </row>
    <row r="60">
      <c r="A60" s="2" t="inlineStr">
        <is>
          <t>Islandora</t>
        </is>
      </c>
      <c r="B60" s="2" t="n"/>
      <c r="C60" s="3" t="n">
        <v>0</v>
      </c>
      <c r="D60" s="5" t="n"/>
      <c r="E60" s="3">
        <f>IF(ISNUMBER(D60),D60,C60)</f>
        <v>0</v>
      </c>
      <c r="F60" s="3" t="inlineStr">
        <is>
          <t>Enter 0, 50, or 100 only when correcting the provisional text coding.</t>
        </is>
      </c>
    </row>
    <row r="61">
      <c r="A61" s="2" t="inlineStr">
        <is>
          <t>Janeway</t>
        </is>
      </c>
      <c r="B61" s="2" t="n"/>
      <c r="C61" s="3" t="n">
        <v>0</v>
      </c>
      <c r="D61" s="5" t="n"/>
      <c r="E61" s="3">
        <f>IF(ISNUMBER(D61),D61,C61)</f>
        <v>0</v>
      </c>
      <c r="F61" s="3" t="inlineStr">
        <is>
          <t>Enter 0, 50, or 100 only when correcting the provisional text coding.</t>
        </is>
      </c>
    </row>
    <row r="62">
      <c r="A62" s="2" t="inlineStr">
        <is>
          <t>JHOVE</t>
        </is>
      </c>
      <c r="B62" s="2" t="inlineStr">
        <is>
          <t>&lt;a href="https://openpreservation.org/membership/meet-our-members/" target="_blank"&gt;OPF Membership&lt;/a&gt;</t>
        </is>
      </c>
      <c r="C62" s="3" t="n">
        <v>50</v>
      </c>
      <c r="D62" s="5" t="n"/>
      <c r="E62" s="3">
        <f>IF(ISNUMBER(D62),D62,C62)</f>
        <v>50</v>
      </c>
      <c r="F62" s="3" t="inlineStr">
        <is>
          <t>Enter 0, 50, or 100 only when correcting the provisional text coding.</t>
        </is>
      </c>
    </row>
    <row r="63">
      <c r="A63" s="2" t="inlineStr">
        <is>
          <t>LA Referencia</t>
        </is>
      </c>
      <c r="B63" s="2" t="n"/>
      <c r="C63" s="3" t="n">
        <v>0</v>
      </c>
      <c r="D63" s="5" t="n"/>
      <c r="E63" s="3">
        <f>IF(ISNUMBER(D63),D63,C63)</f>
        <v>0</v>
      </c>
      <c r="F63" s="3" t="inlineStr">
        <is>
          <t>Enter 0, 50, or 100 only when correcting the provisional text coding.</t>
        </is>
      </c>
    </row>
    <row r="64">
      <c r="A64" s="2" t="inlineStr">
        <is>
          <t>Manifold</t>
        </is>
      </c>
      <c r="B64" s="2" t="n"/>
      <c r="C64" s="3" t="n">
        <v>0</v>
      </c>
      <c r="D64" s="5" t="n"/>
      <c r="E64" s="3">
        <f>IF(ISNUMBER(D64),D64,C64)</f>
        <v>0</v>
      </c>
      <c r="F64" s="3" t="inlineStr">
        <is>
          <t>Enter 0, 50, or 100 only when correcting the provisional text coding.</t>
        </is>
      </c>
    </row>
    <row r="65">
      <c r="A65" s="2" t="inlineStr">
        <is>
          <t>medRxiv</t>
        </is>
      </c>
      <c r="B65" s="2" t="n"/>
      <c r="C65" s="3" t="n">
        <v>0</v>
      </c>
      <c r="D65" s="5" t="n"/>
      <c r="E65" s="3">
        <f>IF(ISNUMBER(D65),D65,C65)</f>
        <v>0</v>
      </c>
      <c r="F65" s="3" t="inlineStr">
        <is>
          <t>Enter 0, 50, or 100 only when correcting the provisional text coding.</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5" t="n"/>
      <c r="E66" s="3">
        <f>IF(ISNUMBER(D66),D66,C66)</f>
        <v>50</v>
      </c>
      <c r="F66" s="3" t="inlineStr">
        <is>
          <t>Enter 0, 50, or 100 only when correcting the provisional text coding.</t>
        </is>
      </c>
    </row>
    <row r="67">
      <c r="A67" s="2" t="inlineStr">
        <is>
          <t>Mirador</t>
        </is>
      </c>
      <c r="B67" s="2" t="n"/>
      <c r="C67" s="3" t="n">
        <v>0</v>
      </c>
      <c r="D67" s="5" t="n"/>
      <c r="E67" s="3">
        <f>IF(ISNUMBER(D67),D67,C67)</f>
        <v>0</v>
      </c>
      <c r="F67" s="3" t="inlineStr">
        <is>
          <t>Enter 0, 50, or 100 only when correcting the provisional text coding.</t>
        </is>
      </c>
    </row>
    <row r="68">
      <c r="A68" s="2" t="inlineStr">
        <is>
          <t>Mukurtu CMS</t>
        </is>
      </c>
      <c r="B68" s="2" t="n"/>
      <c r="C68" s="3" t="n">
        <v>0</v>
      </c>
      <c r="D68" s="5" t="n"/>
      <c r="E68" s="3">
        <f>IF(ISNUMBER(D68),D68,C68)</f>
        <v>0</v>
      </c>
      <c r="F68" s="3" t="inlineStr">
        <is>
          <t>Enter 0, 50, or 100 only when correcting the provisional text coding.</t>
        </is>
      </c>
    </row>
    <row r="69">
      <c r="A69" s="2" t="inlineStr">
        <is>
          <t>MyCoRe</t>
        </is>
      </c>
      <c r="B69" s="2" t="inlineStr">
        <is>
          <t xml:space="preserve"> Regional Computer Center, Hamburg University</t>
        </is>
      </c>
      <c r="C69" s="3" t="n">
        <v>50</v>
      </c>
      <c r="D69" s="5" t="n"/>
      <c r="E69" s="3">
        <f>IF(ISNUMBER(D69),D69,C69)</f>
        <v>50</v>
      </c>
      <c r="F69" s="3" t="inlineStr">
        <is>
          <t>Enter 0, 50, or 100 only when correcting the provisional text coding.</t>
        </is>
      </c>
    </row>
    <row r="70">
      <c r="A70" s="2" t="inlineStr">
        <is>
          <t>NumPy</t>
        </is>
      </c>
      <c r="B70" s="2" t="inlineStr">
        <is>
          <t>NumFOCUS; UC Berkeley; Quansight; NVIDIA</t>
        </is>
      </c>
      <c r="C70" s="3" t="n">
        <v>50</v>
      </c>
      <c r="D70" s="5" t="n"/>
      <c r="E70" s="3">
        <f>IF(ISNUMBER(D70),D70,C70)</f>
        <v>50</v>
      </c>
      <c r="F70" s="3" t="inlineStr">
        <is>
          <t>Enter 0, 50, or 100 only when correcting the provisional text coding.</t>
        </is>
      </c>
    </row>
    <row r="71">
      <c r="A71" s="2" t="inlineStr">
        <is>
          <t>OA.Report</t>
        </is>
      </c>
      <c r="B71" s="2" t="inlineStr">
        <is>
          <t>Code for Science &amp; Society (fiscal sponsor of OA.Works)</t>
        </is>
      </c>
      <c r="C71" s="3" t="n">
        <v>100</v>
      </c>
      <c r="D71" s="5" t="n"/>
      <c r="E71" s="3">
        <f>IF(ISNUMBER(D71),D71,C71)</f>
        <v>100</v>
      </c>
      <c r="F71" s="3" t="inlineStr">
        <is>
          <t>Enter 0, 50, or 100 only when correcting the provisional text coding.</t>
        </is>
      </c>
    </row>
    <row r="72">
      <c r="A72" s="2" t="inlineStr">
        <is>
          <t>OA Switchboard</t>
        </is>
      </c>
      <c r="B72" s="2" t="n"/>
      <c r="C72" s="3" t="n">
        <v>0</v>
      </c>
      <c r="D72" s="5" t="n"/>
      <c r="E72" s="3">
        <f>IF(ISNUMBER(D72),D72,C72)</f>
        <v>0</v>
      </c>
      <c r="F72" s="3" t="inlineStr">
        <is>
          <t>Enter 0, 50, or 100 only when correcting the provisional text coding.</t>
        </is>
      </c>
    </row>
    <row r="73">
      <c r="A73" s="2" t="inlineStr">
        <is>
          <t>Omeka</t>
        </is>
      </c>
      <c r="B73" s="2" t="n"/>
      <c r="C73" s="3" t="n">
        <v>0</v>
      </c>
      <c r="D73" s="5" t="n"/>
      <c r="E73" s="3">
        <f>IF(ISNUMBER(D73),D73,C73)</f>
        <v>0</v>
      </c>
      <c r="F73" s="3" t="inlineStr">
        <is>
          <t>Enter 0, 50, or 100 only when correcting the provisional text coding.</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5" t="n"/>
      <c r="E74" s="3">
        <f>IF(ISNUMBER(D74),D74,C74)</f>
        <v>50</v>
      </c>
      <c r="F74" s="3" t="inlineStr">
        <is>
          <t>Enter 0, 50, or 100 only when correcting the provisional text coding.</t>
        </is>
      </c>
    </row>
    <row r="75">
      <c r="A75" s="2" t="inlineStr">
        <is>
          <t>OpenAlex</t>
        </is>
      </c>
      <c r="B75" s="2" t="n"/>
      <c r="C75" s="3" t="n">
        <v>0</v>
      </c>
      <c r="D75" s="5" t="n"/>
      <c r="E75" s="3">
        <f>IF(ISNUMBER(D75),D75,C75)</f>
        <v>0</v>
      </c>
      <c r="F75" s="3" t="inlineStr">
        <is>
          <t>Enter 0, 50, or 100 only when correcting the provisional text coding.</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5" t="n"/>
      <c r="E76" s="3">
        <f>IF(ISNUMBER(D76),D76,C76)</f>
        <v>50</v>
      </c>
      <c r="F76" s="3" t="inlineStr">
        <is>
          <t>Enter 0, 50, or 100 only when correcting the provisional text coding.</t>
        </is>
      </c>
    </row>
    <row r="77">
      <c r="A77" s="2" t="inlineStr">
        <is>
          <t>OpenCitations</t>
        </is>
      </c>
      <c r="B77" s="2" t="inlineStr">
        <is>
          <t xml:space="preserve">Research Centre for Open Scholarly Metadata, University of Bologna 
</t>
        </is>
      </c>
      <c r="C77" s="3" t="n">
        <v>50</v>
      </c>
      <c r="D77" s="5" t="n"/>
      <c r="E77" s="3">
        <f>IF(ISNUMBER(D77),D77,C77)</f>
        <v>50</v>
      </c>
      <c r="F77" s="3" t="inlineStr">
        <is>
          <t>Enter 0, 50, or 100 only when correcting the provisional text coding.</t>
        </is>
      </c>
    </row>
    <row r="78">
      <c r="A78" s="2" t="inlineStr">
        <is>
          <t>openCost</t>
        </is>
      </c>
      <c r="B78" s="2" t="inlineStr">
        <is>
          <t>Bielefeld University Library, the German Electron Synchrotron DESY (Hamburg) and University Library of Regensburg</t>
        </is>
      </c>
      <c r="C78" s="3" t="n">
        <v>50</v>
      </c>
      <c r="D78" s="5" t="n"/>
      <c r="E78" s="3">
        <f>IF(ISNUMBER(D78),D78,C78)</f>
        <v>50</v>
      </c>
      <c r="F78" s="3" t="inlineStr">
        <is>
          <t>Enter 0, 50, or 100 only when correcting the provisional text coding.</t>
        </is>
      </c>
    </row>
    <row r="79">
      <c r="A79" s="2" t="inlineStr">
        <is>
          <t>Open Data Editor</t>
        </is>
      </c>
      <c r="B79" s="2" t="inlineStr">
        <is>
          <t>Digital Public Goods Alliance, Open Knowledge Brazil, Open Knowledge Nepal, Escuela de Datos help disseminate the tool.</t>
        </is>
      </c>
      <c r="C79" s="3" t="n">
        <v>50</v>
      </c>
      <c r="D79" s="5" t="n"/>
      <c r="E79" s="3">
        <f>IF(ISNUMBER(D79),D79,C79)</f>
        <v>50</v>
      </c>
      <c r="F79" s="3" t="inlineStr">
        <is>
          <t>Enter 0, 50, or 100 only when correcting the provisional text coding.</t>
        </is>
      </c>
    </row>
    <row r="80">
      <c r="A80" s="2" t="inlineStr">
        <is>
          <t>OpenEdition</t>
        </is>
      </c>
      <c r="B80" s="2" t="n"/>
      <c r="C80" s="3" t="n">
        <v>0</v>
      </c>
      <c r="D80" s="5" t="n"/>
      <c r="E80" s="3">
        <f>IF(ISNUMBER(D80),D80,C80)</f>
        <v>0</v>
      </c>
      <c r="F80" s="3" t="inlineStr">
        <is>
          <t>Enter 0, 50, or 100 only when correcting the provisional text coding.</t>
        </is>
      </c>
    </row>
    <row r="81">
      <c r="A81" s="2" t="inlineStr">
        <is>
          <t>Open Journal Systems (OJS)</t>
        </is>
      </c>
      <c r="B81" s="2" t="n"/>
      <c r="C81" s="3" t="n">
        <v>0</v>
      </c>
      <c r="D81" s="5" t="n"/>
      <c r="E81" s="3">
        <f>IF(ISNUMBER(D81),D81,C81)</f>
        <v>0</v>
      </c>
      <c r="F81" s="3" t="inlineStr">
        <is>
          <t>Enter 0, 50, or 100 only when correcting the provisional text coding.</t>
        </is>
      </c>
    </row>
    <row r="82">
      <c r="A82" s="2" t="inlineStr">
        <is>
          <t>Open Monograph Press (OMP)</t>
        </is>
      </c>
      <c r="B82" s="2" t="n"/>
      <c r="C82" s="3" t="n">
        <v>0</v>
      </c>
      <c r="D82" s="5" t="n"/>
      <c r="E82" s="3">
        <f>IF(ISNUMBER(D82),D82,C82)</f>
        <v>0</v>
      </c>
      <c r="F82" s="3" t="inlineStr">
        <is>
          <t>Enter 0, 50, or 100 only when correcting the provisional text coding.</t>
        </is>
      </c>
    </row>
    <row r="83">
      <c r="A83" s="2" t="inlineStr">
        <is>
          <t>Open Preprint Systems (OPS)</t>
        </is>
      </c>
      <c r="B83" s="2" t="n"/>
      <c r="C83" s="3" t="n">
        <v>0</v>
      </c>
      <c r="D83" s="5" t="n"/>
      <c r="E83" s="3">
        <f>IF(ISNUMBER(D83),D83,C83)</f>
        <v>0</v>
      </c>
      <c r="F83" s="3" t="inlineStr">
        <is>
          <t>Enter 0, 50, or 100 only when correcting the provisional text coding.</t>
        </is>
      </c>
    </row>
    <row r="84">
      <c r="A84" s="2" t="inlineStr">
        <is>
          <t>Openverse</t>
        </is>
      </c>
      <c r="B84" s="2" t="inlineStr">
        <is>
          <t>Openverse is part of the WordPress open source project: https://wordpress.org/</t>
        </is>
      </c>
      <c r="C84" s="3" t="n">
        <v>50</v>
      </c>
      <c r="D84" s="5" t="n"/>
      <c r="E84" s="3">
        <f>IF(ISNUMBER(D84),D84,C84)</f>
        <v>50</v>
      </c>
      <c r="F84" s="3" t="inlineStr">
        <is>
          <t>Enter 0, 50, or 100 only when correcting the provisional text coding.</t>
        </is>
      </c>
    </row>
    <row r="85">
      <c r="A85" s="2" t="inlineStr">
        <is>
          <t>O Portal Brasileiro de Publicações e Dados Científicos em Acesso Aberto (The Brazilian Open Access Publications and Scientific Data Portal) (Oasisbr)</t>
        </is>
      </c>
      <c r="B85" s="2" t="n"/>
      <c r="C85" s="3" t="n">
        <v>0</v>
      </c>
      <c r="D85" s="5" t="n"/>
      <c r="E85" s="3">
        <f>IF(ISNUMBER(D85),D85,C85)</f>
        <v>0</v>
      </c>
      <c r="F85" s="3" t="inlineStr">
        <is>
          <t>Enter 0, 50, or 100 only when correcting the provisional text coding.</t>
        </is>
      </c>
    </row>
    <row r="86">
      <c r="A86" s="2" t="inlineStr">
        <is>
          <t>OSF (Open Science Framework)</t>
        </is>
      </c>
      <c r="B86" s="2" t="n"/>
      <c r="C86" s="3" t="n">
        <v>0</v>
      </c>
      <c r="D86" s="5" t="n"/>
      <c r="E86" s="3">
        <f>IF(ISNUMBER(D86),D86,C86)</f>
        <v>0</v>
      </c>
      <c r="F86" s="3" t="inlineStr">
        <is>
          <t>Enter 0, 50, or 100 only when correcting the provisional text coding.</t>
        </is>
      </c>
    </row>
    <row r="87">
      <c r="A87" s="2" t="inlineStr">
        <is>
          <t>Oxford Common File Layout</t>
        </is>
      </c>
      <c r="B87" s="2" t="n"/>
      <c r="C87" s="3" t="n">
        <v>0</v>
      </c>
      <c r="D87" s="5" t="n"/>
      <c r="E87" s="3">
        <f>IF(ISNUMBER(D87),D87,C87)</f>
        <v>0</v>
      </c>
      <c r="F87" s="3" t="inlineStr">
        <is>
          <t>Enter 0, 50, or 100 only when correcting the provisional text coding.</t>
        </is>
      </c>
    </row>
    <row r="88">
      <c r="A88" s="2" t="inlineStr">
        <is>
          <t>Peer Community In</t>
        </is>
      </c>
      <c r="B88" s="2" t="n"/>
      <c r="C88" s="3" t="n">
        <v>0</v>
      </c>
      <c r="D88" s="5" t="n"/>
      <c r="E88" s="3">
        <f>IF(ISNUMBER(D88),D88,C88)</f>
        <v>0</v>
      </c>
      <c r="F88" s="3" t="inlineStr">
        <is>
          <t>Enter 0, 50, or 100 only when correcting the provisional text coding.</t>
        </is>
      </c>
    </row>
    <row r="89">
      <c r="A89" s="2" t="inlineStr">
        <is>
          <t>PKP Preservation Network</t>
        </is>
      </c>
      <c r="B89" s="2" t="inlineStr">
        <is>
          <t>See OJS for affiliations.</t>
        </is>
      </c>
      <c r="C89" s="3" t="n">
        <v>50</v>
      </c>
      <c r="D89" s="5" t="n"/>
      <c r="E89" s="3">
        <f>IF(ISNUMBER(D89),D89,C89)</f>
        <v>50</v>
      </c>
      <c r="F89" s="3" t="inlineStr">
        <is>
          <t>Enter 0, 50, or 100 only when correcting the provisional text coding.</t>
        </is>
      </c>
    </row>
    <row r="90">
      <c r="A90" s="2" t="inlineStr">
        <is>
          <t>PREreview</t>
        </is>
      </c>
      <c r="B90" s="2" t="n"/>
      <c r="C90" s="3" t="n">
        <v>0</v>
      </c>
      <c r="D90" s="5" t="n"/>
      <c r="E90" s="3">
        <f>IF(ISNUMBER(D90),D90,C90)</f>
        <v>0</v>
      </c>
      <c r="F90" s="3" t="inlineStr">
        <is>
          <t>Enter 0, 50, or 100 only when correcting the provisional text coding.</t>
        </is>
      </c>
    </row>
    <row r="91">
      <c r="A91" s="2" t="inlineStr">
        <is>
          <t>Pressbooks</t>
        </is>
      </c>
      <c r="B91" s="2" t="n"/>
      <c r="C91" s="3" t="n">
        <v>0</v>
      </c>
      <c r="D91" s="5" t="n"/>
      <c r="E91" s="3">
        <f>IF(ISNUMBER(D91),D91,C91)</f>
        <v>0</v>
      </c>
      <c r="F91" s="3" t="inlineStr">
        <is>
          <t>Enter 0, 50, or 100 only when correcting the provisional text coding.</t>
        </is>
      </c>
    </row>
    <row r="92">
      <c r="A92" s="2" t="inlineStr">
        <is>
          <t>Public Access Submission System</t>
        </is>
      </c>
      <c r="B92" s="2" t="n"/>
      <c r="C92" s="3" t="n">
        <v>0</v>
      </c>
      <c r="D92" s="5" t="n"/>
      <c r="E92" s="3">
        <f>IF(ISNUMBER(D92),D92,C92)</f>
        <v>0</v>
      </c>
      <c r="F92" s="3" t="inlineStr">
        <is>
          <t>Enter 0, 50, or 100 only when correcting the provisional text coding.</t>
        </is>
      </c>
    </row>
    <row r="93">
      <c r="A93" s="2" t="inlineStr">
        <is>
          <t>Public Utility Data Liberation (PUDL)</t>
        </is>
      </c>
      <c r="B93" s="2" t="inlineStr">
        <is>
          <t>RMI
GridLab</t>
        </is>
      </c>
      <c r="C93" s="3" t="n">
        <v>50</v>
      </c>
      <c r="D93" s="5" t="n"/>
      <c r="E93" s="3">
        <f>IF(ISNUMBER(D93),D93,C93)</f>
        <v>50</v>
      </c>
      <c r="F93" s="3" t="inlineStr">
        <is>
          <t>Enter 0, 50, or 100 only when correcting the provisional text coding.</t>
        </is>
      </c>
    </row>
    <row r="94">
      <c r="A94" s="2" t="inlineStr">
        <is>
          <t>PubPub</t>
        </is>
      </c>
      <c r="B94" s="2" t="n"/>
      <c r="C94" s="3" t="n">
        <v>0</v>
      </c>
      <c r="D94" s="5" t="n"/>
      <c r="E94" s="3">
        <f>IF(ISNUMBER(D94),D94,C94)</f>
        <v>0</v>
      </c>
      <c r="F94" s="3" t="inlineStr">
        <is>
          <t>Enter 0, 50, or 100 only when correcting the provisional text coding.</t>
        </is>
      </c>
    </row>
    <row r="95">
      <c r="A95" s="2" t="inlineStr">
        <is>
          <t>Pundit</t>
        </is>
      </c>
      <c r="B95" s="2" t="inlineStr">
        <is>
          <t>No affiliations</t>
        </is>
      </c>
      <c r="C95" s="3" t="n">
        <v>0</v>
      </c>
      <c r="D95" s="5" t="n"/>
      <c r="E95" s="3">
        <f>IF(ISNUMBER(D95),D95,C95)</f>
        <v>0</v>
      </c>
      <c r="F95" s="3" t="inlineStr">
        <is>
          <t>Enter 0, 50, or 100 only when correcting the provisional text coding.</t>
        </is>
      </c>
    </row>
    <row r="96">
      <c r="A96" s="2" t="inlineStr">
        <is>
          <t>pyOpenSci</t>
        </is>
      </c>
      <c r="B96" s="2" t="inlineStr">
        <is>
          <t>Community Initiatives is our Fiscal sponsor</t>
        </is>
      </c>
      <c r="C96" s="3" t="n">
        <v>100</v>
      </c>
      <c r="D96" s="5" t="n"/>
      <c r="E96" s="3">
        <f>IF(ISNUMBER(D96),D96,C96)</f>
        <v>100</v>
      </c>
      <c r="F96" s="3" t="inlineStr">
        <is>
          <t>Enter 0, 50, or 100 only when correcting the provisional text coding.</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5" t="n"/>
      <c r="E97" s="3">
        <f>IF(ISNUMBER(D97),D97,C97)</f>
        <v>50</v>
      </c>
      <c r="F97" s="3" t="inlineStr">
        <is>
          <t>Enter 0, 50, or 100 only when correcting the provisional text coding.</t>
        </is>
      </c>
    </row>
    <row r="98">
      <c r="A98" s="2" t="inlineStr">
        <is>
          <t>RePEc</t>
        </is>
      </c>
      <c r="B98" s="2" t="inlineStr">
        <is>
          <t>Since 2010‒10‒01, RePEc has been an independent project of the Open Library Society.</t>
        </is>
      </c>
      <c r="C98" s="3" t="n">
        <v>50</v>
      </c>
      <c r="D98" s="5" t="n"/>
      <c r="E98" s="3">
        <f>IF(ISNUMBER(D98),D98,C98)</f>
        <v>50</v>
      </c>
      <c r="F98" s="3" t="inlineStr">
        <is>
          <t>Enter 0, 50, or 100 only when correcting the provisional text coding.</t>
        </is>
      </c>
    </row>
    <row r="99">
      <c r="A99" s="2" t="inlineStr">
        <is>
          <t>Research Organization Registry (ROR)</t>
        </is>
      </c>
      <c r="B99" s="2" t="n"/>
      <c r="C99" s="3" t="n">
        <v>0</v>
      </c>
      <c r="D99" s="5" t="n"/>
      <c r="E99" s="3">
        <f>IF(ISNUMBER(D99),D99,C99)</f>
        <v>0</v>
      </c>
      <c r="F99" s="3" t="inlineStr">
        <is>
          <t>Enter 0, 50, or 100 only when correcting the provisional text coding.</t>
        </is>
      </c>
    </row>
    <row r="100">
      <c r="A100" s="2" t="inlineStr">
        <is>
          <t>Rogue Scholar</t>
        </is>
      </c>
      <c r="B100" s="2" t="n"/>
      <c r="C100" s="3" t="n">
        <v>0</v>
      </c>
      <c r="D100" s="5" t="n"/>
      <c r="E100" s="3">
        <f>IF(ISNUMBER(D100),D100,C100)</f>
        <v>0</v>
      </c>
      <c r="F100" s="3" t="inlineStr">
        <is>
          <t>Enter 0, 50, or 100 only when correcting the provisional text coding.</t>
        </is>
      </c>
    </row>
    <row r="101">
      <c r="A101" s="2" t="inlineStr">
        <is>
          <t>RSpace</t>
        </is>
      </c>
      <c r="B101" s="2" t="inlineStr">
        <is>
          <t>No affiliations</t>
        </is>
      </c>
      <c r="C101" s="3" t="n">
        <v>0</v>
      </c>
      <c r="D101" s="5" t="n"/>
      <c r="E101" s="3">
        <f>IF(ISNUMBER(D101),D101,C101)</f>
        <v>0</v>
      </c>
      <c r="F101" s="3" t="inlineStr">
        <is>
          <t>Enter 0, 50, or 100 only when correcting the provisional text coding.</t>
        </is>
      </c>
    </row>
    <row r="102">
      <c r="A102" s="2" t="inlineStr">
        <is>
          <t>Sciety</t>
        </is>
      </c>
      <c r="B102" s="2" t="inlineStr">
        <is>
          <t>Howard Hughes Medical Institute, Wellcome Trust</t>
        </is>
      </c>
      <c r="C102" s="3" t="n">
        <v>50</v>
      </c>
      <c r="D102" s="5" t="n"/>
      <c r="E102" s="3">
        <f>IF(ISNUMBER(D102),D102,C102)</f>
        <v>50</v>
      </c>
      <c r="F102" s="3" t="inlineStr">
        <is>
          <t>Enter 0, 50, or 100 only when correcting the provisional text coding.</t>
        </is>
      </c>
    </row>
    <row r="103">
      <c r="A103" s="2" t="inlineStr">
        <is>
          <t>Synapse</t>
        </is>
      </c>
      <c r="B103" s="2" t="inlineStr">
        <is>
          <t>No Affiliations</t>
        </is>
      </c>
      <c r="C103" s="3" t="n">
        <v>0</v>
      </c>
      <c r="D103" s="5" t="n"/>
      <c r="E103" s="3">
        <f>IF(ISNUMBER(D103),D103,C103)</f>
        <v>0</v>
      </c>
      <c r="F103" s="3" t="inlineStr">
        <is>
          <t>Enter 0, 50, or 100 only when correcting the provisional text coding.</t>
        </is>
      </c>
    </row>
    <row r="104">
      <c r="A104" s="2" t="inlineStr">
        <is>
          <t>TagTeam</t>
        </is>
      </c>
      <c r="B104" s="2" t="inlineStr">
        <is>
          <t xml:space="preserve">Berkman Klein Center for Internet &amp; Society </t>
        </is>
      </c>
      <c r="C104" s="3" t="n">
        <v>50</v>
      </c>
      <c r="D104" s="5" t="n"/>
      <c r="E104" s="3">
        <f>IF(ISNUMBER(D104),D104,C104)</f>
        <v>50</v>
      </c>
      <c r="F104" s="3" t="inlineStr">
        <is>
          <t>Enter 0, 50, or 100 only when correcting the provisional text coding.</t>
        </is>
      </c>
    </row>
    <row r="105">
      <c r="A105" s="2" t="inlineStr">
        <is>
          <t>Thoth Open Metadata</t>
        </is>
      </c>
      <c r="B105" s="2" t="inlineStr">
        <is>
          <t>Community-led Open Publication Infrastructures for Monographs (COPIM)
Copim Open Book Futures
Open Book Collective</t>
        </is>
      </c>
      <c r="C105" s="3" t="n">
        <v>50</v>
      </c>
      <c r="D105" s="5" t="n"/>
      <c r="E105" s="3">
        <f>IF(ISNUMBER(D105),D105,C105)</f>
        <v>50</v>
      </c>
      <c r="F105" s="3" t="inlineStr">
        <is>
          <t>Enter 0, 50, or 100 only when correcting the provisional text coding.</t>
        </is>
      </c>
    </row>
    <row r="106">
      <c r="A106" s="2" t="inlineStr">
        <is>
          <t>Tropy</t>
        </is>
      </c>
      <c r="B106" s="2" t="inlineStr">
        <is>
          <t>None.</t>
        </is>
      </c>
      <c r="C106" s="3" t="n">
        <v>0</v>
      </c>
      <c r="D106" s="5" t="n"/>
      <c r="E106" s="3">
        <f>IF(ISNUMBER(D106),D106,C106)</f>
        <v>0</v>
      </c>
      <c r="F106" s="3" t="inlineStr">
        <is>
          <t>Enter 0, 50, or 100 only when correcting the provisional text coding.</t>
        </is>
      </c>
    </row>
    <row r="107">
      <c r="A107" s="2" t="inlineStr">
        <is>
          <t>veraPDF</t>
        </is>
      </c>
      <c r="B107" s="2" t="inlineStr">
        <is>
          <t>Open Preservation Foundation
PDF Association
Dual Labs</t>
        </is>
      </c>
      <c r="C107" s="3" t="n">
        <v>50</v>
      </c>
      <c r="D107" s="5" t="n"/>
      <c r="E107" s="3">
        <f>IF(ISNUMBER(D107),D107,C107)</f>
        <v>50</v>
      </c>
      <c r="F107" s="3" t="inlineStr">
        <is>
          <t>Enter 0, 50, or 100 only when correcting the provisional text coding.</t>
        </is>
      </c>
    </row>
    <row r="108">
      <c r="A108" s="2" t="inlineStr">
        <is>
          <t>ViPER</t>
        </is>
      </c>
      <c r="B108" s="2" t="inlineStr">
        <is>
          <t>Artefactual</t>
        </is>
      </c>
      <c r="C108" s="3" t="n">
        <v>50</v>
      </c>
      <c r="D108" s="5" t="n"/>
      <c r="E108" s="3">
        <f>IF(ISNUMBER(D108),D108,C108)</f>
        <v>50</v>
      </c>
      <c r="F108" s="3" t="inlineStr">
        <is>
          <t>Enter 0, 50, or 100 only when correcting the provisional text coding.</t>
        </is>
      </c>
    </row>
    <row r="109">
      <c r="A109" s="2" t="inlineStr">
        <is>
          <t>Vireo ETD</t>
        </is>
      </c>
      <c r="B109" s="2" t="inlineStr">
        <is>
          <t>Texas Digital Library
Vireo User Group Steering Committee</t>
        </is>
      </c>
      <c r="C109" s="3" t="n">
        <v>50</v>
      </c>
      <c r="D109" s="5" t="n"/>
      <c r="E109" s="3">
        <f>IF(ISNUMBER(D109),D109,C109)</f>
        <v>50</v>
      </c>
      <c r="F109" s="3" t="inlineStr">
        <is>
          <t>Enter 0, 50, or 100 only when correcting the provisional text coding.</t>
        </is>
      </c>
    </row>
    <row r="110">
      <c r="A110" s="2" t="inlineStr">
        <is>
          <t>VIVO</t>
        </is>
      </c>
      <c r="B110" s="2" t="inlineStr">
        <is>
          <t>Lyrasis serves as the organizational home for VIVO.
Multiple research institutions and universities across the world are involved in the governance of VIVO.</t>
        </is>
      </c>
      <c r="C110" s="3" t="n">
        <v>100</v>
      </c>
      <c r="D110" s="5" t="n"/>
      <c r="E110" s="3">
        <f>IF(ISNUMBER(D110),D110,C110)</f>
        <v>100</v>
      </c>
      <c r="F110" s="3" t="inlineStr">
        <is>
          <t>Enter 0, 50, or 100 only when correcting the provisional text coding.</t>
        </is>
      </c>
    </row>
    <row r="111">
      <c r="A111" s="2" t="inlineStr">
        <is>
          <t>VuFind®</t>
        </is>
      </c>
      <c r="B111" s="2" t="n"/>
      <c r="C111" s="3" t="n">
        <v>0</v>
      </c>
      <c r="D111" s="5" t="n"/>
      <c r="E111" s="3">
        <f>IF(ISNUMBER(D111),D111,C111)</f>
        <v>0</v>
      </c>
      <c r="F111" s="3" t="inlineStr">
        <is>
          <t>Enter 0, 50, or 100 only when correcting the provisional text coding.</t>
        </is>
      </c>
    </row>
    <row r="112">
      <c r="A112" s="2" t="inlineStr">
        <is>
          <t>Zenodo</t>
        </is>
      </c>
      <c r="B112" s="2" t="n"/>
      <c r="C112" s="3" t="n">
        <v>0</v>
      </c>
      <c r="D112" s="5" t="n"/>
      <c r="E112" s="3">
        <f>IF(ISNUMBER(D112),D112,C112)</f>
        <v>0</v>
      </c>
      <c r="F112" s="3" t="inlineStr">
        <is>
          <t>Enter 0, 50, or 100 only when correcting the provisional text coding.</t>
        </is>
      </c>
    </row>
    <row r="113">
      <c r="A113" s="2" t="inlineStr">
        <is>
          <t>Zotero</t>
        </is>
      </c>
      <c r="B113" s="2" t="inlineStr">
        <is>
          <t>No affiliations</t>
        </is>
      </c>
      <c r="C113" s="3" t="n">
        <v>0</v>
      </c>
      <c r="D113" s="5" t="n"/>
      <c r="E113" s="3">
        <f>IF(ISNUMBER(D113),D113,C113)</f>
        <v>0</v>
      </c>
      <c r="F113" s="3" t="inlineStr">
        <is>
          <t>Enter 0, 50, or 100 only when correcting the provisional text coding.</t>
        </is>
      </c>
    </row>
  </sheetData>
  <autoFilter ref="A1:F113"/>
  <pageMargins left="0.75" right="0.75" top="1" bottom="1" header="0.5" footer="0.5"/>
  <legacyDrawing r:id="anysvml"/>
</worksheet>
</file>

<file path=xl/worksheets/sheet7.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8" customWidth="1" min="3" max="3"/>
    <col width="66" customWidth="1" min="4" max="4"/>
    <col width="18" customWidth="1" min="5" max="5"/>
    <col width="18" customWidth="1" min="6" max="6"/>
    <col width="58" customWidth="1" min="7" max="7"/>
  </cols>
  <sheetData>
    <row r="1" ht="32" customHeight="1">
      <c r="A1" s="1" t="inlineStr">
        <is>
          <t>Service</t>
        </is>
      </c>
      <c r="B1" s="1" t="inlineStr">
        <is>
          <t>Raw 058 affiliation text</t>
        </is>
      </c>
      <c r="C1" s="1" t="inlineStr">
        <is>
          <t>Provisional score</t>
        </is>
      </c>
      <c r="D1" s="1" t="inlineStr">
        <is>
          <t>Coding rationale</t>
        </is>
      </c>
      <c r="E1" s="1" t="inlineStr">
        <is>
          <t>Override score</t>
        </is>
      </c>
      <c r="F1" s="1" t="inlineStr">
        <is>
          <t>Final score</t>
        </is>
      </c>
      <c r="G1" s="1" t="inlineStr">
        <is>
          <t>Review note</t>
        </is>
      </c>
    </row>
    <row r="2">
      <c r="A2" s="2" t="inlineStr">
        <is>
          <t>2i2c</t>
        </is>
      </c>
      <c r="B2" s="2" t="n"/>
      <c r="C2" s="3" t="n">
        <v>0</v>
      </c>
      <c r="D2" s="2" t="inlineStr">
        <is>
          <t>Blank: zero under the agreed unavailable-data rule</t>
        </is>
      </c>
      <c r="E2" s="3" t="n"/>
      <c r="F2" s="3">
        <f>Verification!E2</f>
        <v>0</v>
      </c>
      <c r="G2" s="2" t="inlineStr">
        <is>
          <t>Use the override in Verification; this sheet mirrors the active score.</t>
        </is>
      </c>
    </row>
    <row r="3">
      <c r="A3" s="2" t="inlineStr">
        <is>
          <t>Academic Preservation Trust (APTrust)</t>
        </is>
      </c>
      <c r="B3" s="2" t="inlineStr">
        <is>
          <t>University of Virginia</t>
        </is>
      </c>
      <c r="C3" s="3" t="n">
        <v>50</v>
      </c>
      <c r="D3" s="2" t="inlineStr">
        <is>
          <t>Substantive affiliation or membership reported; level of operational support not established</t>
        </is>
      </c>
      <c r="E3" s="3" t="n"/>
      <c r="F3" s="3">
        <f>Verification!E3</f>
        <v>50</v>
      </c>
      <c r="G3" s="2" t="inlineStr">
        <is>
          <t>Use the override in Verification; this sheet mirrors the active score.</t>
        </is>
      </c>
    </row>
    <row r="4">
      <c r="A4" s="2" t="inlineStr">
        <is>
          <t>AfricArXiv</t>
        </is>
      </c>
      <c r="B4" s="2" t="inlineStr">
        <is>
          <t>Access 2 Perspectives coordinates AfricArXiv’s operations. This includes managing day-to-day activities, overseeing submission processes, ensuring quality control, and facilitating the integration of AfricArXiv with other scholarly services</t>
        </is>
      </c>
      <c r="C4" s="3" t="n">
        <v>100</v>
      </c>
      <c r="D4" s="2" t="inlineStr">
        <is>
          <t>Explicit host or operational/financial support language</t>
        </is>
      </c>
      <c r="E4" s="3" t="n"/>
      <c r="F4" s="3">
        <f>Verification!E4</f>
        <v>100</v>
      </c>
      <c r="G4" s="2" t="inlineStr">
        <is>
          <t>Use the override in Verification; this sheet mirrors the active score.</t>
        </is>
      </c>
    </row>
    <row r="5">
      <c r="A5" s="2" t="inlineStr">
        <is>
          <t>Arches Heritage Data Management Platform</t>
        </is>
      </c>
      <c r="B5" s="2" t="inlineStr">
        <is>
          <t>Getty Conservation Institute
Farallon Geographics</t>
        </is>
      </c>
      <c r="C5" s="3" t="n">
        <v>50</v>
      </c>
      <c r="D5" s="2" t="inlineStr">
        <is>
          <t>Substantive affiliation or membership reported; level of operational support not established</t>
        </is>
      </c>
      <c r="E5" s="3" t="n"/>
      <c r="F5" s="3">
        <f>Verification!E5</f>
        <v>50</v>
      </c>
      <c r="G5" s="2" t="inlineStr">
        <is>
          <t>Use the override in Verification; this sheet mirrors the active score.</t>
        </is>
      </c>
    </row>
    <row r="6">
      <c r="A6" s="2" t="inlineStr">
        <is>
          <t>Archipelago Commons</t>
        </is>
      </c>
      <c r="B6" s="2" t="n"/>
      <c r="C6" s="3" t="n">
        <v>0</v>
      </c>
      <c r="D6" s="2" t="inlineStr">
        <is>
          <t>Blank: zero under the agreed unavailable-data rule</t>
        </is>
      </c>
      <c r="E6" s="3" t="n"/>
      <c r="F6" s="3">
        <f>Verification!E6</f>
        <v>0</v>
      </c>
      <c r="G6" s="2" t="inlineStr">
        <is>
          <t>Use the override in Verification; this sheet mirrors the active score.</t>
        </is>
      </c>
    </row>
    <row r="7">
      <c r="A7" s="2" t="inlineStr">
        <is>
          <t>Archival Resource Key</t>
        </is>
      </c>
      <c r="B7" s="2" t="n"/>
      <c r="C7" s="3" t="n">
        <v>0</v>
      </c>
      <c r="D7" s="2" t="inlineStr">
        <is>
          <t>Blank: zero under the agreed unavailable-data rule</t>
        </is>
      </c>
      <c r="E7" s="3" t="n"/>
      <c r="F7" s="3">
        <f>Verification!E7</f>
        <v>0</v>
      </c>
      <c r="G7" s="2" t="inlineStr">
        <is>
          <t>Use the override in Verification; this sheet mirrors the active score.</t>
        </is>
      </c>
    </row>
    <row r="8">
      <c r="A8" s="2" t="inlineStr">
        <is>
          <t>Archivematica</t>
        </is>
      </c>
      <c r="B8" s="2" t="inlineStr">
        <is>
          <t>No Affiliations</t>
        </is>
      </c>
      <c r="C8" s="3" t="n">
        <v>0</v>
      </c>
      <c r="D8" s="2" t="inlineStr">
        <is>
          <t>Explicit absence or placeholder</t>
        </is>
      </c>
      <c r="E8" s="3" t="n"/>
      <c r="F8" s="3">
        <f>Verification!E8</f>
        <v>0</v>
      </c>
      <c r="G8" s="2" t="inlineStr">
        <is>
          <t>Use the override in Verification; this sheet mirrors the active score.</t>
        </is>
      </c>
    </row>
    <row r="9">
      <c r="A9" s="2" t="inlineStr">
        <is>
          <t>ArchivesSpace</t>
        </is>
      </c>
      <c r="B9" s="2" t="inlineStr">
        <is>
          <t>New York University and the University of California San Diego are the founding partners and have permanent seats on the Board; Lyrasis is the organizational home</t>
        </is>
      </c>
      <c r="C9" s="3" t="n">
        <v>100</v>
      </c>
      <c r="D9" s="2" t="inlineStr">
        <is>
          <t>Explicit host or operational/financial support language</t>
        </is>
      </c>
      <c r="E9" s="3" t="n"/>
      <c r="F9" s="3">
        <f>Verification!E9</f>
        <v>100</v>
      </c>
      <c r="G9" s="2" t="inlineStr">
        <is>
          <t>Use the override in Verification; this sheet mirrors the active score.</t>
        </is>
      </c>
    </row>
    <row r="10">
      <c r="A10" s="2" t="inlineStr">
        <is>
          <t>ARGOS</t>
        </is>
      </c>
      <c r="B10" s="2" t="inlineStr">
        <is>
          <t>Athena Research Center (ARC)
Communication &amp; Information Technologies Experts (CITE)</t>
        </is>
      </c>
      <c r="C10" s="3" t="n">
        <v>50</v>
      </c>
      <c r="D10" s="2" t="inlineStr">
        <is>
          <t>Substantive affiliation or membership reported; level of operational support not established</t>
        </is>
      </c>
      <c r="E10" s="3" t="n"/>
      <c r="F10" s="3">
        <f>Verification!E10</f>
        <v>50</v>
      </c>
      <c r="G10" s="2" t="inlineStr">
        <is>
          <t>Use the override in Verification; this sheet mirrors the active score.</t>
        </is>
      </c>
    </row>
    <row r="11">
      <c r="A11" s="2" t="inlineStr">
        <is>
          <t>arXiv</t>
        </is>
      </c>
      <c r="B11" s="2" t="n"/>
      <c r="C11" s="3" t="n">
        <v>0</v>
      </c>
      <c r="D11" s="2" t="inlineStr">
        <is>
          <t>Blank: zero under the agreed unavailable-data rule</t>
        </is>
      </c>
      <c r="E11" s="3" t="n"/>
      <c r="F11" s="3">
        <f>Verification!E11</f>
        <v>0</v>
      </c>
      <c r="G11" s="2" t="inlineStr">
        <is>
          <t>Use the override in Verification; this sheet mirrors the active score.</t>
        </is>
      </c>
    </row>
    <row r="12">
      <c r="A12" s="2" t="inlineStr">
        <is>
          <t>AtoM</t>
        </is>
      </c>
      <c r="B12" s="2" t="inlineStr">
        <is>
          <t>No affiliations</t>
        </is>
      </c>
      <c r="C12" s="3" t="n">
        <v>0</v>
      </c>
      <c r="D12" s="2" t="inlineStr">
        <is>
          <t>Explicit absence or placeholder</t>
        </is>
      </c>
      <c r="E12" s="3" t="n"/>
      <c r="F12" s="3">
        <f>Verification!E12</f>
        <v>0</v>
      </c>
      <c r="G12" s="2" t="inlineStr">
        <is>
          <t>Use the override in Verification; this sheet mirrors the active score.</t>
        </is>
      </c>
    </row>
    <row r="13">
      <c r="A13" s="2" t="inlineStr">
        <is>
          <t>Avalon Media System</t>
        </is>
      </c>
      <c r="B13" s="2" t="inlineStr">
        <is>
          <t>Indiana University Libraries</t>
        </is>
      </c>
      <c r="C13" s="3" t="n">
        <v>50</v>
      </c>
      <c r="D13" s="2" t="inlineStr">
        <is>
          <t>Substantive affiliation or membership reported; level of operational support not established</t>
        </is>
      </c>
      <c r="E13" s="3" t="n"/>
      <c r="F13" s="3">
        <f>Verification!E13</f>
        <v>50</v>
      </c>
      <c r="G13" s="2" t="inlineStr">
        <is>
          <t>Use the override in Verification; this sheet mirrors the active score.</t>
        </is>
      </c>
    </row>
    <row r="14">
      <c r="A14" s="2" t="inlineStr">
        <is>
          <t>Biodiversity Heritage Library</t>
        </is>
      </c>
      <c r="B14" s="2" t="inlineStr">
        <is>
          <t>BHL’s fiscal sponsor is the Council on Library and Information Resources (CLIR).</t>
        </is>
      </c>
      <c r="C14" s="3" t="n">
        <v>100</v>
      </c>
      <c r="D14" s="2" t="inlineStr">
        <is>
          <t>Explicit host or operational/financial support language</t>
        </is>
      </c>
      <c r="E14" s="3" t="n"/>
      <c r="F14" s="3">
        <f>Verification!E14</f>
        <v>100</v>
      </c>
      <c r="G14" s="2" t="inlineStr">
        <is>
          <t>Use the override in Verification; this sheet mirrors the active score.</t>
        </is>
      </c>
    </row>
    <row r="15">
      <c r="A15" s="2" t="inlineStr">
        <is>
          <t>bioRxiv</t>
        </is>
      </c>
      <c r="B15" s="2" t="n"/>
      <c r="C15" s="3" t="n">
        <v>0</v>
      </c>
      <c r="D15" s="2" t="inlineStr">
        <is>
          <t>Blank: zero under the agreed unavailable-data rule</t>
        </is>
      </c>
      <c r="E15" s="3" t="n"/>
      <c r="F15" s="3">
        <f>Verification!E15</f>
        <v>0</v>
      </c>
      <c r="G15" s="2" t="inlineStr">
        <is>
          <t>Use the override in Verification; this sheet mirrors the active score.</t>
        </is>
      </c>
    </row>
    <row r="16">
      <c r="A16" s="2" t="inlineStr">
        <is>
          <t>BitCurator Environment</t>
        </is>
      </c>
      <c r="B16" s="2" t="inlineStr">
        <is>
          <t>BitCurator Consortium is administratively hosted by the Open Library Foundation.</t>
        </is>
      </c>
      <c r="C16" s="3" t="n">
        <v>100</v>
      </c>
      <c r="D16" s="2" t="inlineStr">
        <is>
          <t>Explicit host or operational/financial support language</t>
        </is>
      </c>
      <c r="E16" s="3" t="n"/>
      <c r="F16" s="3">
        <f>Verification!E16</f>
        <v>100</v>
      </c>
      <c r="G16" s="2" t="inlineStr">
        <is>
          <t>Use the override in Verification; this sheet mirrors the active score.</t>
        </is>
      </c>
    </row>
    <row r="17">
      <c r="A17" s="2" t="inlineStr">
        <is>
          <t>Blacklight</t>
        </is>
      </c>
      <c r="B17" s="2" t="inlineStr">
        <is>
          <t>See website</t>
        </is>
      </c>
      <c r="C17" s="3" t="n">
        <v>0</v>
      </c>
      <c r="D17" s="2" t="inlineStr">
        <is>
          <t>Explicit absence or placeholder</t>
        </is>
      </c>
      <c r="E17" s="3" t="n"/>
      <c r="F17" s="3">
        <f>Verification!E17</f>
        <v>0</v>
      </c>
      <c r="G17" s="2" t="inlineStr">
        <is>
          <t>Use the override in Verification; this sheet mirrors the active score.</t>
        </is>
      </c>
    </row>
    <row r="18">
      <c r="A18" s="2" t="inlineStr">
        <is>
          <t>BrCRIS</t>
        </is>
      </c>
      <c r="B18" s="2" t="n"/>
      <c r="C18" s="3" t="n">
        <v>0</v>
      </c>
      <c r="D18" s="2" t="inlineStr">
        <is>
          <t>Blank: zero under the agreed unavailable-data rule</t>
        </is>
      </c>
      <c r="E18" s="3" t="n"/>
      <c r="F18" s="3">
        <f>Verification!E18</f>
        <v>0</v>
      </c>
      <c r="G18" s="2" t="inlineStr">
        <is>
          <t>Use the override in Verification; this sheet mirrors the active score.</t>
        </is>
      </c>
    </row>
    <row r="19">
      <c r="A19" s="2" t="inlineStr">
        <is>
          <t>Browsertrix</t>
        </is>
      </c>
      <c r="B19" s="2" t="inlineStr">
        <is>
          <t>No affiliations have direct involvement in governing or running our products except us.  We are members of the International Internet Preservation Consortium (IIPC).</t>
        </is>
      </c>
      <c r="C19" s="3" t="n">
        <v>50</v>
      </c>
      <c r="D19" s="2" t="inlineStr">
        <is>
          <t>Substantive affiliation or membership reported; level of operational support not established</t>
        </is>
      </c>
      <c r="E19" s="3" t="n"/>
      <c r="F19" s="3">
        <f>Verification!E19</f>
        <v>50</v>
      </c>
      <c r="G19" s="2" t="inlineStr">
        <is>
          <t>Use the override in Verification; this sheet mirrors the active score.</t>
        </is>
      </c>
    </row>
    <row r="20">
      <c r="A20" s="2" t="inlineStr">
        <is>
          <t>CLOCKSS</t>
        </is>
      </c>
      <c r="B20" s="2" t="inlineStr">
        <is>
          <t>n/a</t>
        </is>
      </c>
      <c r="C20" s="3" t="n">
        <v>0</v>
      </c>
      <c r="D20" s="2" t="inlineStr">
        <is>
          <t>Explicit absence or placeholder</t>
        </is>
      </c>
      <c r="E20" s="3" t="n"/>
      <c r="F20" s="3">
        <f>Verification!E20</f>
        <v>0</v>
      </c>
      <c r="G20" s="2" t="inlineStr">
        <is>
          <t>Use the override in Verification; this sheet mirrors the active score.</t>
        </is>
      </c>
    </row>
    <row r="21">
      <c r="A21" s="2" t="inlineStr">
        <is>
          <t>COAR International Repository Directory (IRD)</t>
        </is>
      </c>
      <c r="B21" s="2" t="inlineStr">
        <is>
          <t>Responsible Organisations: https://ird.coar-repositories.org/about?lang=en</t>
        </is>
      </c>
      <c r="C21" s="3" t="n">
        <v>50</v>
      </c>
      <c r="D21" s="2" t="inlineStr">
        <is>
          <t>Substantive affiliation or membership reported; level of operational support not established</t>
        </is>
      </c>
      <c r="E21" s="3" t="n"/>
      <c r="F21" s="3">
        <f>Verification!E21</f>
        <v>50</v>
      </c>
      <c r="G21" s="2" t="inlineStr">
        <is>
          <t>Use the override in Verification; this sheet mirrors the active score.</t>
        </is>
      </c>
    </row>
    <row r="22">
      <c r="A22" s="2" t="inlineStr">
        <is>
          <t>COAR Notify</t>
        </is>
      </c>
      <c r="B22" s="2" t="inlineStr">
        <is>
          <t>No affiliations.</t>
        </is>
      </c>
      <c r="C22" s="3" t="n">
        <v>0</v>
      </c>
      <c r="D22" s="2" t="inlineStr">
        <is>
          <t>Explicit absence or placeholder</t>
        </is>
      </c>
      <c r="E22" s="3" t="n"/>
      <c r="F22" s="3">
        <f>Verification!E22</f>
        <v>0</v>
      </c>
      <c r="G22" s="2" t="inlineStr">
        <is>
          <t>Use the override in Verification; this sheet mirrors the active score.</t>
        </is>
      </c>
    </row>
    <row r="23">
      <c r="A23" s="2" t="inlineStr">
        <is>
          <t>CollectiveAccess</t>
        </is>
      </c>
      <c r="B23" s="2" t="inlineStr">
        <is>
          <t>No affiliations</t>
        </is>
      </c>
      <c r="C23" s="3" t="n">
        <v>0</v>
      </c>
      <c r="D23" s="2" t="inlineStr">
        <is>
          <t>Explicit absence or placeholder</t>
        </is>
      </c>
      <c r="E23" s="3" t="n"/>
      <c r="F23" s="3">
        <f>Verification!E23</f>
        <v>0</v>
      </c>
      <c r="G23" s="2" t="inlineStr">
        <is>
          <t>Use the override in Verification; this sheet mirrors the active score.</t>
        </is>
      </c>
    </row>
    <row r="24">
      <c r="A24" s="2" t="inlineStr">
        <is>
          <t>CORE</t>
        </is>
      </c>
      <c r="B24" s="2" t="n"/>
      <c r="C24" s="3" t="n">
        <v>0</v>
      </c>
      <c r="D24" s="2" t="inlineStr">
        <is>
          <t>Blank: zero under the agreed unavailable-data rule</t>
        </is>
      </c>
      <c r="E24" s="3" t="n"/>
      <c r="F24" s="3">
        <f>Verification!E24</f>
        <v>0</v>
      </c>
      <c r="G24" s="2" t="inlineStr">
        <is>
          <t>Use the override in Verification; this sheet mirrors the active score.</t>
        </is>
      </c>
    </row>
    <row r="25">
      <c r="A25" s="2" t="inlineStr">
        <is>
          <t>COUNTER Code of Practice</t>
        </is>
      </c>
      <c r="B25" s="2" t="n"/>
      <c r="C25" s="3" t="n">
        <v>0</v>
      </c>
      <c r="D25" s="2" t="inlineStr">
        <is>
          <t>Blank: zero under the agreed unavailable-data rule</t>
        </is>
      </c>
      <c r="E25" s="3" t="n"/>
      <c r="F25" s="3">
        <f>Verification!E25</f>
        <v>0</v>
      </c>
      <c r="G25" s="2" t="inlineStr">
        <is>
          <t>Use the override in Verification; this sheet mirrors the active score.</t>
        </is>
      </c>
    </row>
    <row r="26">
      <c r="A26" s="2" t="inlineStr">
        <is>
          <t>Creative Commons Licenses</t>
        </is>
      </c>
      <c r="B26" s="2" t="n"/>
      <c r="C26" s="3" t="n">
        <v>0</v>
      </c>
      <c r="D26" s="2" t="inlineStr">
        <is>
          <t>Blank: zero under the agreed unavailable-data rule</t>
        </is>
      </c>
      <c r="E26" s="3" t="n"/>
      <c r="F26" s="3">
        <f>Verification!E26</f>
        <v>0</v>
      </c>
      <c r="G26" s="2" t="inlineStr">
        <is>
          <t>Use the override in Verification; this sheet mirrors the active score.</t>
        </is>
      </c>
    </row>
    <row r="27">
      <c r="A27" s="2" t="inlineStr">
        <is>
          <t>Crossref Metadata Retrieval</t>
        </is>
      </c>
      <c r="B27" s="2" t="n"/>
      <c r="C27" s="3" t="n">
        <v>0</v>
      </c>
      <c r="D27" s="2" t="inlineStr">
        <is>
          <t>Blank: zero under the agreed unavailable-data rule</t>
        </is>
      </c>
      <c r="E27" s="3" t="n"/>
      <c r="F27" s="3">
        <f>Verification!E27</f>
        <v>0</v>
      </c>
      <c r="G27" s="2" t="inlineStr">
        <is>
          <t>Use the override in Verification; this sheet mirrors the active score.</t>
        </is>
      </c>
    </row>
    <row r="28">
      <c r="A28" s="2" t="inlineStr">
        <is>
          <t>D4Science Infrastructure</t>
        </is>
      </c>
      <c r="B28" s="2" t="inlineStr">
        <is>
          <t>D4Science is managed by the Italian National Research Council (CNR). Its headquarters are hosted by CNR's Institute of Information Science and Technologies "A. Faedo" (CNR-ISTI) in Pisa, Tuscany, Italy.</t>
        </is>
      </c>
      <c r="C28" s="3" t="n">
        <v>100</v>
      </c>
      <c r="D28" s="2" t="inlineStr">
        <is>
          <t>Explicit host or operational/financial support language</t>
        </is>
      </c>
      <c r="E28" s="3" t="n"/>
      <c r="F28" s="3">
        <f>Verification!E28</f>
        <v>100</v>
      </c>
      <c r="G28" s="2" t="inlineStr">
        <is>
          <t>Use the override in Verification; this sheet mirrors the active score.</t>
        </is>
      </c>
    </row>
    <row r="29">
      <c r="A29" s="2" t="inlineStr">
        <is>
          <t>DART (Digital Archivist's Resource Tool)</t>
        </is>
      </c>
      <c r="B29" s="2" t="inlineStr">
        <is>
          <t>University of Virginia</t>
        </is>
      </c>
      <c r="C29" s="3" t="n">
        <v>50</v>
      </c>
      <c r="D29" s="2" t="inlineStr">
        <is>
          <t>Substantive affiliation or membership reported; level of operational support not established</t>
        </is>
      </c>
      <c r="E29" s="3" t="n"/>
      <c r="F29" s="3">
        <f>Verification!E29</f>
        <v>50</v>
      </c>
      <c r="G29" s="2" t="inlineStr">
        <is>
          <t>Use the override in Verification; this sheet mirrors the active score.</t>
        </is>
      </c>
    </row>
    <row r="30">
      <c r="A30" s="2" t="inlineStr">
        <is>
          <t>Database Information System</t>
        </is>
      </c>
      <c r="B30" s="2" t="inlineStr">
        <is>
          <t>DBIS is operated by the University Library of Regensburg.</t>
        </is>
      </c>
      <c r="C30" s="3" t="n">
        <v>50</v>
      </c>
      <c r="D30" s="2" t="inlineStr">
        <is>
          <t>Substantive affiliation or membership reported; level of operational support not established</t>
        </is>
      </c>
      <c r="E30" s="3" t="n"/>
      <c r="F30" s="3">
        <f>Verification!E30</f>
        <v>50</v>
      </c>
      <c r="G30" s="2" t="inlineStr">
        <is>
          <t>Use the override in Verification; this sheet mirrors the active score.</t>
        </is>
      </c>
    </row>
    <row r="31">
      <c r="A31" s="2" t="inlineStr">
        <is>
          <t>Data Citation Corpus</t>
        </is>
      </c>
      <c r="B31" s="2" t="inlineStr">
        <is>
          <t>DataCite leads the development of the Data Citation Corpus as part of Make Data Count activities.</t>
        </is>
      </c>
      <c r="C31" s="3" t="n">
        <v>50</v>
      </c>
      <c r="D31" s="2" t="inlineStr">
        <is>
          <t>Substantive affiliation or membership reported; level of operational support not established</t>
        </is>
      </c>
      <c r="E31" s="3" t="n"/>
      <c r="F31" s="3">
        <f>Verification!E31</f>
        <v>50</v>
      </c>
      <c r="G31" s="2" t="inlineStr">
        <is>
          <t>Use the override in Verification; this sheet mirrors the active score.</t>
        </is>
      </c>
    </row>
    <row r="32">
      <c r="A32" s="2" t="inlineStr">
        <is>
          <t>DataCite</t>
        </is>
      </c>
      <c r="B32" s="2" t="n"/>
      <c r="C32" s="3" t="n">
        <v>0</v>
      </c>
      <c r="D32" s="2" t="inlineStr">
        <is>
          <t>Blank: zero under the agreed unavailable-data rule</t>
        </is>
      </c>
      <c r="E32" s="3" t="n"/>
      <c r="F32" s="3">
        <f>Verification!E32</f>
        <v>0</v>
      </c>
      <c r="G32" s="2" t="inlineStr">
        <is>
          <t>Use the override in Verification; this sheet mirrors the active score.</t>
        </is>
      </c>
    </row>
    <row r="33">
      <c r="A33" s="2" t="inlineStr">
        <is>
          <t>Data Stewardship Wizard</t>
        </is>
      </c>
      <c r="B33" s="2" t="inlineStr">
        <is>
          <t>Czech Technical University in Prague / ELIXIR-CZ
Codevence Solutions</t>
        </is>
      </c>
      <c r="C33" s="3" t="n">
        <v>50</v>
      </c>
      <c r="D33" s="2" t="inlineStr">
        <is>
          <t>Substantive affiliation or membership reported; level of operational support not established</t>
        </is>
      </c>
      <c r="E33" s="3" t="n"/>
      <c r="F33" s="3">
        <f>Verification!E33</f>
        <v>50</v>
      </c>
      <c r="G33" s="2" t="inlineStr">
        <is>
          <t>Use the override in Verification; this sheet mirrors the active score.</t>
        </is>
      </c>
    </row>
    <row r="34">
      <c r="A34" s="2" t="inlineStr">
        <is>
          <t>Dataverse</t>
        </is>
      </c>
      <c r="B34" s="2" t="n"/>
      <c r="C34" s="3" t="n">
        <v>0</v>
      </c>
      <c r="D34" s="2" t="inlineStr">
        <is>
          <t>Blank: zero under the agreed unavailable-data rule</t>
        </is>
      </c>
      <c r="E34" s="3" t="n"/>
      <c r="F34" s="3">
        <f>Verification!E34</f>
        <v>0</v>
      </c>
      <c r="G34" s="2" t="inlineStr">
        <is>
          <t>Use the override in Verification; this sheet mirrors the active score.</t>
        </is>
      </c>
    </row>
    <row r="35">
      <c r="A35" s="2" t="inlineStr">
        <is>
          <t>DLCM Backend</t>
        </is>
      </c>
      <c r="B35" s="2" t="inlineStr">
        <is>
          <t>University of Geneva (https://www.unige.ch/)
HEG, HES-SO (https://www.hesge.ch/heg/en)
UNIFR (https://www.unifr.ch/home/en/)
BFH (https://www.bfh.ch/en/)
OLOS (https://olos.swiss/)</t>
        </is>
      </c>
      <c r="C35" s="3" t="n">
        <v>50</v>
      </c>
      <c r="D35" s="2" t="inlineStr">
        <is>
          <t>Substantive affiliation or membership reported; level of operational support not established</t>
        </is>
      </c>
      <c r="E35" s="3" t="n"/>
      <c r="F35" s="3">
        <f>Verification!E35</f>
        <v>50</v>
      </c>
      <c r="G35" s="2" t="inlineStr">
        <is>
          <t>Use the override in Verification; this sheet mirrors the active score.</t>
        </is>
      </c>
    </row>
    <row r="36">
      <c r="A36" s="2" t="inlineStr">
        <is>
          <t>DLCM Portal</t>
        </is>
      </c>
      <c r="B36" s="2" t="inlineStr">
        <is>
          <t>University of Geneva (https://www.unige.ch/)HEG, HES-SO (https://www.hesge.ch/heg/en)UNIFR (https://www.unifr.ch/home/en/)BFH (https://www.bfh.ch/en/)OLOS (https://olos.swiss/)</t>
        </is>
      </c>
      <c r="C36" s="3" t="n">
        <v>50</v>
      </c>
      <c r="D36" s="2" t="inlineStr">
        <is>
          <t>Substantive affiliation or membership reported; level of operational support not established</t>
        </is>
      </c>
      <c r="E36" s="3" t="n"/>
      <c r="F36" s="3">
        <f>Verification!E36</f>
        <v>50</v>
      </c>
      <c r="G36" s="2" t="inlineStr">
        <is>
          <t>Use the override in Verification; this sheet mirrors the active score.</t>
        </is>
      </c>
    </row>
    <row r="37">
      <c r="A37" s="2" t="inlineStr">
        <is>
          <t>DMP Tool</t>
        </is>
      </c>
      <c r="B37" s="2" t="n"/>
      <c r="C37" s="3" t="n">
        <v>0</v>
      </c>
      <c r="D37" s="2" t="inlineStr">
        <is>
          <t>Blank: zero under the agreed unavailable-data rule</t>
        </is>
      </c>
      <c r="E37" s="3" t="n"/>
      <c r="F37" s="3">
        <f>Verification!E37</f>
        <v>0</v>
      </c>
      <c r="G37" s="2" t="inlineStr">
        <is>
          <t>Use the override in Verification; this sheet mirrors the active score.</t>
        </is>
      </c>
    </row>
    <row r="38">
      <c r="A38" s="2" t="inlineStr">
        <is>
          <t>DOAJ (Directory of Open Access Journals)</t>
        </is>
      </c>
      <c r="B38" s="2" t="n"/>
      <c r="C38" s="3" t="n">
        <v>0</v>
      </c>
      <c r="D38" s="2" t="inlineStr">
        <is>
          <t>Blank: zero under the agreed unavailable-data rule</t>
        </is>
      </c>
      <c r="E38" s="3" t="n"/>
      <c r="F38" s="3">
        <f>Verification!E38</f>
        <v>0</v>
      </c>
      <c r="G38" s="2" t="inlineStr">
        <is>
          <t>Use the override in Verification; this sheet mirrors the active score.</t>
        </is>
      </c>
    </row>
    <row r="39">
      <c r="A39" s="2" t="inlineStr">
        <is>
          <t>dokieli</t>
        </is>
      </c>
      <c r="B39" s="2" t="n"/>
      <c r="C39" s="3" t="n">
        <v>0</v>
      </c>
      <c r="D39" s="2" t="inlineStr">
        <is>
          <t>Blank: zero under the agreed unavailable-data rule</t>
        </is>
      </c>
      <c r="E39" s="3" t="n"/>
      <c r="F39" s="3">
        <f>Verification!E39</f>
        <v>0</v>
      </c>
      <c r="G39" s="2" t="inlineStr">
        <is>
          <t>Use the override in Verification; this sheet mirrors the active score.</t>
        </is>
      </c>
    </row>
    <row r="40">
      <c r="A40" s="2" t="inlineStr">
        <is>
          <t>Dryad</t>
        </is>
      </c>
      <c r="B40" s="2" t="n"/>
      <c r="C40" s="3" t="n">
        <v>0</v>
      </c>
      <c r="D40" s="2" t="inlineStr">
        <is>
          <t>Blank: zero under the agreed unavailable-data rule</t>
        </is>
      </c>
      <c r="E40" s="3" t="n"/>
      <c r="F40" s="3">
        <f>Verification!E40</f>
        <v>0</v>
      </c>
      <c r="G40" s="2" t="inlineStr">
        <is>
          <t>Use the override in Verification; this sheet mirrors the active score.</t>
        </is>
      </c>
    </row>
    <row r="41">
      <c r="A41" s="2" t="inlineStr">
        <is>
          <t>DSpace</t>
        </is>
      </c>
      <c r="B41" s="2" t="n"/>
      <c r="C41" s="3" t="n">
        <v>0</v>
      </c>
      <c r="D41" s="2" t="inlineStr">
        <is>
          <t>Blank: zero under the agreed unavailable-data rule</t>
        </is>
      </c>
      <c r="E41" s="3" t="n"/>
      <c r="F41" s="3">
        <f>Verification!E41</f>
        <v>0</v>
      </c>
      <c r="G41" s="2" t="inlineStr">
        <is>
          <t>Use the override in Verification; this sheet mirrors the active score.</t>
        </is>
      </c>
    </row>
    <row r="42">
      <c r="A42" s="2" t="inlineStr">
        <is>
          <t>DuraCloud</t>
        </is>
      </c>
      <c r="B42" s="2" t="inlineStr">
        <is>
          <t>N/A</t>
        </is>
      </c>
      <c r="C42" s="3" t="n">
        <v>0</v>
      </c>
      <c r="D42" s="2" t="inlineStr">
        <is>
          <t>Explicit absence or placeholder</t>
        </is>
      </c>
      <c r="E42" s="3" t="n"/>
      <c r="F42" s="3">
        <f>Verification!E42</f>
        <v>0</v>
      </c>
      <c r="G42" s="2" t="inlineStr">
        <is>
          <t>Use the override in Verification; this sheet mirrors the active score.</t>
        </is>
      </c>
    </row>
    <row r="43">
      <c r="A43" s="2" t="inlineStr">
        <is>
          <t>Episciences</t>
        </is>
      </c>
      <c r="B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C43" s="3" t="n">
        <v>50</v>
      </c>
      <c r="D43" s="2" t="inlineStr">
        <is>
          <t>Substantive affiliation or membership reported; level of operational support not established</t>
        </is>
      </c>
      <c r="E43" s="3" t="n"/>
      <c r="F43" s="3">
        <f>Verification!E43</f>
        <v>50</v>
      </c>
      <c r="G43" s="2" t="inlineStr">
        <is>
          <t>Use the override in Verification; this sheet mirrors the active score.</t>
        </is>
      </c>
    </row>
    <row r="44">
      <c r="A44" s="2" t="inlineStr">
        <is>
          <t>EPrints</t>
        </is>
      </c>
      <c r="B44" s="2" t="inlineStr">
        <is>
          <t>ECS Partners Ltd</t>
        </is>
      </c>
      <c r="C44" s="3" t="n">
        <v>50</v>
      </c>
      <c r="D44" s="2" t="inlineStr">
        <is>
          <t>Substantive affiliation or membership reported; level of operational support not established</t>
        </is>
      </c>
      <c r="E44" s="3" t="n"/>
      <c r="F44" s="3">
        <f>Verification!E44</f>
        <v>50</v>
      </c>
      <c r="G44" s="2" t="inlineStr">
        <is>
          <t>Use the override in Verification; this sheet mirrors the active score.</t>
        </is>
      </c>
    </row>
    <row r="45">
      <c r="A45" s="2" t="inlineStr">
        <is>
          <t>Érudit</t>
        </is>
      </c>
      <c r="B45" s="2" t="n"/>
      <c r="C45" s="3" t="n">
        <v>0</v>
      </c>
      <c r="D45" s="2" t="inlineStr">
        <is>
          <t>Blank: zero under the agreed unavailable-data rule</t>
        </is>
      </c>
      <c r="E45" s="3" t="n"/>
      <c r="F45" s="3">
        <f>Verification!E45</f>
        <v>0</v>
      </c>
      <c r="G45" s="2" t="inlineStr">
        <is>
          <t>Use the override in Verification; this sheet mirrors the active score.</t>
        </is>
      </c>
    </row>
    <row r="46">
      <c r="A46" s="2" t="inlineStr">
        <is>
          <t>Europe PMC</t>
        </is>
      </c>
      <c r="B46" s="2" t="n"/>
      <c r="C46" s="3" t="n">
        <v>0</v>
      </c>
      <c r="D46" s="2" t="inlineStr">
        <is>
          <t>Blank: zero under the agreed unavailable-data rule</t>
        </is>
      </c>
      <c r="E46" s="3" t="n"/>
      <c r="F46" s="3">
        <f>Verification!E46</f>
        <v>0</v>
      </c>
      <c r="G46" s="2" t="inlineStr">
        <is>
          <t>Use the override in Verification; this sheet mirrors the active score.</t>
        </is>
      </c>
    </row>
    <row r="47">
      <c r="A47" s="2" t="inlineStr">
        <is>
          <t>FAIR Wizard</t>
        </is>
      </c>
      <c r="B47" s="2" t="inlineStr">
        <is>
          <t>Codevence Solutions s.r.o.</t>
        </is>
      </c>
      <c r="C47" s="3" t="n">
        <v>50</v>
      </c>
      <c r="D47" s="2" t="inlineStr">
        <is>
          <t>Substantive affiliation or membership reported; level of operational support not established</t>
        </is>
      </c>
      <c r="E47" s="3" t="n"/>
      <c r="F47" s="3">
        <f>Verification!E47</f>
        <v>50</v>
      </c>
      <c r="G47" s="2" t="inlineStr">
        <is>
          <t>Use the override in Verification; this sheet mirrors the active score.</t>
        </is>
      </c>
    </row>
    <row r="48">
      <c r="A48" s="2" t="inlineStr">
        <is>
          <t>Fedora</t>
        </is>
      </c>
      <c r="B48" s="2" t="n"/>
      <c r="C48" s="3" t="n">
        <v>0</v>
      </c>
      <c r="D48" s="2" t="inlineStr">
        <is>
          <t>Blank: zero under the agreed unavailable-data rule</t>
        </is>
      </c>
      <c r="E48" s="3" t="n"/>
      <c r="F48" s="3">
        <f>Verification!E48</f>
        <v>0</v>
      </c>
      <c r="G48" s="2" t="inlineStr">
        <is>
          <t>Use the override in Verification; this sheet mirrors the active score.</t>
        </is>
      </c>
    </row>
    <row r="49">
      <c r="A49" s="2" t="inlineStr">
        <is>
          <t>fido</t>
        </is>
      </c>
      <c r="B49" s="2" t="inlineStr">
        <is>
          <t>Artefactual</t>
        </is>
      </c>
      <c r="C49" s="3" t="n">
        <v>50</v>
      </c>
      <c r="D49" s="2" t="inlineStr">
        <is>
          <t>Substantive affiliation or membership reported; level of operational support not established</t>
        </is>
      </c>
      <c r="E49" s="3" t="n"/>
      <c r="F49" s="3">
        <f>Verification!E49</f>
        <v>50</v>
      </c>
      <c r="G49" s="2" t="inlineStr">
        <is>
          <t>Use the override in Verification; this sheet mirrors the active score.</t>
        </is>
      </c>
    </row>
    <row r="50">
      <c r="A50" s="2" t="inlineStr">
        <is>
          <t>Fulcrum</t>
        </is>
      </c>
      <c r="B50" s="2" t="n"/>
      <c r="C50" s="3" t="n">
        <v>0</v>
      </c>
      <c r="D50" s="2" t="inlineStr">
        <is>
          <t>Blank: zero under the agreed unavailable-data rule</t>
        </is>
      </c>
      <c r="E50" s="3" t="n"/>
      <c r="F50" s="3">
        <f>Verification!E50</f>
        <v>0</v>
      </c>
      <c r="G50" s="2" t="inlineStr">
        <is>
          <t>Use the override in Verification; this sheet mirrors the active score.</t>
        </is>
      </c>
    </row>
    <row r="51">
      <c r="A51" s="2" t="inlineStr">
        <is>
          <t>Galaxy</t>
        </is>
      </c>
      <c r="B51" s="2" t="inlineStr">
        <is>
          <t>It's an open source project with many affiliations.</t>
        </is>
      </c>
      <c r="C51" s="3" t="n">
        <v>50</v>
      </c>
      <c r="D51" s="2" t="inlineStr">
        <is>
          <t>Substantive affiliation or membership reported; level of operational support not established</t>
        </is>
      </c>
      <c r="E51" s="3" t="n"/>
      <c r="F51" s="3">
        <f>Verification!E51</f>
        <v>50</v>
      </c>
      <c r="G51" s="2" t="inlineStr">
        <is>
          <t>Use the override in Verification; this sheet mirrors the active score.</t>
        </is>
      </c>
    </row>
    <row r="52">
      <c r="A52" s="2" t="inlineStr">
        <is>
          <t>GeoServer</t>
        </is>
      </c>
      <c r="B52" s="2" t="inlineStr">
        <is>
          <t>https://www.osgeo.org
https://www.geosolutionsgroup.com/
https://www.afrigis.co.za/
https://www.geocat.net/
https://camptocamp.com/</t>
        </is>
      </c>
      <c r="C52" s="3" t="n">
        <v>50</v>
      </c>
      <c r="D52" s="2" t="inlineStr">
        <is>
          <t>Substantive affiliation or membership reported; level of operational support not established</t>
        </is>
      </c>
      <c r="E52" s="3" t="n"/>
      <c r="F52" s="3">
        <f>Verification!E52</f>
        <v>50</v>
      </c>
      <c r="G52" s="2" t="inlineStr">
        <is>
          <t>Use the override in Verification; this sheet mirrors the active score.</t>
        </is>
      </c>
    </row>
    <row r="53">
      <c r="A53" s="2" t="inlineStr">
        <is>
          <t>Hyku</t>
        </is>
      </c>
      <c r="B53" s="2" t="n"/>
      <c r="C53" s="3" t="n">
        <v>0</v>
      </c>
      <c r="D53" s="2" t="inlineStr">
        <is>
          <t>Blank: zero under the agreed unavailable-data rule</t>
        </is>
      </c>
      <c r="E53" s="3" t="n"/>
      <c r="F53" s="3">
        <f>Verification!E53</f>
        <v>0</v>
      </c>
      <c r="G53" s="2" t="inlineStr">
        <is>
          <t>Use the override in Verification; this sheet mirrors the active score.</t>
        </is>
      </c>
    </row>
    <row r="54">
      <c r="A54" s="2" t="inlineStr">
        <is>
          <t>Hyrax</t>
        </is>
      </c>
      <c r="B54" s="2" t="inlineStr">
        <is>
          <t>No affiliations</t>
        </is>
      </c>
      <c r="C54" s="3" t="n">
        <v>0</v>
      </c>
      <c r="D54" s="2" t="inlineStr">
        <is>
          <t>Explicit absence or placeholder</t>
        </is>
      </c>
      <c r="E54" s="3" t="n"/>
      <c r="F54" s="3">
        <f>Verification!E54</f>
        <v>0</v>
      </c>
      <c r="G54" s="2" t="inlineStr">
        <is>
          <t>Use the override in Verification; this sheet mirrors the active score.</t>
        </is>
      </c>
    </row>
    <row r="55">
      <c r="A55" s="2" t="inlineStr">
        <is>
          <t>IIIF</t>
        </is>
      </c>
      <c r="B55" s="2" t="n"/>
      <c r="C55" s="3" t="n">
        <v>0</v>
      </c>
      <c r="D55" s="2" t="inlineStr">
        <is>
          <t>Blank: zero under the agreed unavailable-data rule</t>
        </is>
      </c>
      <c r="E55" s="3" t="n"/>
      <c r="F55" s="3">
        <f>Verification!E55</f>
        <v>0</v>
      </c>
      <c r="G55" s="2" t="inlineStr">
        <is>
          <t>Use the override in Verification; this sheet mirrors the active score.</t>
        </is>
      </c>
    </row>
    <row r="56">
      <c r="A56" s="2" t="inlineStr">
        <is>
          <t>ImpactU</t>
        </is>
      </c>
      <c r="B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C56" s="3" t="n">
        <v>50</v>
      </c>
      <c r="D56" s="2" t="inlineStr">
        <is>
          <t>Substantive affiliation or membership reported; level of operational support not established</t>
        </is>
      </c>
      <c r="E56" s="3" t="n"/>
      <c r="F56" s="3">
        <f>Verification!E56</f>
        <v>50</v>
      </c>
      <c r="G56" s="2" t="inlineStr">
        <is>
          <t>Use the override in Verification; this sheet mirrors the active score.</t>
        </is>
      </c>
    </row>
    <row r="57">
      <c r="A57" s="2" t="inlineStr">
        <is>
          <t>International Generic Sample Number (IGSN)</t>
        </is>
      </c>
      <c r="B57" s="2" t="inlineStr">
        <is>
          <t>DataCite e.V.
SESAR
GFZ Data Services
Kiel University IGSN Service
Lithodat Pty Ltd
Commonwealth Scientific and Industrial Research Organisation
Institut Français de Recherche pour l'Exploitation de la Mer</t>
        </is>
      </c>
      <c r="C57" s="3" t="n">
        <v>50</v>
      </c>
      <c r="D57" s="2" t="inlineStr">
        <is>
          <t>Substantive affiliation or membership reported; level of operational support not established</t>
        </is>
      </c>
      <c r="E57" s="3" t="n"/>
      <c r="F57" s="3">
        <f>Verification!E57</f>
        <v>50</v>
      </c>
      <c r="G57" s="2" t="inlineStr">
        <is>
          <t>Use the override in Verification; this sheet mirrors the active score.</t>
        </is>
      </c>
    </row>
    <row r="58">
      <c r="A58" s="2" t="inlineStr">
        <is>
          <t>InvenioRDM</t>
        </is>
      </c>
      <c r="B58" s="2" t="n"/>
      <c r="C58" s="3" t="n">
        <v>0</v>
      </c>
      <c r="D58" s="2" t="inlineStr">
        <is>
          <t>Blank: zero under the agreed unavailable-data rule</t>
        </is>
      </c>
      <c r="E58" s="3" t="n"/>
      <c r="F58" s="3">
        <f>Verification!E58</f>
        <v>0</v>
      </c>
      <c r="G58" s="2" t="inlineStr">
        <is>
          <t>Use the override in Verification; this sheet mirrors the active score.</t>
        </is>
      </c>
    </row>
    <row r="59">
      <c r="A59" s="2" t="inlineStr">
        <is>
          <t>iRODS</t>
        </is>
      </c>
      <c r="B59" s="2" t="inlineStr">
        <is>
          <t>Executive Board Members (Premier Level)</t>
        </is>
      </c>
      <c r="C59" s="3" t="n">
        <v>50</v>
      </c>
      <c r="D59" s="2" t="inlineStr">
        <is>
          <t>Substantive affiliation or membership reported; level of operational support not established</t>
        </is>
      </c>
      <c r="E59" s="3" t="n"/>
      <c r="F59" s="3">
        <f>Verification!E59</f>
        <v>50</v>
      </c>
      <c r="G59" s="2" t="inlineStr">
        <is>
          <t>Use the override in Verification; this sheet mirrors the active score.</t>
        </is>
      </c>
    </row>
    <row r="60">
      <c r="A60" s="2" t="inlineStr">
        <is>
          <t>Islandora</t>
        </is>
      </c>
      <c r="B60" s="2" t="n"/>
      <c r="C60" s="3" t="n">
        <v>0</v>
      </c>
      <c r="D60" s="2" t="inlineStr">
        <is>
          <t>Blank: zero under the agreed unavailable-data rule</t>
        </is>
      </c>
      <c r="E60" s="3" t="n"/>
      <c r="F60" s="3">
        <f>Verification!E60</f>
        <v>0</v>
      </c>
      <c r="G60" s="2" t="inlineStr">
        <is>
          <t>Use the override in Verification; this sheet mirrors the active score.</t>
        </is>
      </c>
    </row>
    <row r="61">
      <c r="A61" s="2" t="inlineStr">
        <is>
          <t>Janeway</t>
        </is>
      </c>
      <c r="B61" s="2" t="n"/>
      <c r="C61" s="3" t="n">
        <v>0</v>
      </c>
      <c r="D61" s="2" t="inlineStr">
        <is>
          <t>Blank: zero under the agreed unavailable-data rule</t>
        </is>
      </c>
      <c r="E61" s="3" t="n"/>
      <c r="F61" s="3">
        <f>Verification!E61</f>
        <v>0</v>
      </c>
      <c r="G61" s="2" t="inlineStr">
        <is>
          <t>Use the override in Verification; this sheet mirrors the active score.</t>
        </is>
      </c>
    </row>
    <row r="62">
      <c r="A62" s="2" t="inlineStr">
        <is>
          <t>JHOVE</t>
        </is>
      </c>
      <c r="B62" s="2" t="inlineStr">
        <is>
          <t>&lt;a href="https://openpreservation.org/membership/meet-our-members/" target="_blank"&gt;OPF Membership&lt;/a&gt;</t>
        </is>
      </c>
      <c r="C62" s="3" t="n">
        <v>50</v>
      </c>
      <c r="D62" s="2" t="inlineStr">
        <is>
          <t>Substantive affiliation or membership reported; level of operational support not established</t>
        </is>
      </c>
      <c r="E62" s="3" t="n"/>
      <c r="F62" s="3">
        <f>Verification!E62</f>
        <v>50</v>
      </c>
      <c r="G62" s="2" t="inlineStr">
        <is>
          <t>Use the override in Verification; this sheet mirrors the active score.</t>
        </is>
      </c>
    </row>
    <row r="63">
      <c r="A63" s="2" t="inlineStr">
        <is>
          <t>LA Referencia</t>
        </is>
      </c>
      <c r="B63" s="2" t="n"/>
      <c r="C63" s="3" t="n">
        <v>0</v>
      </c>
      <c r="D63" s="2" t="inlineStr">
        <is>
          <t>Blank: zero under the agreed unavailable-data rule</t>
        </is>
      </c>
      <c r="E63" s="3" t="n"/>
      <c r="F63" s="3">
        <f>Verification!E63</f>
        <v>0</v>
      </c>
      <c r="G63" s="2" t="inlineStr">
        <is>
          <t>Use the override in Verification; this sheet mirrors the active score.</t>
        </is>
      </c>
    </row>
    <row r="64">
      <c r="A64" s="2" t="inlineStr">
        <is>
          <t>Manifold</t>
        </is>
      </c>
      <c r="B64" s="2" t="n"/>
      <c r="C64" s="3" t="n">
        <v>0</v>
      </c>
      <c r="D64" s="2" t="inlineStr">
        <is>
          <t>Blank: zero under the agreed unavailable-data rule</t>
        </is>
      </c>
      <c r="E64" s="3" t="n"/>
      <c r="F64" s="3">
        <f>Verification!E64</f>
        <v>0</v>
      </c>
      <c r="G64" s="2" t="inlineStr">
        <is>
          <t>Use the override in Verification; this sheet mirrors the active score.</t>
        </is>
      </c>
    </row>
    <row r="65">
      <c r="A65" s="2" t="inlineStr">
        <is>
          <t>medRxiv</t>
        </is>
      </c>
      <c r="B65" s="2" t="n"/>
      <c r="C65" s="3" t="n">
        <v>0</v>
      </c>
      <c r="D65" s="2" t="inlineStr">
        <is>
          <t>Blank: zero under the agreed unavailable-data rule</t>
        </is>
      </c>
      <c r="E65" s="3" t="n"/>
      <c r="F65" s="3">
        <f>Verification!E65</f>
        <v>0</v>
      </c>
      <c r="G65" s="2" t="inlineStr">
        <is>
          <t>Use the override in Verification; this sheet mirrors the active score.</t>
        </is>
      </c>
    </row>
    <row r="66">
      <c r="A66" s="2" t="inlineStr">
        <is>
          <t>Metadata Encoding and Transmission Standard (METS)</t>
        </is>
      </c>
      <c r="B66" s="2" t="inlineStr">
        <is>
          <t>Library of Congress provides hosting support for the METS schema; the METS editorial board functions as an independent community group.</t>
        </is>
      </c>
      <c r="C66" s="3" t="n">
        <v>50</v>
      </c>
      <c r="D66" s="2" t="inlineStr">
        <is>
          <t>Substantive affiliation or membership reported; level of operational support not established</t>
        </is>
      </c>
      <c r="E66" s="3" t="n"/>
      <c r="F66" s="3">
        <f>Verification!E66</f>
        <v>50</v>
      </c>
      <c r="G66" s="2" t="inlineStr">
        <is>
          <t>Use the override in Verification; this sheet mirrors the active score.</t>
        </is>
      </c>
    </row>
    <row r="67">
      <c r="A67" s="2" t="inlineStr">
        <is>
          <t>Mirador</t>
        </is>
      </c>
      <c r="B67" s="2" t="n"/>
      <c r="C67" s="3" t="n">
        <v>0</v>
      </c>
      <c r="D67" s="2" t="inlineStr">
        <is>
          <t>Blank: zero under the agreed unavailable-data rule</t>
        </is>
      </c>
      <c r="E67" s="3" t="n"/>
      <c r="F67" s="3">
        <f>Verification!E67</f>
        <v>0</v>
      </c>
      <c r="G67" s="2" t="inlineStr">
        <is>
          <t>Use the override in Verification; this sheet mirrors the active score.</t>
        </is>
      </c>
    </row>
    <row r="68">
      <c r="A68" s="2" t="inlineStr">
        <is>
          <t>Mukurtu CMS</t>
        </is>
      </c>
      <c r="B68" s="2" t="n"/>
      <c r="C68" s="3" t="n">
        <v>0</v>
      </c>
      <c r="D68" s="2" t="inlineStr">
        <is>
          <t>Blank: zero under the agreed unavailable-data rule</t>
        </is>
      </c>
      <c r="E68" s="3" t="n"/>
      <c r="F68" s="3">
        <f>Verification!E68</f>
        <v>0</v>
      </c>
      <c r="G68" s="2" t="inlineStr">
        <is>
          <t>Use the override in Verification; this sheet mirrors the active score.</t>
        </is>
      </c>
    </row>
    <row r="69">
      <c r="A69" s="2" t="inlineStr">
        <is>
          <t>MyCoRe</t>
        </is>
      </c>
      <c r="B69" s="2" t="inlineStr">
        <is>
          <t xml:space="preserve"> Regional Computer Center, Hamburg University</t>
        </is>
      </c>
      <c r="C69" s="3" t="n">
        <v>50</v>
      </c>
      <c r="D69" s="2" t="inlineStr">
        <is>
          <t>Substantive affiliation or membership reported; level of operational support not established</t>
        </is>
      </c>
      <c r="E69" s="3" t="n"/>
      <c r="F69" s="3">
        <f>Verification!E69</f>
        <v>50</v>
      </c>
      <c r="G69" s="2" t="inlineStr">
        <is>
          <t>Use the override in Verification; this sheet mirrors the active score.</t>
        </is>
      </c>
    </row>
    <row r="70">
      <c r="A70" s="2" t="inlineStr">
        <is>
          <t>NumPy</t>
        </is>
      </c>
      <c r="B70" s="2" t="inlineStr">
        <is>
          <t>NumFOCUS; UC Berkeley; Quansight; NVIDIA</t>
        </is>
      </c>
      <c r="C70" s="3" t="n">
        <v>50</v>
      </c>
      <c r="D70" s="2" t="inlineStr">
        <is>
          <t>Substantive affiliation or membership reported; level of operational support not established</t>
        </is>
      </c>
      <c r="E70" s="3" t="n"/>
      <c r="F70" s="3">
        <f>Verification!E70</f>
        <v>50</v>
      </c>
      <c r="G70" s="2" t="inlineStr">
        <is>
          <t>Use the override in Verification; this sheet mirrors the active score.</t>
        </is>
      </c>
    </row>
    <row r="71">
      <c r="A71" s="2" t="inlineStr">
        <is>
          <t>OA.Report</t>
        </is>
      </c>
      <c r="B71" s="2" t="inlineStr">
        <is>
          <t>Code for Science &amp; Society (fiscal sponsor of OA.Works)</t>
        </is>
      </c>
      <c r="C71" s="3" t="n">
        <v>100</v>
      </c>
      <c r="D71" s="2" t="inlineStr">
        <is>
          <t>Explicit host or operational/financial support language</t>
        </is>
      </c>
      <c r="E71" s="3" t="n"/>
      <c r="F71" s="3">
        <f>Verification!E71</f>
        <v>100</v>
      </c>
      <c r="G71" s="2" t="inlineStr">
        <is>
          <t>Use the override in Verification; this sheet mirrors the active score.</t>
        </is>
      </c>
    </row>
    <row r="72">
      <c r="A72" s="2" t="inlineStr">
        <is>
          <t>OA Switchboard</t>
        </is>
      </c>
      <c r="B72" s="2" t="n"/>
      <c r="C72" s="3" t="n">
        <v>0</v>
      </c>
      <c r="D72" s="2" t="inlineStr">
        <is>
          <t>Blank: zero under the agreed unavailable-data rule</t>
        </is>
      </c>
      <c r="E72" s="3" t="n"/>
      <c r="F72" s="3">
        <f>Verification!E72</f>
        <v>0</v>
      </c>
      <c r="G72" s="2" t="inlineStr">
        <is>
          <t>Use the override in Verification; this sheet mirrors the active score.</t>
        </is>
      </c>
    </row>
    <row r="73">
      <c r="A73" s="2" t="inlineStr">
        <is>
          <t>Omeka</t>
        </is>
      </c>
      <c r="B73" s="2" t="n"/>
      <c r="C73" s="3" t="n">
        <v>0</v>
      </c>
      <c r="D73" s="2" t="inlineStr">
        <is>
          <t>Blank: zero under the agreed unavailable-data rule</t>
        </is>
      </c>
      <c r="E73" s="3" t="n"/>
      <c r="F73" s="3">
        <f>Verification!E73</f>
        <v>0</v>
      </c>
      <c r="G73" s="2" t="inlineStr">
        <is>
          <t>Use the override in Verification; this sheet mirrors the active score.</t>
        </is>
      </c>
    </row>
    <row r="74">
      <c r="A74" s="2" t="inlineStr">
        <is>
          <t>OpenAIRE Graph</t>
        </is>
      </c>
      <c r="B74" s="2" t="inlineStr">
        <is>
          <t>Athena Research Centre (ARC)
The National Research Council of Italy Institute of Information Science and Technologies (ISTI-CNR)
Interdisciplinary Centre for Mathematical and Computational Modelling at University of Warsaw (ICM)</t>
        </is>
      </c>
      <c r="C74" s="3" t="n">
        <v>50</v>
      </c>
      <c r="D74" s="2" t="inlineStr">
        <is>
          <t>Substantive affiliation or membership reported; level of operational support not established</t>
        </is>
      </c>
      <c r="E74" s="3" t="n"/>
      <c r="F74" s="3">
        <f>Verification!E74</f>
        <v>50</v>
      </c>
      <c r="G74" s="2" t="inlineStr">
        <is>
          <t>Use the override in Verification; this sheet mirrors the active score.</t>
        </is>
      </c>
    </row>
    <row r="75">
      <c r="A75" s="2" t="inlineStr">
        <is>
          <t>OpenAlex</t>
        </is>
      </c>
      <c r="B75" s="2" t="n"/>
      <c r="C75" s="3" t="n">
        <v>0</v>
      </c>
      <c r="D75" s="2" t="inlineStr">
        <is>
          <t>Blank: zero under the agreed unavailable-data rule</t>
        </is>
      </c>
      <c r="E75" s="3" t="n"/>
      <c r="F75" s="3">
        <f>Verification!E75</f>
        <v>0</v>
      </c>
      <c r="G75" s="2" t="inlineStr">
        <is>
          <t>Use the override in Verification; this sheet mirrors the active score.</t>
        </is>
      </c>
    </row>
    <row r="76">
      <c r="A76" s="2" t="inlineStr">
        <is>
          <t>OpenAPC</t>
        </is>
      </c>
      <c r="B76" s="2" t="inlineStr">
        <is>
          <t>OpenAPC is located at Bielefeld University Library. The project was set up in collaboration with the DINI working group Electronic Publishing. Since 2021 it is part of OpenAIRE Nexus.</t>
        </is>
      </c>
      <c r="C76" s="3" t="n">
        <v>50</v>
      </c>
      <c r="D76" s="2" t="inlineStr">
        <is>
          <t>Substantive affiliation or membership reported; level of operational support not established</t>
        </is>
      </c>
      <c r="E76" s="3" t="n"/>
      <c r="F76" s="3">
        <f>Verification!E76</f>
        <v>50</v>
      </c>
      <c r="G76" s="2" t="inlineStr">
        <is>
          <t>Use the override in Verification; this sheet mirrors the active score.</t>
        </is>
      </c>
    </row>
    <row r="77">
      <c r="A77" s="2" t="inlineStr">
        <is>
          <t>OpenCitations</t>
        </is>
      </c>
      <c r="B77" s="2" t="inlineStr">
        <is>
          <t xml:space="preserve">Research Centre for Open Scholarly Metadata, University of Bologna 
</t>
        </is>
      </c>
      <c r="C77" s="3" t="n">
        <v>50</v>
      </c>
      <c r="D77" s="2" t="inlineStr">
        <is>
          <t>Substantive affiliation or membership reported; level of operational support not established</t>
        </is>
      </c>
      <c r="E77" s="3" t="n"/>
      <c r="F77" s="3">
        <f>Verification!E77</f>
        <v>50</v>
      </c>
      <c r="G77" s="2" t="inlineStr">
        <is>
          <t>Use the override in Verification; this sheet mirrors the active score.</t>
        </is>
      </c>
    </row>
    <row r="78">
      <c r="A78" s="2" t="inlineStr">
        <is>
          <t>openCost</t>
        </is>
      </c>
      <c r="B78" s="2" t="inlineStr">
        <is>
          <t>Bielefeld University Library, the German Electron Synchrotron DESY (Hamburg) and University Library of Regensburg</t>
        </is>
      </c>
      <c r="C78" s="3" t="n">
        <v>50</v>
      </c>
      <c r="D78" s="2" t="inlineStr">
        <is>
          <t>Substantive affiliation or membership reported; level of operational support not established</t>
        </is>
      </c>
      <c r="E78" s="3" t="n"/>
      <c r="F78" s="3">
        <f>Verification!E78</f>
        <v>50</v>
      </c>
      <c r="G78" s="2" t="inlineStr">
        <is>
          <t>Use the override in Verification; this sheet mirrors the active score.</t>
        </is>
      </c>
    </row>
    <row r="79">
      <c r="A79" s="2" t="inlineStr">
        <is>
          <t>Open Data Editor</t>
        </is>
      </c>
      <c r="B79" s="2" t="inlineStr">
        <is>
          <t>Digital Public Goods Alliance, Open Knowledge Brazil, Open Knowledge Nepal, Escuela de Datos help disseminate the tool.</t>
        </is>
      </c>
      <c r="C79" s="3" t="n">
        <v>50</v>
      </c>
      <c r="D79" s="2" t="inlineStr">
        <is>
          <t>Substantive affiliation or membership reported; level of operational support not established</t>
        </is>
      </c>
      <c r="E79" s="3" t="n"/>
      <c r="F79" s="3">
        <f>Verification!E79</f>
        <v>50</v>
      </c>
      <c r="G79" s="2" t="inlineStr">
        <is>
          <t>Use the override in Verification; this sheet mirrors the active score.</t>
        </is>
      </c>
    </row>
    <row r="80">
      <c r="A80" s="2" t="inlineStr">
        <is>
          <t>OpenEdition</t>
        </is>
      </c>
      <c r="B80" s="2" t="n"/>
      <c r="C80" s="3" t="n">
        <v>0</v>
      </c>
      <c r="D80" s="2" t="inlineStr">
        <is>
          <t>Blank: zero under the agreed unavailable-data rule</t>
        </is>
      </c>
      <c r="E80" s="3" t="n"/>
      <c r="F80" s="3">
        <f>Verification!E80</f>
        <v>0</v>
      </c>
      <c r="G80" s="2" t="inlineStr">
        <is>
          <t>Use the override in Verification; this sheet mirrors the active score.</t>
        </is>
      </c>
    </row>
    <row r="81">
      <c r="A81" s="2" t="inlineStr">
        <is>
          <t>Open Journal Systems (OJS)</t>
        </is>
      </c>
      <c r="B81" s="2" t="n"/>
      <c r="C81" s="3" t="n">
        <v>0</v>
      </c>
      <c r="D81" s="2" t="inlineStr">
        <is>
          <t>Blank: zero under the agreed unavailable-data rule</t>
        </is>
      </c>
      <c r="E81" s="3" t="n"/>
      <c r="F81" s="3">
        <f>Verification!E81</f>
        <v>0</v>
      </c>
      <c r="G81" s="2" t="inlineStr">
        <is>
          <t>Use the override in Verification; this sheet mirrors the active score.</t>
        </is>
      </c>
    </row>
    <row r="82">
      <c r="A82" s="2" t="inlineStr">
        <is>
          <t>Open Monograph Press (OMP)</t>
        </is>
      </c>
      <c r="B82" s="2" t="n"/>
      <c r="C82" s="3" t="n">
        <v>0</v>
      </c>
      <c r="D82" s="2" t="inlineStr">
        <is>
          <t>Blank: zero under the agreed unavailable-data rule</t>
        </is>
      </c>
      <c r="E82" s="3" t="n"/>
      <c r="F82" s="3">
        <f>Verification!E82</f>
        <v>0</v>
      </c>
      <c r="G82" s="2" t="inlineStr">
        <is>
          <t>Use the override in Verification; this sheet mirrors the active score.</t>
        </is>
      </c>
    </row>
    <row r="83">
      <c r="A83" s="2" t="inlineStr">
        <is>
          <t>Open Preprint Systems (OPS)</t>
        </is>
      </c>
      <c r="B83" s="2" t="n"/>
      <c r="C83" s="3" t="n">
        <v>0</v>
      </c>
      <c r="D83" s="2" t="inlineStr">
        <is>
          <t>Blank: zero under the agreed unavailable-data rule</t>
        </is>
      </c>
      <c r="E83" s="3" t="n"/>
      <c r="F83" s="3">
        <f>Verification!E83</f>
        <v>0</v>
      </c>
      <c r="G83" s="2" t="inlineStr">
        <is>
          <t>Use the override in Verification; this sheet mirrors the active score.</t>
        </is>
      </c>
    </row>
    <row r="84">
      <c r="A84" s="2" t="inlineStr">
        <is>
          <t>Openverse</t>
        </is>
      </c>
      <c r="B84" s="2" t="inlineStr">
        <is>
          <t>Openverse is part of the WordPress open source project: https://wordpress.org/</t>
        </is>
      </c>
      <c r="C84" s="3" t="n">
        <v>50</v>
      </c>
      <c r="D84" s="2" t="inlineStr">
        <is>
          <t>Substantive affiliation or membership reported; level of operational support not established</t>
        </is>
      </c>
      <c r="E84" s="3" t="n"/>
      <c r="F84" s="3">
        <f>Verification!E84</f>
        <v>50</v>
      </c>
      <c r="G84" s="2" t="inlineStr">
        <is>
          <t>Use the override in Verification; this sheet mirrors the active score.</t>
        </is>
      </c>
    </row>
    <row r="85">
      <c r="A85" s="2" t="inlineStr">
        <is>
          <t>O Portal Brasileiro de Publicações e Dados Científicos em Acesso Aberto (The Brazilian Open Access Publications and Scientific Data Portal) (Oasisbr)</t>
        </is>
      </c>
      <c r="B85" s="2" t="n"/>
      <c r="C85" s="3" t="n">
        <v>0</v>
      </c>
      <c r="D85" s="2" t="inlineStr">
        <is>
          <t>Blank: zero under the agreed unavailable-data rule</t>
        </is>
      </c>
      <c r="E85" s="3" t="n"/>
      <c r="F85" s="3">
        <f>Verification!E85</f>
        <v>0</v>
      </c>
      <c r="G85" s="2" t="inlineStr">
        <is>
          <t>Use the override in Verification; this sheet mirrors the active score.</t>
        </is>
      </c>
    </row>
    <row r="86">
      <c r="A86" s="2" t="inlineStr">
        <is>
          <t>OSF (Open Science Framework)</t>
        </is>
      </c>
      <c r="B86" s="2" t="n"/>
      <c r="C86" s="3" t="n">
        <v>0</v>
      </c>
      <c r="D86" s="2" t="inlineStr">
        <is>
          <t>Blank: zero under the agreed unavailable-data rule</t>
        </is>
      </c>
      <c r="E86" s="3" t="n"/>
      <c r="F86" s="3">
        <f>Verification!E86</f>
        <v>0</v>
      </c>
      <c r="G86" s="2" t="inlineStr">
        <is>
          <t>Use the override in Verification; this sheet mirrors the active score.</t>
        </is>
      </c>
    </row>
    <row r="87">
      <c r="A87" s="2" t="inlineStr">
        <is>
          <t>Oxford Common File Layout</t>
        </is>
      </c>
      <c r="B87" s="2" t="n"/>
      <c r="C87" s="3" t="n">
        <v>0</v>
      </c>
      <c r="D87" s="2" t="inlineStr">
        <is>
          <t>Blank: zero under the agreed unavailable-data rule</t>
        </is>
      </c>
      <c r="E87" s="3" t="n"/>
      <c r="F87" s="3">
        <f>Verification!E87</f>
        <v>0</v>
      </c>
      <c r="G87" s="2" t="inlineStr">
        <is>
          <t>Use the override in Verification; this sheet mirrors the active score.</t>
        </is>
      </c>
    </row>
    <row r="88">
      <c r="A88" s="2" t="inlineStr">
        <is>
          <t>Peer Community In</t>
        </is>
      </c>
      <c r="B88" s="2" t="n"/>
      <c r="C88" s="3" t="n">
        <v>0</v>
      </c>
      <c r="D88" s="2" t="inlineStr">
        <is>
          <t>Blank: zero under the agreed unavailable-data rule</t>
        </is>
      </c>
      <c r="E88" s="3" t="n"/>
      <c r="F88" s="3">
        <f>Verification!E88</f>
        <v>0</v>
      </c>
      <c r="G88" s="2" t="inlineStr">
        <is>
          <t>Use the override in Verification; this sheet mirrors the active score.</t>
        </is>
      </c>
    </row>
    <row r="89">
      <c r="A89" s="2" t="inlineStr">
        <is>
          <t>PKP Preservation Network</t>
        </is>
      </c>
      <c r="B89" s="2" t="inlineStr">
        <is>
          <t>See OJS for affiliations.</t>
        </is>
      </c>
      <c r="C89" s="3" t="n">
        <v>50</v>
      </c>
      <c r="D89" s="2" t="inlineStr">
        <is>
          <t>Substantive affiliation or membership reported; level of operational support not established</t>
        </is>
      </c>
      <c r="E89" s="3" t="n"/>
      <c r="F89" s="3">
        <f>Verification!E89</f>
        <v>50</v>
      </c>
      <c r="G89" s="2" t="inlineStr">
        <is>
          <t>Use the override in Verification; this sheet mirrors the active score.</t>
        </is>
      </c>
    </row>
    <row r="90">
      <c r="A90" s="2" t="inlineStr">
        <is>
          <t>PREreview</t>
        </is>
      </c>
      <c r="B90" s="2" t="n"/>
      <c r="C90" s="3" t="n">
        <v>0</v>
      </c>
      <c r="D90" s="2" t="inlineStr">
        <is>
          <t>Blank: zero under the agreed unavailable-data rule</t>
        </is>
      </c>
      <c r="E90" s="3" t="n"/>
      <c r="F90" s="3">
        <f>Verification!E90</f>
        <v>0</v>
      </c>
      <c r="G90" s="2" t="inlineStr">
        <is>
          <t>Use the override in Verification; this sheet mirrors the active score.</t>
        </is>
      </c>
    </row>
    <row r="91">
      <c r="A91" s="2" t="inlineStr">
        <is>
          <t>Pressbooks</t>
        </is>
      </c>
      <c r="B91" s="2" t="n"/>
      <c r="C91" s="3" t="n">
        <v>0</v>
      </c>
      <c r="D91" s="2" t="inlineStr">
        <is>
          <t>Blank: zero under the agreed unavailable-data rule</t>
        </is>
      </c>
      <c r="E91" s="3" t="n"/>
      <c r="F91" s="3">
        <f>Verification!E91</f>
        <v>0</v>
      </c>
      <c r="G91" s="2" t="inlineStr">
        <is>
          <t>Use the override in Verification; this sheet mirrors the active score.</t>
        </is>
      </c>
    </row>
    <row r="92">
      <c r="A92" s="2" t="inlineStr">
        <is>
          <t>Public Access Submission System</t>
        </is>
      </c>
      <c r="B92" s="2" t="n"/>
      <c r="C92" s="3" t="n">
        <v>0</v>
      </c>
      <c r="D92" s="2" t="inlineStr">
        <is>
          <t>Blank: zero under the agreed unavailable-data rule</t>
        </is>
      </c>
      <c r="E92" s="3" t="n"/>
      <c r="F92" s="3">
        <f>Verification!E92</f>
        <v>0</v>
      </c>
      <c r="G92" s="2" t="inlineStr">
        <is>
          <t>Use the override in Verification; this sheet mirrors the active score.</t>
        </is>
      </c>
    </row>
    <row r="93">
      <c r="A93" s="2" t="inlineStr">
        <is>
          <t>Public Utility Data Liberation (PUDL)</t>
        </is>
      </c>
      <c r="B93" s="2" t="inlineStr">
        <is>
          <t>RMI
GridLab</t>
        </is>
      </c>
      <c r="C93" s="3" t="n">
        <v>50</v>
      </c>
      <c r="D93" s="2" t="inlineStr">
        <is>
          <t>Substantive affiliation or membership reported; level of operational support not established</t>
        </is>
      </c>
      <c r="E93" s="3" t="n"/>
      <c r="F93" s="3">
        <f>Verification!E93</f>
        <v>50</v>
      </c>
      <c r="G93" s="2" t="inlineStr">
        <is>
          <t>Use the override in Verification; this sheet mirrors the active score.</t>
        </is>
      </c>
    </row>
    <row r="94">
      <c r="A94" s="2" t="inlineStr">
        <is>
          <t>PubPub</t>
        </is>
      </c>
      <c r="B94" s="2" t="n"/>
      <c r="C94" s="3" t="n">
        <v>0</v>
      </c>
      <c r="D94" s="2" t="inlineStr">
        <is>
          <t>Blank: zero under the agreed unavailable-data rule</t>
        </is>
      </c>
      <c r="E94" s="3" t="n"/>
      <c r="F94" s="3">
        <f>Verification!E94</f>
        <v>0</v>
      </c>
      <c r="G94" s="2" t="inlineStr">
        <is>
          <t>Use the override in Verification; this sheet mirrors the active score.</t>
        </is>
      </c>
    </row>
    <row r="95">
      <c r="A95" s="2" t="inlineStr">
        <is>
          <t>Pundit</t>
        </is>
      </c>
      <c r="B95" s="2" t="inlineStr">
        <is>
          <t>No affiliations</t>
        </is>
      </c>
      <c r="C95" s="3" t="n">
        <v>0</v>
      </c>
      <c r="D95" s="2" t="inlineStr">
        <is>
          <t>Explicit absence or placeholder</t>
        </is>
      </c>
      <c r="E95" s="3" t="n"/>
      <c r="F95" s="3">
        <f>Verification!E95</f>
        <v>0</v>
      </c>
      <c r="G95" s="2" t="inlineStr">
        <is>
          <t>Use the override in Verification; this sheet mirrors the active score.</t>
        </is>
      </c>
    </row>
    <row r="96">
      <c r="A96" s="2" t="inlineStr">
        <is>
          <t>pyOpenSci</t>
        </is>
      </c>
      <c r="B96" s="2" t="inlineStr">
        <is>
          <t>Community Initiatives is our Fiscal sponsor</t>
        </is>
      </c>
      <c r="C96" s="3" t="n">
        <v>100</v>
      </c>
      <c r="D96" s="2" t="inlineStr">
        <is>
          <t>Explicit host or operational/financial support language</t>
        </is>
      </c>
      <c r="E96" s="3" t="n"/>
      <c r="F96" s="3">
        <f>Verification!E96</f>
        <v>100</v>
      </c>
      <c r="G96" s="2" t="inlineStr">
        <is>
          <t>Use the override in Verification; this sheet mirrors the active score.</t>
        </is>
      </c>
    </row>
    <row r="97">
      <c r="A97" s="2" t="inlineStr">
        <is>
          <t>Renku</t>
        </is>
      </c>
      <c r="B97" s="2" t="inlineStr">
        <is>
          <t>The Renku platform at renkulab.io (“Renku”) is managed jointly by the Ecole Polytechnique Fédérale de Lausanne (« EPFL ») and the Eidgenössische Technische Hochschule Zürich (« ETHZ »), Rämistrasse 101, 8092 Zürich, Switzerland.</t>
        </is>
      </c>
      <c r="C97" s="3" t="n">
        <v>50</v>
      </c>
      <c r="D97" s="2" t="inlineStr">
        <is>
          <t>Substantive affiliation or membership reported; level of operational support not established</t>
        </is>
      </c>
      <c r="E97" s="3" t="n"/>
      <c r="F97" s="3">
        <f>Verification!E97</f>
        <v>50</v>
      </c>
      <c r="G97" s="2" t="inlineStr">
        <is>
          <t>Use the override in Verification; this sheet mirrors the active score.</t>
        </is>
      </c>
    </row>
    <row r="98">
      <c r="A98" s="2" t="inlineStr">
        <is>
          <t>RePEc</t>
        </is>
      </c>
      <c r="B98" s="2" t="inlineStr">
        <is>
          <t>Since 2010‒10‒01, RePEc has been an independent project of the Open Library Society.</t>
        </is>
      </c>
      <c r="C98" s="3" t="n">
        <v>50</v>
      </c>
      <c r="D98" s="2" t="inlineStr">
        <is>
          <t>Substantive affiliation or membership reported; level of operational support not established</t>
        </is>
      </c>
      <c r="E98" s="3" t="n"/>
      <c r="F98" s="3">
        <f>Verification!E98</f>
        <v>50</v>
      </c>
      <c r="G98" s="2" t="inlineStr">
        <is>
          <t>Use the override in Verification; this sheet mirrors the active score.</t>
        </is>
      </c>
    </row>
    <row r="99">
      <c r="A99" s="2" t="inlineStr">
        <is>
          <t>Research Organization Registry (ROR)</t>
        </is>
      </c>
      <c r="B99" s="2" t="n"/>
      <c r="C99" s="3" t="n">
        <v>0</v>
      </c>
      <c r="D99" s="2" t="inlineStr">
        <is>
          <t>Blank: zero under the agreed unavailable-data rule</t>
        </is>
      </c>
      <c r="E99" s="3" t="n"/>
      <c r="F99" s="3">
        <f>Verification!E99</f>
        <v>0</v>
      </c>
      <c r="G99" s="2" t="inlineStr">
        <is>
          <t>Use the override in Verification; this sheet mirrors the active score.</t>
        </is>
      </c>
    </row>
    <row r="100">
      <c r="A100" s="2" t="inlineStr">
        <is>
          <t>Rogue Scholar</t>
        </is>
      </c>
      <c r="B100" s="2" t="n"/>
      <c r="C100" s="3" t="n">
        <v>0</v>
      </c>
      <c r="D100" s="2" t="inlineStr">
        <is>
          <t>Blank: zero under the agreed unavailable-data rule</t>
        </is>
      </c>
      <c r="E100" s="3" t="n"/>
      <c r="F100" s="3">
        <f>Verification!E100</f>
        <v>0</v>
      </c>
      <c r="G100" s="2" t="inlineStr">
        <is>
          <t>Use the override in Verification; this sheet mirrors the active score.</t>
        </is>
      </c>
    </row>
    <row r="101">
      <c r="A101" s="2" t="inlineStr">
        <is>
          <t>RSpace</t>
        </is>
      </c>
      <c r="B101" s="2" t="inlineStr">
        <is>
          <t>No affiliations</t>
        </is>
      </c>
      <c r="C101" s="3" t="n">
        <v>0</v>
      </c>
      <c r="D101" s="2" t="inlineStr">
        <is>
          <t>Explicit absence or placeholder</t>
        </is>
      </c>
      <c r="E101" s="3" t="n"/>
      <c r="F101" s="3">
        <f>Verification!E101</f>
        <v>0</v>
      </c>
      <c r="G101" s="2" t="inlineStr">
        <is>
          <t>Use the override in Verification; this sheet mirrors the active score.</t>
        </is>
      </c>
    </row>
    <row r="102">
      <c r="A102" s="2" t="inlineStr">
        <is>
          <t>Sciety</t>
        </is>
      </c>
      <c r="B102" s="2" t="inlineStr">
        <is>
          <t>Howard Hughes Medical Institute, Wellcome Trust</t>
        </is>
      </c>
      <c r="C102" s="3" t="n">
        <v>50</v>
      </c>
      <c r="D102" s="2" t="inlineStr">
        <is>
          <t>Substantive affiliation or membership reported; level of operational support not established</t>
        </is>
      </c>
      <c r="E102" s="3" t="n"/>
      <c r="F102" s="3">
        <f>Verification!E102</f>
        <v>50</v>
      </c>
      <c r="G102" s="2" t="inlineStr">
        <is>
          <t>Use the override in Verification; this sheet mirrors the active score.</t>
        </is>
      </c>
    </row>
    <row r="103">
      <c r="A103" s="2" t="inlineStr">
        <is>
          <t>Synapse</t>
        </is>
      </c>
      <c r="B103" s="2" t="inlineStr">
        <is>
          <t>No Affiliations</t>
        </is>
      </c>
      <c r="C103" s="3" t="n">
        <v>0</v>
      </c>
      <c r="D103" s="2" t="inlineStr">
        <is>
          <t>Explicit absence or placeholder</t>
        </is>
      </c>
      <c r="E103" s="3" t="n"/>
      <c r="F103" s="3">
        <f>Verification!E103</f>
        <v>0</v>
      </c>
      <c r="G103" s="2" t="inlineStr">
        <is>
          <t>Use the override in Verification; this sheet mirrors the active score.</t>
        </is>
      </c>
    </row>
    <row r="104">
      <c r="A104" s="2" t="inlineStr">
        <is>
          <t>TagTeam</t>
        </is>
      </c>
      <c r="B104" s="2" t="inlineStr">
        <is>
          <t xml:space="preserve">Berkman Klein Center for Internet &amp; Society </t>
        </is>
      </c>
      <c r="C104" s="3" t="n">
        <v>50</v>
      </c>
      <c r="D104" s="2" t="inlineStr">
        <is>
          <t>Substantive affiliation or membership reported; level of operational support not established</t>
        </is>
      </c>
      <c r="E104" s="3" t="n"/>
      <c r="F104" s="3">
        <f>Verification!E104</f>
        <v>50</v>
      </c>
      <c r="G104" s="2" t="inlineStr">
        <is>
          <t>Use the override in Verification; this sheet mirrors the active score.</t>
        </is>
      </c>
    </row>
    <row r="105">
      <c r="A105" s="2" t="inlineStr">
        <is>
          <t>Thoth Open Metadata</t>
        </is>
      </c>
      <c r="B105" s="2" t="inlineStr">
        <is>
          <t>Community-led Open Publication Infrastructures for Monographs (COPIM)
Copim Open Book Futures
Open Book Collective</t>
        </is>
      </c>
      <c r="C105" s="3" t="n">
        <v>50</v>
      </c>
      <c r="D105" s="2" t="inlineStr">
        <is>
          <t>Substantive affiliation or membership reported; level of operational support not established</t>
        </is>
      </c>
      <c r="E105" s="3" t="n"/>
      <c r="F105" s="3">
        <f>Verification!E105</f>
        <v>50</v>
      </c>
      <c r="G105" s="2" t="inlineStr">
        <is>
          <t>Use the override in Verification; this sheet mirrors the active score.</t>
        </is>
      </c>
    </row>
    <row r="106">
      <c r="A106" s="2" t="inlineStr">
        <is>
          <t>Tropy</t>
        </is>
      </c>
      <c r="B106" s="2" t="inlineStr">
        <is>
          <t>None.</t>
        </is>
      </c>
      <c r="C106" s="3" t="n">
        <v>0</v>
      </c>
      <c r="D106" s="2" t="inlineStr">
        <is>
          <t>Explicit absence or placeholder</t>
        </is>
      </c>
      <c r="E106" s="3" t="n"/>
      <c r="F106" s="3">
        <f>Verification!E106</f>
        <v>0</v>
      </c>
      <c r="G106" s="2" t="inlineStr">
        <is>
          <t>Use the override in Verification; this sheet mirrors the active score.</t>
        </is>
      </c>
    </row>
    <row r="107">
      <c r="A107" s="2" t="inlineStr">
        <is>
          <t>veraPDF</t>
        </is>
      </c>
      <c r="B107" s="2" t="inlineStr">
        <is>
          <t>Open Preservation Foundation
PDF Association
Dual Labs</t>
        </is>
      </c>
      <c r="C107" s="3" t="n">
        <v>50</v>
      </c>
      <c r="D107" s="2" t="inlineStr">
        <is>
          <t>Substantive affiliation or membership reported; level of operational support not established</t>
        </is>
      </c>
      <c r="E107" s="3" t="n"/>
      <c r="F107" s="3">
        <f>Verification!E107</f>
        <v>50</v>
      </c>
      <c r="G107" s="2" t="inlineStr">
        <is>
          <t>Use the override in Verification; this sheet mirrors the active score.</t>
        </is>
      </c>
    </row>
    <row r="108">
      <c r="A108" s="2" t="inlineStr">
        <is>
          <t>ViPER</t>
        </is>
      </c>
      <c r="B108" s="2" t="inlineStr">
        <is>
          <t>Artefactual</t>
        </is>
      </c>
      <c r="C108" s="3" t="n">
        <v>50</v>
      </c>
      <c r="D108" s="2" t="inlineStr">
        <is>
          <t>Substantive affiliation or membership reported; level of operational support not established</t>
        </is>
      </c>
      <c r="E108" s="3" t="n"/>
      <c r="F108" s="3">
        <f>Verification!E108</f>
        <v>50</v>
      </c>
      <c r="G108" s="2" t="inlineStr">
        <is>
          <t>Use the override in Verification; this sheet mirrors the active score.</t>
        </is>
      </c>
    </row>
    <row r="109">
      <c r="A109" s="2" t="inlineStr">
        <is>
          <t>Vireo ETD</t>
        </is>
      </c>
      <c r="B109" s="2" t="inlineStr">
        <is>
          <t>Texas Digital Library
Vireo User Group Steering Committee</t>
        </is>
      </c>
      <c r="C109" s="3" t="n">
        <v>50</v>
      </c>
      <c r="D109" s="2" t="inlineStr">
        <is>
          <t>Substantive affiliation or membership reported; level of operational support not established</t>
        </is>
      </c>
      <c r="E109" s="3" t="n"/>
      <c r="F109" s="3">
        <f>Verification!E109</f>
        <v>50</v>
      </c>
      <c r="G109" s="2" t="inlineStr">
        <is>
          <t>Use the override in Verification; this sheet mirrors the active score.</t>
        </is>
      </c>
    </row>
    <row r="110">
      <c r="A110" s="2" t="inlineStr">
        <is>
          <t>VIVO</t>
        </is>
      </c>
      <c r="B110" s="2" t="inlineStr">
        <is>
          <t>Lyrasis serves as the organizational home for VIVO.
Multiple research institutions and universities across the world are involved in the governance of VIVO.</t>
        </is>
      </c>
      <c r="C110" s="3" t="n">
        <v>100</v>
      </c>
      <c r="D110" s="2" t="inlineStr">
        <is>
          <t>Explicit host or operational/financial support language</t>
        </is>
      </c>
      <c r="E110" s="3" t="n"/>
      <c r="F110" s="3">
        <f>Verification!E110</f>
        <v>100</v>
      </c>
      <c r="G110" s="2" t="inlineStr">
        <is>
          <t>Use the override in Verification; this sheet mirrors the active score.</t>
        </is>
      </c>
    </row>
    <row r="111">
      <c r="A111" s="2" t="inlineStr">
        <is>
          <t>VuFind®</t>
        </is>
      </c>
      <c r="B111" s="2" t="n"/>
      <c r="C111" s="3" t="n">
        <v>0</v>
      </c>
      <c r="D111" s="2" t="inlineStr">
        <is>
          <t>Blank: zero under the agreed unavailable-data rule</t>
        </is>
      </c>
      <c r="E111" s="3" t="n"/>
      <c r="F111" s="3">
        <f>Verification!E111</f>
        <v>0</v>
      </c>
      <c r="G111" s="2" t="inlineStr">
        <is>
          <t>Use the override in Verification; this sheet mirrors the active score.</t>
        </is>
      </c>
    </row>
    <row r="112">
      <c r="A112" s="2" t="inlineStr">
        <is>
          <t>Zenodo</t>
        </is>
      </c>
      <c r="B112" s="2" t="n"/>
      <c r="C112" s="3" t="n">
        <v>0</v>
      </c>
      <c r="D112" s="2" t="inlineStr">
        <is>
          <t>Blank: zero under the agreed unavailable-data rule</t>
        </is>
      </c>
      <c r="E112" s="3" t="n"/>
      <c r="F112" s="3">
        <f>Verification!E112</f>
        <v>0</v>
      </c>
      <c r="G112" s="2" t="inlineStr">
        <is>
          <t>Use the override in Verification; this sheet mirrors the active score.</t>
        </is>
      </c>
    </row>
    <row r="113">
      <c r="A113" s="2" t="inlineStr">
        <is>
          <t>Zotero</t>
        </is>
      </c>
      <c r="B113" s="2" t="inlineStr">
        <is>
          <t>No affiliations</t>
        </is>
      </c>
      <c r="C113" s="3" t="n">
        <v>0</v>
      </c>
      <c r="D113" s="2" t="inlineStr">
        <is>
          <t>Explicit absence or placeholder</t>
        </is>
      </c>
      <c r="E113" s="3" t="n"/>
      <c r="F113" s="3">
        <f>Verification!E113</f>
        <v>0</v>
      </c>
      <c r="G113" s="2" t="inlineStr">
        <is>
          <t>Use the override in Verification; this sheet mirrors the active score.</t>
        </is>
      </c>
    </row>
  </sheetData>
  <autoFilter ref="A1:G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5" customWidth="1" min="3" max="3"/>
    <col width="18" customWidth="1" min="4" max="4"/>
    <col width="20" customWidth="1" min="5" max="5"/>
    <col width="24" customWidth="1" min="6" max="6"/>
    <col width="15" customWidth="1" min="7" max="7"/>
    <col width="15" customWidth="1" min="8" max="8"/>
    <col width="22" customWidth="1" min="9" max="9"/>
    <col width="18" customWidth="1" min="10" max="10"/>
    <col width="20" customWidth="1" min="11" max="11"/>
    <col width="22" customWidth="1" min="12" max="12"/>
  </cols>
  <sheetData>
    <row r="1" ht="32" customHeight="1">
      <c r="A1" s="1" t="inlineStr">
        <is>
          <t>Service</t>
        </is>
      </c>
      <c r="B1" s="1" t="inlineStr">
        <is>
          <t>M1 observed</t>
        </is>
      </c>
      <c r="C1" s="1" t="inlineStr">
        <is>
          <t>M2 observed</t>
        </is>
      </c>
      <c r="D1" s="1" t="inlineStr">
        <is>
          <t>054 staff observed</t>
        </is>
      </c>
      <c r="E1" s="1" t="inlineStr">
        <is>
          <t>055 volunteer observed</t>
        </is>
      </c>
      <c r="F1" s="1" t="inlineStr">
        <is>
          <t>H1 observed (either field)</t>
        </is>
      </c>
      <c r="G1" s="1" t="inlineStr">
        <is>
          <t>I2 observed</t>
        </is>
      </c>
      <c r="H1" s="1" t="inlineStr">
        <is>
          <t>O1 observed</t>
        </is>
      </c>
      <c r="I1" s="1" t="inlineStr">
        <is>
          <t>Available metrics (of 5)</t>
        </is>
      </c>
      <c r="J1" s="1" t="inlineStr">
        <is>
          <t>Observed coverage</t>
        </is>
      </c>
      <c r="K1" s="1" t="inlineStr">
        <is>
          <t>Observed-only mean</t>
        </is>
      </c>
      <c r="L1" s="1" t="inlineStr">
        <is>
          <t>Zero-filled final score</t>
        </is>
      </c>
    </row>
    <row r="2">
      <c r="A2" s="2" t="inlineStr">
        <is>
          <t>2i2c</t>
        </is>
      </c>
      <c r="B2" s="2" t="n">
        <v>1</v>
      </c>
      <c r="C2" s="2" t="n">
        <v>1</v>
      </c>
      <c r="D2" s="2" t="n">
        <v>0</v>
      </c>
      <c r="E2" s="2" t="n">
        <v>0</v>
      </c>
      <c r="F2" s="2" t="n">
        <v>0</v>
      </c>
      <c r="G2" s="2" t="n">
        <v>0</v>
      </c>
      <c r="H2" s="2" t="n">
        <v>0</v>
      </c>
      <c r="I2" s="2" t="n">
        <v>2</v>
      </c>
      <c r="J2" s="4" t="n">
        <v>0.4</v>
      </c>
      <c r="K2" s="3" t="n">
        <v>100</v>
      </c>
      <c r="L2" s="3" t="n">
        <v>40</v>
      </c>
    </row>
    <row r="3">
      <c r="A3" s="2" t="inlineStr">
        <is>
          <t>Academic Preservation Trust (APTrust)</t>
        </is>
      </c>
      <c r="B3" s="2" t="n">
        <v>1</v>
      </c>
      <c r="C3" s="2" t="n">
        <v>1</v>
      </c>
      <c r="D3" s="2" t="n">
        <v>1</v>
      </c>
      <c r="E3" s="2" t="n">
        <v>0</v>
      </c>
      <c r="F3" s="2" t="n">
        <v>1</v>
      </c>
      <c r="G3" s="2" t="n">
        <v>1</v>
      </c>
      <c r="H3" s="2" t="n">
        <v>1</v>
      </c>
      <c r="I3" s="2" t="n">
        <v>5</v>
      </c>
      <c r="J3" s="4" t="n">
        <v>1</v>
      </c>
      <c r="K3" s="3" t="n">
        <v>75</v>
      </c>
      <c r="L3" s="3" t="n">
        <v>72.5</v>
      </c>
    </row>
    <row r="4">
      <c r="A4" s="2" t="inlineStr">
        <is>
          <t>AfricArXiv</t>
        </is>
      </c>
      <c r="B4" s="2" t="n">
        <v>1</v>
      </c>
      <c r="C4" s="2" t="n">
        <v>1</v>
      </c>
      <c r="D4" s="2" t="n">
        <v>1</v>
      </c>
      <c r="E4" s="2" t="n">
        <v>1</v>
      </c>
      <c r="F4" s="2" t="n">
        <v>1</v>
      </c>
      <c r="G4" s="2" t="n">
        <v>1</v>
      </c>
      <c r="H4" s="2" t="n">
        <v>0</v>
      </c>
      <c r="I4" s="2" t="n">
        <v>4</v>
      </c>
      <c r="J4" s="4" t="n">
        <v>0.8</v>
      </c>
      <c r="K4" s="3" t="n">
        <v>81.25</v>
      </c>
      <c r="L4" s="3" t="n">
        <v>65</v>
      </c>
    </row>
    <row r="5">
      <c r="A5" s="2" t="inlineStr">
        <is>
          <t>Arches Heritage Data Management Platform</t>
        </is>
      </c>
      <c r="B5" s="2" t="n">
        <v>1</v>
      </c>
      <c r="C5" s="2" t="n">
        <v>1</v>
      </c>
      <c r="D5" s="2" t="n">
        <v>0</v>
      </c>
      <c r="E5" s="2" t="n">
        <v>0</v>
      </c>
      <c r="F5" s="2" t="n">
        <v>0</v>
      </c>
      <c r="G5" s="2" t="n">
        <v>1</v>
      </c>
      <c r="H5" s="2" t="n">
        <v>1</v>
      </c>
      <c r="I5" s="2" t="n">
        <v>4</v>
      </c>
      <c r="J5" s="4" t="n">
        <v>0.8</v>
      </c>
      <c r="K5" s="3" t="n">
        <v>87.5</v>
      </c>
      <c r="L5" s="3" t="n">
        <v>70</v>
      </c>
    </row>
    <row r="6">
      <c r="A6" s="2" t="inlineStr">
        <is>
          <t>Archipelago Commons</t>
        </is>
      </c>
      <c r="B6" s="2" t="n">
        <v>1</v>
      </c>
      <c r="C6" s="2" t="n">
        <v>1</v>
      </c>
      <c r="D6" s="2" t="n">
        <v>0</v>
      </c>
      <c r="E6" s="2" t="n">
        <v>0</v>
      </c>
      <c r="F6" s="2" t="n">
        <v>0</v>
      </c>
      <c r="G6" s="2" t="n">
        <v>0</v>
      </c>
      <c r="H6" s="2" t="n">
        <v>1</v>
      </c>
      <c r="I6" s="2" t="n">
        <v>3</v>
      </c>
      <c r="J6" s="4" t="n">
        <v>0.6</v>
      </c>
      <c r="K6" s="3" t="n">
        <v>100</v>
      </c>
      <c r="L6" s="3" t="n">
        <v>60</v>
      </c>
    </row>
    <row r="7">
      <c r="A7" s="2" t="inlineStr">
        <is>
          <t>Archival Resource Key</t>
        </is>
      </c>
      <c r="B7" s="2" t="n">
        <v>1</v>
      </c>
      <c r="C7" s="2" t="n">
        <v>1</v>
      </c>
      <c r="D7" s="2" t="n">
        <v>0</v>
      </c>
      <c r="E7" s="2" t="n">
        <v>0</v>
      </c>
      <c r="F7" s="2" t="n">
        <v>0</v>
      </c>
      <c r="G7" s="2" t="n">
        <v>0</v>
      </c>
      <c r="H7" s="2" t="n">
        <v>0</v>
      </c>
      <c r="I7" s="2" t="n">
        <v>2</v>
      </c>
      <c r="J7" s="4" t="n">
        <v>0.4</v>
      </c>
      <c r="K7" s="3" t="n">
        <v>77.77777777777777</v>
      </c>
      <c r="L7" s="3" t="n">
        <v>31.11111111111111</v>
      </c>
    </row>
    <row r="8">
      <c r="A8" s="2" t="inlineStr">
        <is>
          <t>Archivematica</t>
        </is>
      </c>
      <c r="B8" s="2" t="n">
        <v>1</v>
      </c>
      <c r="C8" s="2" t="n">
        <v>1</v>
      </c>
      <c r="D8" s="2" t="n">
        <v>1</v>
      </c>
      <c r="E8" s="2" t="n">
        <v>0</v>
      </c>
      <c r="F8" s="2" t="n">
        <v>1</v>
      </c>
      <c r="G8" s="2" t="n">
        <v>1</v>
      </c>
      <c r="H8" s="2" t="n">
        <v>1</v>
      </c>
      <c r="I8" s="2" t="n">
        <v>5</v>
      </c>
      <c r="J8" s="4" t="n">
        <v>1</v>
      </c>
      <c r="K8" s="3" t="n">
        <v>80</v>
      </c>
      <c r="L8" s="3" t="n">
        <v>70</v>
      </c>
    </row>
    <row r="9">
      <c r="A9" s="2" t="inlineStr">
        <is>
          <t>ArchivesSpace</t>
        </is>
      </c>
      <c r="B9" s="2" t="n">
        <v>1</v>
      </c>
      <c r="C9" s="2" t="n">
        <v>1</v>
      </c>
      <c r="D9" s="2" t="n">
        <v>1</v>
      </c>
      <c r="E9" s="2" t="n">
        <v>0</v>
      </c>
      <c r="F9" s="2" t="n">
        <v>1</v>
      </c>
      <c r="G9" s="2" t="n">
        <v>1</v>
      </c>
      <c r="H9" s="2" t="n">
        <v>1</v>
      </c>
      <c r="I9" s="2" t="n">
        <v>5</v>
      </c>
      <c r="J9" s="4" t="n">
        <v>1</v>
      </c>
      <c r="K9" s="3" t="n">
        <v>90</v>
      </c>
      <c r="L9" s="3" t="n">
        <v>85</v>
      </c>
    </row>
    <row r="10">
      <c r="A10" s="2" t="inlineStr">
        <is>
          <t>ARGOS</t>
        </is>
      </c>
      <c r="B10" s="2" t="n">
        <v>1</v>
      </c>
      <c r="C10" s="2" t="n">
        <v>1</v>
      </c>
      <c r="D10" s="2" t="n">
        <v>0</v>
      </c>
      <c r="E10" s="2" t="n">
        <v>0</v>
      </c>
      <c r="F10" s="2" t="n">
        <v>0</v>
      </c>
      <c r="G10" s="2" t="n">
        <v>1</v>
      </c>
      <c r="H10" s="2" t="n">
        <v>1</v>
      </c>
      <c r="I10" s="2" t="n">
        <v>4</v>
      </c>
      <c r="J10" s="4" t="n">
        <v>0.8</v>
      </c>
      <c r="K10" s="3" t="n">
        <v>87.5</v>
      </c>
      <c r="L10" s="3" t="n">
        <v>70</v>
      </c>
    </row>
    <row r="11">
      <c r="A11" s="2" t="inlineStr">
        <is>
          <t>arXiv</t>
        </is>
      </c>
      <c r="B11" s="2" t="n">
        <v>1</v>
      </c>
      <c r="C11" s="2" t="n">
        <v>1</v>
      </c>
      <c r="D11" s="2" t="n">
        <v>0</v>
      </c>
      <c r="E11" s="2" t="n">
        <v>0</v>
      </c>
      <c r="F11" s="2" t="n">
        <v>0</v>
      </c>
      <c r="G11" s="2" t="n">
        <v>0</v>
      </c>
      <c r="H11" s="2" t="n">
        <v>0</v>
      </c>
      <c r="I11" s="2" t="n">
        <v>2</v>
      </c>
      <c r="J11" s="4" t="n">
        <v>0.4</v>
      </c>
      <c r="K11" s="3" t="n">
        <v>100</v>
      </c>
      <c r="L11" s="3" t="n">
        <v>40</v>
      </c>
    </row>
    <row r="12">
      <c r="A12" s="2" t="inlineStr">
        <is>
          <t>AtoM</t>
        </is>
      </c>
      <c r="B12" s="2" t="n">
        <v>1</v>
      </c>
      <c r="C12" s="2" t="n">
        <v>1</v>
      </c>
      <c r="D12" s="2" t="n">
        <v>1</v>
      </c>
      <c r="E12" s="2" t="n">
        <v>0</v>
      </c>
      <c r="F12" s="2" t="n">
        <v>1</v>
      </c>
      <c r="G12" s="2" t="n">
        <v>1</v>
      </c>
      <c r="H12" s="2" t="n">
        <v>1</v>
      </c>
      <c r="I12" s="2" t="n">
        <v>5</v>
      </c>
      <c r="J12" s="4" t="n">
        <v>1</v>
      </c>
      <c r="K12" s="3" t="n">
        <v>80</v>
      </c>
      <c r="L12" s="3" t="n">
        <v>70</v>
      </c>
    </row>
    <row r="13">
      <c r="A13" s="2" t="inlineStr">
        <is>
          <t>Avalon Media System</t>
        </is>
      </c>
      <c r="B13" s="2" t="n">
        <v>1</v>
      </c>
      <c r="C13" s="2" t="n">
        <v>1</v>
      </c>
      <c r="D13" s="2" t="n">
        <v>1</v>
      </c>
      <c r="E13" s="2" t="n">
        <v>0</v>
      </c>
      <c r="F13" s="2" t="n">
        <v>1</v>
      </c>
      <c r="G13" s="2" t="n">
        <v>1</v>
      </c>
      <c r="H13" s="2" t="n">
        <v>1</v>
      </c>
      <c r="I13" s="2" t="n">
        <v>5</v>
      </c>
      <c r="J13" s="4" t="n">
        <v>1</v>
      </c>
      <c r="K13" s="3" t="n">
        <v>55</v>
      </c>
      <c r="L13" s="3" t="n">
        <v>52.5</v>
      </c>
    </row>
    <row r="14">
      <c r="A14" s="2" t="inlineStr">
        <is>
          <t>Biodiversity Heritage Library</t>
        </is>
      </c>
      <c r="B14" s="2" t="n">
        <v>1</v>
      </c>
      <c r="C14" s="2" t="n">
        <v>1</v>
      </c>
      <c r="D14" s="2" t="n">
        <v>1</v>
      </c>
      <c r="E14" s="2" t="n">
        <v>0</v>
      </c>
      <c r="F14" s="2" t="n">
        <v>1</v>
      </c>
      <c r="G14" s="2" t="n">
        <v>1</v>
      </c>
      <c r="H14" s="2" t="n">
        <v>0</v>
      </c>
      <c r="I14" s="2" t="n">
        <v>4</v>
      </c>
      <c r="J14" s="4" t="n">
        <v>0.8</v>
      </c>
      <c r="K14" s="3" t="n">
        <v>81.25</v>
      </c>
      <c r="L14" s="3" t="n">
        <v>62.5</v>
      </c>
    </row>
    <row r="15">
      <c r="A15" s="2" t="inlineStr">
        <is>
          <t>bioRxiv</t>
        </is>
      </c>
      <c r="B15" s="2" t="n">
        <v>1</v>
      </c>
      <c r="C15" s="2" t="n">
        <v>1</v>
      </c>
      <c r="D15" s="2" t="n">
        <v>0</v>
      </c>
      <c r="E15" s="2" t="n">
        <v>0</v>
      </c>
      <c r="F15" s="2" t="n">
        <v>0</v>
      </c>
      <c r="G15" s="2" t="n">
        <v>0</v>
      </c>
      <c r="H15" s="2" t="n">
        <v>0</v>
      </c>
      <c r="I15" s="2" t="n">
        <v>2</v>
      </c>
      <c r="J15" s="4" t="n">
        <v>0.4</v>
      </c>
      <c r="K15" s="3" t="n">
        <v>100</v>
      </c>
      <c r="L15" s="3" t="n">
        <v>40</v>
      </c>
    </row>
    <row r="16">
      <c r="A16" s="2" t="inlineStr">
        <is>
          <t>BitCurator Environment</t>
        </is>
      </c>
      <c r="B16" s="2" t="n">
        <v>1</v>
      </c>
      <c r="C16" s="2" t="n">
        <v>1</v>
      </c>
      <c r="D16" s="2" t="n">
        <v>1</v>
      </c>
      <c r="E16" s="2" t="n">
        <v>1</v>
      </c>
      <c r="F16" s="2" t="n">
        <v>1</v>
      </c>
      <c r="G16" s="2" t="n">
        <v>1</v>
      </c>
      <c r="H16" s="2" t="n">
        <v>1</v>
      </c>
      <c r="I16" s="2" t="n">
        <v>5</v>
      </c>
      <c r="J16" s="4" t="n">
        <v>1</v>
      </c>
      <c r="K16" s="3" t="n">
        <v>65</v>
      </c>
      <c r="L16" s="3" t="n">
        <v>65</v>
      </c>
    </row>
    <row r="17">
      <c r="A17" s="2" t="inlineStr">
        <is>
          <t>Blacklight</t>
        </is>
      </c>
      <c r="B17" s="2" t="n">
        <v>1</v>
      </c>
      <c r="C17" s="2" t="n">
        <v>1</v>
      </c>
      <c r="D17" s="2" t="n">
        <v>1</v>
      </c>
      <c r="E17" s="2" t="n">
        <v>0</v>
      </c>
      <c r="F17" s="2" t="n">
        <v>1</v>
      </c>
      <c r="G17" s="2" t="n">
        <v>0</v>
      </c>
      <c r="H17" s="2" t="n">
        <v>1</v>
      </c>
      <c r="I17" s="2" t="n">
        <v>4</v>
      </c>
      <c r="J17" s="4" t="n">
        <v>0.8</v>
      </c>
      <c r="K17" s="3" t="n">
        <v>87.5</v>
      </c>
      <c r="L17" s="3" t="n">
        <v>65</v>
      </c>
    </row>
    <row r="18">
      <c r="A18" s="2" t="inlineStr">
        <is>
          <t>BrCRIS</t>
        </is>
      </c>
      <c r="B18" s="2" t="n">
        <v>1</v>
      </c>
      <c r="C18" s="2" t="n">
        <v>1</v>
      </c>
      <c r="D18" s="2" t="n">
        <v>0</v>
      </c>
      <c r="E18" s="2" t="n">
        <v>0</v>
      </c>
      <c r="F18" s="2" t="n">
        <v>0</v>
      </c>
      <c r="G18" s="2" t="n">
        <v>0</v>
      </c>
      <c r="H18" s="2" t="n">
        <v>0</v>
      </c>
      <c r="I18" s="2" t="n">
        <v>2</v>
      </c>
      <c r="J18" s="4" t="n">
        <v>0.4</v>
      </c>
      <c r="K18" s="3" t="n">
        <v>100</v>
      </c>
      <c r="L18" s="3" t="n">
        <v>40</v>
      </c>
    </row>
    <row r="19">
      <c r="A19" s="2" t="inlineStr">
        <is>
          <t>Browsertrix</t>
        </is>
      </c>
      <c r="B19" s="2" t="n">
        <v>1</v>
      </c>
      <c r="C19" s="2" t="n">
        <v>1</v>
      </c>
      <c r="D19" s="2" t="n">
        <v>1</v>
      </c>
      <c r="E19" s="2" t="n">
        <v>1</v>
      </c>
      <c r="F19" s="2" t="n">
        <v>1</v>
      </c>
      <c r="G19" s="2" t="n">
        <v>1</v>
      </c>
      <c r="H19" s="2" t="n">
        <v>1</v>
      </c>
      <c r="I19" s="2" t="n">
        <v>5</v>
      </c>
      <c r="J19" s="4" t="n">
        <v>1</v>
      </c>
      <c r="K19" s="3" t="n">
        <v>72.5</v>
      </c>
      <c r="L19" s="3" t="n">
        <v>72.5</v>
      </c>
    </row>
    <row r="20">
      <c r="A20" s="2" t="inlineStr">
        <is>
          <t>CLOCKSS</t>
        </is>
      </c>
      <c r="B20" s="2" t="n">
        <v>1</v>
      </c>
      <c r="C20" s="2" t="n">
        <v>1</v>
      </c>
      <c r="D20" s="2" t="n">
        <v>1</v>
      </c>
      <c r="E20" s="2" t="n">
        <v>1</v>
      </c>
      <c r="F20" s="2" t="n">
        <v>1</v>
      </c>
      <c r="G20" s="2" t="n">
        <v>0</v>
      </c>
      <c r="H20" s="2" t="n">
        <v>1</v>
      </c>
      <c r="I20" s="2" t="n">
        <v>4</v>
      </c>
      <c r="J20" s="4" t="n">
        <v>0.8</v>
      </c>
      <c r="K20" s="3" t="n">
        <v>78.125</v>
      </c>
      <c r="L20" s="3" t="n">
        <v>62.5</v>
      </c>
    </row>
    <row r="21">
      <c r="A21" s="2" t="inlineStr">
        <is>
          <t>COAR International Repository Directory (IRD)</t>
        </is>
      </c>
      <c r="B21" s="2" t="n">
        <v>1</v>
      </c>
      <c r="C21" s="2" t="n">
        <v>1</v>
      </c>
      <c r="D21" s="2" t="n">
        <v>1</v>
      </c>
      <c r="E21" s="2" t="n">
        <v>0</v>
      </c>
      <c r="F21" s="2" t="n">
        <v>1</v>
      </c>
      <c r="G21" s="2" t="n">
        <v>1</v>
      </c>
      <c r="H21" s="2" t="n">
        <v>0</v>
      </c>
      <c r="I21" s="2" t="n">
        <v>4</v>
      </c>
      <c r="J21" s="4" t="n">
        <v>0.8</v>
      </c>
      <c r="K21" s="3" t="n">
        <v>68.75</v>
      </c>
      <c r="L21" s="3" t="n">
        <v>52.5</v>
      </c>
    </row>
    <row r="22">
      <c r="A22" s="2" t="inlineStr">
        <is>
          <t>COAR Notify</t>
        </is>
      </c>
      <c r="B22" s="2" t="n">
        <v>1</v>
      </c>
      <c r="C22" s="2" t="n">
        <v>1</v>
      </c>
      <c r="D22" s="2" t="n">
        <v>0</v>
      </c>
      <c r="E22" s="2" t="n">
        <v>0</v>
      </c>
      <c r="F22" s="2" t="n">
        <v>0</v>
      </c>
      <c r="G22" s="2" t="n">
        <v>1</v>
      </c>
      <c r="H22" s="2" t="n">
        <v>1</v>
      </c>
      <c r="I22" s="2" t="n">
        <v>4</v>
      </c>
      <c r="J22" s="4" t="n">
        <v>0.8</v>
      </c>
      <c r="K22" s="3" t="n">
        <v>75</v>
      </c>
      <c r="L22" s="3" t="n">
        <v>60</v>
      </c>
    </row>
    <row r="23">
      <c r="A23" s="2" t="inlineStr">
        <is>
          <t>CollectiveAccess</t>
        </is>
      </c>
      <c r="B23" s="2" t="n">
        <v>1</v>
      </c>
      <c r="C23" s="2" t="n">
        <v>1</v>
      </c>
      <c r="D23" s="2" t="n">
        <v>1</v>
      </c>
      <c r="E23" s="2" t="n">
        <v>1</v>
      </c>
      <c r="F23" s="2" t="n">
        <v>1</v>
      </c>
      <c r="G23" s="2" t="n">
        <v>1</v>
      </c>
      <c r="H23" s="2" t="n">
        <v>1</v>
      </c>
      <c r="I23" s="2" t="n">
        <v>5</v>
      </c>
      <c r="J23" s="4" t="n">
        <v>1</v>
      </c>
      <c r="K23" s="3" t="n">
        <v>65</v>
      </c>
      <c r="L23" s="3" t="n">
        <v>65</v>
      </c>
    </row>
    <row r="24">
      <c r="A24" s="2" t="inlineStr">
        <is>
          <t>CORE</t>
        </is>
      </c>
      <c r="B24" s="2" t="n">
        <v>1</v>
      </c>
      <c r="C24" s="2" t="n">
        <v>1</v>
      </c>
      <c r="D24" s="2" t="n">
        <v>0</v>
      </c>
      <c r="E24" s="2" t="n">
        <v>0</v>
      </c>
      <c r="F24" s="2" t="n">
        <v>0</v>
      </c>
      <c r="G24" s="2" t="n">
        <v>0</v>
      </c>
      <c r="H24" s="2" t="n">
        <v>0</v>
      </c>
      <c r="I24" s="2" t="n">
        <v>2</v>
      </c>
      <c r="J24" s="4" t="n">
        <v>0.4</v>
      </c>
      <c r="K24" s="3" t="n">
        <v>100</v>
      </c>
      <c r="L24" s="3" t="n">
        <v>40</v>
      </c>
    </row>
    <row r="25">
      <c r="A25" s="2" t="inlineStr">
        <is>
          <t>COUNTER Code of Practice</t>
        </is>
      </c>
      <c r="B25" s="2" t="n">
        <v>1</v>
      </c>
      <c r="C25" s="2" t="n">
        <v>1</v>
      </c>
      <c r="D25" s="2" t="n">
        <v>0</v>
      </c>
      <c r="E25" s="2" t="n">
        <v>0</v>
      </c>
      <c r="F25" s="2" t="n">
        <v>0</v>
      </c>
      <c r="G25" s="2" t="n">
        <v>0</v>
      </c>
      <c r="H25" s="2" t="n">
        <v>0</v>
      </c>
      <c r="I25" s="2" t="n">
        <v>2</v>
      </c>
      <c r="J25" s="4" t="n">
        <v>0.4</v>
      </c>
      <c r="K25" s="3" t="n">
        <v>100</v>
      </c>
      <c r="L25" s="3" t="n">
        <v>40</v>
      </c>
    </row>
    <row r="26">
      <c r="A26" s="2" t="inlineStr">
        <is>
          <t>Creative Commons Licenses</t>
        </is>
      </c>
      <c r="B26" s="2" t="n">
        <v>1</v>
      </c>
      <c r="C26" s="2" t="n">
        <v>1</v>
      </c>
      <c r="D26" s="2" t="n">
        <v>0</v>
      </c>
      <c r="E26" s="2" t="n">
        <v>0</v>
      </c>
      <c r="F26" s="2" t="n">
        <v>0</v>
      </c>
      <c r="G26" s="2" t="n">
        <v>0</v>
      </c>
      <c r="H26" s="2" t="n">
        <v>0</v>
      </c>
      <c r="I26" s="2" t="n">
        <v>2</v>
      </c>
      <c r="J26" s="4" t="n">
        <v>0.4</v>
      </c>
      <c r="K26" s="3" t="n">
        <v>94.44444444444444</v>
      </c>
      <c r="L26" s="3" t="n">
        <v>37.77777777777778</v>
      </c>
    </row>
    <row r="27">
      <c r="A27" s="2" t="inlineStr">
        <is>
          <t>Crossref Metadata Retrieval</t>
        </is>
      </c>
      <c r="B27" s="2" t="n">
        <v>1</v>
      </c>
      <c r="C27" s="2" t="n">
        <v>1</v>
      </c>
      <c r="D27" s="2" t="n">
        <v>0</v>
      </c>
      <c r="E27" s="2" t="n">
        <v>0</v>
      </c>
      <c r="F27" s="2" t="n">
        <v>0</v>
      </c>
      <c r="G27" s="2" t="n">
        <v>0</v>
      </c>
      <c r="H27" s="2" t="n">
        <v>0</v>
      </c>
      <c r="I27" s="2" t="n">
        <v>2</v>
      </c>
      <c r="J27" s="4" t="n">
        <v>0.4</v>
      </c>
      <c r="K27" s="3" t="n">
        <v>100</v>
      </c>
      <c r="L27" s="3" t="n">
        <v>40</v>
      </c>
    </row>
    <row r="28">
      <c r="A28" s="2" t="inlineStr">
        <is>
          <t>D4Science Infrastructure</t>
        </is>
      </c>
      <c r="B28" s="2" t="n">
        <v>1</v>
      </c>
      <c r="C28" s="2" t="n">
        <v>1</v>
      </c>
      <c r="D28" s="2" t="n">
        <v>1</v>
      </c>
      <c r="E28" s="2" t="n">
        <v>1</v>
      </c>
      <c r="F28" s="2" t="n">
        <v>1</v>
      </c>
      <c r="G28" s="2" t="n">
        <v>1</v>
      </c>
      <c r="H28" s="2" t="n">
        <v>1</v>
      </c>
      <c r="I28" s="2" t="n">
        <v>5</v>
      </c>
      <c r="J28" s="4" t="n">
        <v>1</v>
      </c>
      <c r="K28" s="3" t="n">
        <v>95</v>
      </c>
      <c r="L28" s="3" t="n">
        <v>95</v>
      </c>
    </row>
    <row r="29">
      <c r="A29" s="2" t="inlineStr">
        <is>
          <t>DART (Digital Archivist's Resource Tool)</t>
        </is>
      </c>
      <c r="B29" s="2" t="n">
        <v>1</v>
      </c>
      <c r="C29" s="2" t="n">
        <v>1</v>
      </c>
      <c r="D29" s="2" t="n">
        <v>1</v>
      </c>
      <c r="E29" s="2" t="n">
        <v>0</v>
      </c>
      <c r="F29" s="2" t="n">
        <v>1</v>
      </c>
      <c r="G29" s="2" t="n">
        <v>1</v>
      </c>
      <c r="H29" s="2" t="n">
        <v>1</v>
      </c>
      <c r="I29" s="2" t="n">
        <v>5</v>
      </c>
      <c r="J29" s="4" t="n">
        <v>1</v>
      </c>
      <c r="K29" s="3" t="n">
        <v>55</v>
      </c>
      <c r="L29" s="3" t="n">
        <v>52.5</v>
      </c>
    </row>
    <row r="30">
      <c r="A30" s="2" t="inlineStr">
        <is>
          <t>Database Information System</t>
        </is>
      </c>
      <c r="B30" s="2" t="n">
        <v>1</v>
      </c>
      <c r="C30" s="2" t="n">
        <v>1</v>
      </c>
      <c r="D30" s="2" t="n">
        <v>0</v>
      </c>
      <c r="E30" s="2" t="n">
        <v>0</v>
      </c>
      <c r="F30" s="2" t="n">
        <v>0</v>
      </c>
      <c r="G30" s="2" t="n">
        <v>1</v>
      </c>
      <c r="H30" s="2" t="n">
        <v>1</v>
      </c>
      <c r="I30" s="2" t="n">
        <v>4</v>
      </c>
      <c r="J30" s="4" t="n">
        <v>0.8</v>
      </c>
      <c r="K30" s="3" t="n">
        <v>87.5</v>
      </c>
      <c r="L30" s="3" t="n">
        <v>70</v>
      </c>
    </row>
    <row r="31">
      <c r="A31" s="2" t="inlineStr">
        <is>
          <t>Data Citation Corpus</t>
        </is>
      </c>
      <c r="B31" s="2" t="n">
        <v>1</v>
      </c>
      <c r="C31" s="2" t="n">
        <v>1</v>
      </c>
      <c r="D31" s="2" t="n">
        <v>0</v>
      </c>
      <c r="E31" s="2" t="n">
        <v>1</v>
      </c>
      <c r="F31" s="2" t="n">
        <v>1</v>
      </c>
      <c r="G31" s="2" t="n">
        <v>1</v>
      </c>
      <c r="H31" s="2" t="n">
        <v>0</v>
      </c>
      <c r="I31" s="2" t="n">
        <v>4</v>
      </c>
      <c r="J31" s="4" t="n">
        <v>0.8</v>
      </c>
      <c r="K31" s="3" t="n">
        <v>70.13888888888889</v>
      </c>
      <c r="L31" s="3" t="n">
        <v>48.61111111111111</v>
      </c>
    </row>
    <row r="32">
      <c r="A32" s="2" t="inlineStr">
        <is>
          <t>DataCite</t>
        </is>
      </c>
      <c r="B32" s="2" t="n">
        <v>1</v>
      </c>
      <c r="C32" s="2" t="n">
        <v>1</v>
      </c>
      <c r="D32" s="2" t="n">
        <v>0</v>
      </c>
      <c r="E32" s="2" t="n">
        <v>0</v>
      </c>
      <c r="F32" s="2" t="n">
        <v>0</v>
      </c>
      <c r="G32" s="2" t="n">
        <v>0</v>
      </c>
      <c r="H32" s="2" t="n">
        <v>0</v>
      </c>
      <c r="I32" s="2" t="n">
        <v>2</v>
      </c>
      <c r="J32" s="4" t="n">
        <v>0.4</v>
      </c>
      <c r="K32" s="3" t="n">
        <v>100</v>
      </c>
      <c r="L32" s="3" t="n">
        <v>40</v>
      </c>
    </row>
    <row r="33">
      <c r="A33" s="2" t="inlineStr">
        <is>
          <t>Data Stewardship Wizard</t>
        </is>
      </c>
      <c r="B33" s="2" t="n">
        <v>1</v>
      </c>
      <c r="C33" s="2" t="n">
        <v>1</v>
      </c>
      <c r="D33" s="2" t="n">
        <v>0</v>
      </c>
      <c r="E33" s="2" t="n">
        <v>0</v>
      </c>
      <c r="F33" s="2" t="n">
        <v>0</v>
      </c>
      <c r="G33" s="2" t="n">
        <v>1</v>
      </c>
      <c r="H33" s="2" t="n">
        <v>1</v>
      </c>
      <c r="I33" s="2" t="n">
        <v>4</v>
      </c>
      <c r="J33" s="4" t="n">
        <v>0.8</v>
      </c>
      <c r="K33" s="3" t="n">
        <v>87.5</v>
      </c>
      <c r="L33" s="3" t="n">
        <v>70</v>
      </c>
    </row>
    <row r="34">
      <c r="A34" s="2" t="inlineStr">
        <is>
          <t>Dataverse</t>
        </is>
      </c>
      <c r="B34" s="2" t="n">
        <v>1</v>
      </c>
      <c r="C34" s="2" t="n">
        <v>1</v>
      </c>
      <c r="D34" s="2" t="n">
        <v>0</v>
      </c>
      <c r="E34" s="2" t="n">
        <v>0</v>
      </c>
      <c r="F34" s="2" t="n">
        <v>0</v>
      </c>
      <c r="G34" s="2" t="n">
        <v>0</v>
      </c>
      <c r="H34" s="2" t="n">
        <v>1</v>
      </c>
      <c r="I34" s="2" t="n">
        <v>3</v>
      </c>
      <c r="J34" s="4" t="n">
        <v>0.6</v>
      </c>
      <c r="K34" s="3" t="n">
        <v>100</v>
      </c>
      <c r="L34" s="3" t="n">
        <v>60</v>
      </c>
    </row>
    <row r="35">
      <c r="A35" s="2" t="inlineStr">
        <is>
          <t>DLCM Backend</t>
        </is>
      </c>
      <c r="B35" s="2" t="n">
        <v>1</v>
      </c>
      <c r="C35" s="2" t="n">
        <v>1</v>
      </c>
      <c r="D35" s="2" t="n">
        <v>1</v>
      </c>
      <c r="E35" s="2" t="n">
        <v>1</v>
      </c>
      <c r="F35" s="2" t="n">
        <v>1</v>
      </c>
      <c r="G35" s="2" t="n">
        <v>1</v>
      </c>
      <c r="H35" s="2" t="n">
        <v>1</v>
      </c>
      <c r="I35" s="2" t="n">
        <v>5</v>
      </c>
      <c r="J35" s="4" t="n">
        <v>1</v>
      </c>
      <c r="K35" s="3" t="n">
        <v>75</v>
      </c>
      <c r="L35" s="3" t="n">
        <v>75</v>
      </c>
    </row>
    <row r="36">
      <c r="A36" s="2" t="inlineStr">
        <is>
          <t>DLCM Portal</t>
        </is>
      </c>
      <c r="B36" s="2" t="n">
        <v>1</v>
      </c>
      <c r="C36" s="2" t="n">
        <v>1</v>
      </c>
      <c r="D36" s="2" t="n">
        <v>1</v>
      </c>
      <c r="E36" s="2" t="n">
        <v>1</v>
      </c>
      <c r="F36" s="2" t="n">
        <v>1</v>
      </c>
      <c r="G36" s="2" t="n">
        <v>1</v>
      </c>
      <c r="H36" s="2" t="n">
        <v>1</v>
      </c>
      <c r="I36" s="2" t="n">
        <v>5</v>
      </c>
      <c r="J36" s="4" t="n">
        <v>1</v>
      </c>
      <c r="K36" s="3" t="n">
        <v>75</v>
      </c>
      <c r="L36" s="3" t="n">
        <v>75</v>
      </c>
    </row>
    <row r="37">
      <c r="A37" s="2" t="inlineStr">
        <is>
          <t>DMP Tool</t>
        </is>
      </c>
      <c r="B37" s="2" t="n">
        <v>1</v>
      </c>
      <c r="C37" s="2" t="n">
        <v>1</v>
      </c>
      <c r="D37" s="2" t="n">
        <v>1</v>
      </c>
      <c r="E37" s="2" t="n">
        <v>1</v>
      </c>
      <c r="F37" s="2" t="n">
        <v>1</v>
      </c>
      <c r="G37" s="2" t="n">
        <v>0</v>
      </c>
      <c r="H37" s="2" t="n">
        <v>1</v>
      </c>
      <c r="I37" s="2" t="n">
        <v>4</v>
      </c>
      <c r="J37" s="4" t="n">
        <v>0.8</v>
      </c>
      <c r="K37" s="3" t="n">
        <v>78.125</v>
      </c>
      <c r="L37" s="3" t="n">
        <v>62.5</v>
      </c>
    </row>
    <row r="38">
      <c r="A38" s="2" t="inlineStr">
        <is>
          <t>DOAJ (Directory of Open Access Journals)</t>
        </is>
      </c>
      <c r="B38" s="2" t="n">
        <v>1</v>
      </c>
      <c r="C38" s="2" t="n">
        <v>1</v>
      </c>
      <c r="D38" s="2" t="n">
        <v>0</v>
      </c>
      <c r="E38" s="2" t="n">
        <v>0</v>
      </c>
      <c r="F38" s="2" t="n">
        <v>0</v>
      </c>
      <c r="G38" s="2" t="n">
        <v>0</v>
      </c>
      <c r="H38" s="2" t="n">
        <v>0</v>
      </c>
      <c r="I38" s="2" t="n">
        <v>2</v>
      </c>
      <c r="J38" s="4" t="n">
        <v>0.4</v>
      </c>
      <c r="K38" s="3" t="n">
        <v>100</v>
      </c>
      <c r="L38" s="3" t="n">
        <v>40</v>
      </c>
    </row>
    <row r="39">
      <c r="A39" s="2" t="inlineStr">
        <is>
          <t>dokieli</t>
        </is>
      </c>
      <c r="B39" s="2" t="n">
        <v>1</v>
      </c>
      <c r="C39" s="2" t="n">
        <v>1</v>
      </c>
      <c r="D39" s="2" t="n">
        <v>0</v>
      </c>
      <c r="E39" s="2" t="n">
        <v>0</v>
      </c>
      <c r="F39" s="2" t="n">
        <v>0</v>
      </c>
      <c r="G39" s="2" t="n">
        <v>0</v>
      </c>
      <c r="H39" s="2" t="n">
        <v>0</v>
      </c>
      <c r="I39" s="2" t="n">
        <v>2</v>
      </c>
      <c r="J39" s="4" t="n">
        <v>0.4</v>
      </c>
      <c r="K39" s="3" t="n">
        <v>77.77777777777777</v>
      </c>
      <c r="L39" s="3" t="n">
        <v>31.11111111111111</v>
      </c>
    </row>
    <row r="40">
      <c r="A40" s="2" t="inlineStr">
        <is>
          <t>Dryad</t>
        </is>
      </c>
      <c r="B40" s="2" t="n">
        <v>1</v>
      </c>
      <c r="C40" s="2" t="n">
        <v>1</v>
      </c>
      <c r="D40" s="2" t="n">
        <v>0</v>
      </c>
      <c r="E40" s="2" t="n">
        <v>0</v>
      </c>
      <c r="F40" s="2" t="n">
        <v>0</v>
      </c>
      <c r="G40" s="2" t="n">
        <v>0</v>
      </c>
      <c r="H40" s="2" t="n">
        <v>0</v>
      </c>
      <c r="I40" s="2" t="n">
        <v>2</v>
      </c>
      <c r="J40" s="4" t="n">
        <v>0.4</v>
      </c>
      <c r="K40" s="3" t="n">
        <v>100</v>
      </c>
      <c r="L40" s="3" t="n">
        <v>40</v>
      </c>
    </row>
    <row r="41">
      <c r="A41" s="2" t="inlineStr">
        <is>
          <t>DSpace</t>
        </is>
      </c>
      <c r="B41" s="2" t="n">
        <v>1</v>
      </c>
      <c r="C41" s="2" t="n">
        <v>1</v>
      </c>
      <c r="D41" s="2" t="n">
        <v>1</v>
      </c>
      <c r="E41" s="2" t="n">
        <v>0</v>
      </c>
      <c r="F41" s="2" t="n">
        <v>1</v>
      </c>
      <c r="G41" s="2" t="n">
        <v>0</v>
      </c>
      <c r="H41" s="2" t="n">
        <v>1</v>
      </c>
      <c r="I41" s="2" t="n">
        <v>4</v>
      </c>
      <c r="J41" s="4" t="n">
        <v>0.8</v>
      </c>
      <c r="K41" s="3" t="n">
        <v>81.25</v>
      </c>
      <c r="L41" s="3" t="n">
        <v>62.5</v>
      </c>
    </row>
    <row r="42">
      <c r="A42" s="2" t="inlineStr">
        <is>
          <t>DuraCloud</t>
        </is>
      </c>
      <c r="B42" s="2" t="n">
        <v>1</v>
      </c>
      <c r="C42" s="2" t="n">
        <v>1</v>
      </c>
      <c r="D42" s="2" t="n">
        <v>0</v>
      </c>
      <c r="E42" s="2" t="n">
        <v>0</v>
      </c>
      <c r="F42" s="2" t="n">
        <v>0</v>
      </c>
      <c r="G42" s="2" t="n">
        <v>0</v>
      </c>
      <c r="H42" s="2" t="n">
        <v>1</v>
      </c>
      <c r="I42" s="2" t="n">
        <v>3</v>
      </c>
      <c r="J42" s="4" t="n">
        <v>0.6</v>
      </c>
      <c r="K42" s="3" t="n">
        <v>100</v>
      </c>
      <c r="L42" s="3" t="n">
        <v>60</v>
      </c>
    </row>
    <row r="43">
      <c r="A43" s="2" t="inlineStr">
        <is>
          <t>Episciences</t>
        </is>
      </c>
      <c r="B43" s="2" t="n">
        <v>1</v>
      </c>
      <c r="C43" s="2" t="n">
        <v>1</v>
      </c>
      <c r="D43" s="2" t="n">
        <v>1</v>
      </c>
      <c r="E43" s="2" t="n">
        <v>1</v>
      </c>
      <c r="F43" s="2" t="n">
        <v>1</v>
      </c>
      <c r="G43" s="2" t="n">
        <v>1</v>
      </c>
      <c r="H43" s="2" t="n">
        <v>0</v>
      </c>
      <c r="I43" s="2" t="n">
        <v>4</v>
      </c>
      <c r="J43" s="4" t="n">
        <v>0.8</v>
      </c>
      <c r="K43" s="3" t="n">
        <v>78.125</v>
      </c>
      <c r="L43" s="3" t="n">
        <v>62.5</v>
      </c>
    </row>
    <row r="44">
      <c r="A44" s="2" t="inlineStr">
        <is>
          <t>EPrints</t>
        </is>
      </c>
      <c r="B44" s="2" t="n">
        <v>1</v>
      </c>
      <c r="C44" s="2" t="n">
        <v>1</v>
      </c>
      <c r="D44" s="2" t="n">
        <v>0</v>
      </c>
      <c r="E44" s="2" t="n">
        <v>0</v>
      </c>
      <c r="F44" s="2" t="n">
        <v>0</v>
      </c>
      <c r="G44" s="2" t="n">
        <v>1</v>
      </c>
      <c r="H44" s="2" t="n">
        <v>1</v>
      </c>
      <c r="I44" s="2" t="n">
        <v>4</v>
      </c>
      <c r="J44" s="4" t="n">
        <v>0.8</v>
      </c>
      <c r="K44" s="3" t="n">
        <v>87.5</v>
      </c>
      <c r="L44" s="3" t="n">
        <v>70</v>
      </c>
    </row>
    <row r="45">
      <c r="A45" s="2" t="inlineStr">
        <is>
          <t>Érudit</t>
        </is>
      </c>
      <c r="B45" s="2" t="n">
        <v>1</v>
      </c>
      <c r="C45" s="2" t="n">
        <v>1</v>
      </c>
      <c r="D45" s="2" t="n">
        <v>0</v>
      </c>
      <c r="E45" s="2" t="n">
        <v>0</v>
      </c>
      <c r="F45" s="2" t="n">
        <v>0</v>
      </c>
      <c r="G45" s="2" t="n">
        <v>0</v>
      </c>
      <c r="H45" s="2" t="n">
        <v>0</v>
      </c>
      <c r="I45" s="2" t="n">
        <v>2</v>
      </c>
      <c r="J45" s="4" t="n">
        <v>0.4</v>
      </c>
      <c r="K45" s="3" t="n">
        <v>100</v>
      </c>
      <c r="L45" s="3" t="n">
        <v>40</v>
      </c>
    </row>
    <row r="46">
      <c r="A46" s="2" t="inlineStr">
        <is>
          <t>Europe PMC</t>
        </is>
      </c>
      <c r="B46" s="2" t="n">
        <v>1</v>
      </c>
      <c r="C46" s="2" t="n">
        <v>1</v>
      </c>
      <c r="D46" s="2" t="n">
        <v>1</v>
      </c>
      <c r="E46" s="2" t="n">
        <v>0</v>
      </c>
      <c r="F46" s="2" t="n">
        <v>1</v>
      </c>
      <c r="G46" s="2" t="n">
        <v>0</v>
      </c>
      <c r="H46" s="2" t="n">
        <v>0</v>
      </c>
      <c r="I46" s="2" t="n">
        <v>3</v>
      </c>
      <c r="J46" s="4" t="n">
        <v>0.6</v>
      </c>
      <c r="K46" s="3" t="n">
        <v>91.66666666666667</v>
      </c>
      <c r="L46" s="3" t="n">
        <v>47.5</v>
      </c>
    </row>
    <row r="47">
      <c r="A47" s="2" t="inlineStr">
        <is>
          <t>FAIR Wizard</t>
        </is>
      </c>
      <c r="B47" s="2" t="n">
        <v>1</v>
      </c>
      <c r="C47" s="2" t="n">
        <v>1</v>
      </c>
      <c r="D47" s="2" t="n">
        <v>1</v>
      </c>
      <c r="E47" s="2" t="n">
        <v>0</v>
      </c>
      <c r="F47" s="2" t="n">
        <v>1</v>
      </c>
      <c r="G47" s="2" t="n">
        <v>1</v>
      </c>
      <c r="H47" s="2" t="n">
        <v>1</v>
      </c>
      <c r="I47" s="2" t="n">
        <v>5</v>
      </c>
      <c r="J47" s="4" t="n">
        <v>1</v>
      </c>
      <c r="K47" s="3" t="n">
        <v>75</v>
      </c>
      <c r="L47" s="3" t="n">
        <v>72.5</v>
      </c>
    </row>
    <row r="48">
      <c r="A48" s="2" t="inlineStr">
        <is>
          <t>Fedora</t>
        </is>
      </c>
      <c r="B48" s="2" t="n">
        <v>1</v>
      </c>
      <c r="C48" s="2" t="n">
        <v>1</v>
      </c>
      <c r="D48" s="2" t="n">
        <v>1</v>
      </c>
      <c r="E48" s="2" t="n">
        <v>0</v>
      </c>
      <c r="F48" s="2" t="n">
        <v>1</v>
      </c>
      <c r="G48" s="2" t="n">
        <v>0</v>
      </c>
      <c r="H48" s="2" t="n">
        <v>1</v>
      </c>
      <c r="I48" s="2" t="n">
        <v>4</v>
      </c>
      <c r="J48" s="4" t="n">
        <v>0.8</v>
      </c>
      <c r="K48" s="3" t="n">
        <v>81.25</v>
      </c>
      <c r="L48" s="3" t="n">
        <v>62.5</v>
      </c>
    </row>
    <row r="49">
      <c r="A49" s="2" t="inlineStr">
        <is>
          <t>fido</t>
        </is>
      </c>
      <c r="B49" s="2" t="n">
        <v>1</v>
      </c>
      <c r="C49" s="2" t="n">
        <v>1</v>
      </c>
      <c r="D49" s="2" t="n">
        <v>1</v>
      </c>
      <c r="E49" s="2" t="n">
        <v>0</v>
      </c>
      <c r="F49" s="2" t="n">
        <v>1</v>
      </c>
      <c r="G49" s="2" t="n">
        <v>1</v>
      </c>
      <c r="H49" s="2" t="n">
        <v>0</v>
      </c>
      <c r="I49" s="2" t="n">
        <v>4</v>
      </c>
      <c r="J49" s="4" t="n">
        <v>0.8</v>
      </c>
      <c r="K49" s="3" t="n">
        <v>75</v>
      </c>
      <c r="L49" s="3" t="n">
        <v>55</v>
      </c>
    </row>
    <row r="50">
      <c r="A50" s="2" t="inlineStr">
        <is>
          <t>Fulcrum</t>
        </is>
      </c>
      <c r="B50" s="2" t="n">
        <v>1</v>
      </c>
      <c r="C50" s="2" t="n">
        <v>1</v>
      </c>
      <c r="D50" s="2" t="n">
        <v>0</v>
      </c>
      <c r="E50" s="2" t="n">
        <v>0</v>
      </c>
      <c r="F50" s="2" t="n">
        <v>0</v>
      </c>
      <c r="G50" s="2" t="n">
        <v>0</v>
      </c>
      <c r="H50" s="2" t="n">
        <v>1</v>
      </c>
      <c r="I50" s="2" t="n">
        <v>3</v>
      </c>
      <c r="J50" s="4" t="n">
        <v>0.6</v>
      </c>
      <c r="K50" s="3" t="n">
        <v>100</v>
      </c>
      <c r="L50" s="3" t="n">
        <v>60</v>
      </c>
    </row>
    <row r="51">
      <c r="A51" s="2" t="inlineStr">
        <is>
          <t>Galaxy</t>
        </is>
      </c>
      <c r="B51" s="2" t="n">
        <v>1</v>
      </c>
      <c r="C51" s="2" t="n">
        <v>1</v>
      </c>
      <c r="D51" s="2" t="n">
        <v>1</v>
      </c>
      <c r="E51" s="2" t="n">
        <v>1</v>
      </c>
      <c r="F51" s="2" t="n">
        <v>1</v>
      </c>
      <c r="G51" s="2" t="n">
        <v>1</v>
      </c>
      <c r="H51" s="2" t="n">
        <v>1</v>
      </c>
      <c r="I51" s="2" t="n">
        <v>5</v>
      </c>
      <c r="J51" s="4" t="n">
        <v>1</v>
      </c>
      <c r="K51" s="3" t="n">
        <v>90</v>
      </c>
      <c r="L51" s="3" t="n">
        <v>90</v>
      </c>
    </row>
    <row r="52">
      <c r="A52" s="2" t="inlineStr">
        <is>
          <t>GeoServer</t>
        </is>
      </c>
      <c r="B52" s="2" t="n">
        <v>1</v>
      </c>
      <c r="C52" s="2" t="n">
        <v>1</v>
      </c>
      <c r="D52" s="2" t="n">
        <v>1</v>
      </c>
      <c r="E52" s="2" t="n">
        <v>1</v>
      </c>
      <c r="F52" s="2" t="n">
        <v>1</v>
      </c>
      <c r="G52" s="2" t="n">
        <v>1</v>
      </c>
      <c r="H52" s="2" t="n">
        <v>1</v>
      </c>
      <c r="I52" s="2" t="n">
        <v>5</v>
      </c>
      <c r="J52" s="4" t="n">
        <v>1</v>
      </c>
      <c r="K52" s="3" t="n">
        <v>80</v>
      </c>
      <c r="L52" s="3" t="n">
        <v>80</v>
      </c>
    </row>
    <row r="53">
      <c r="A53" s="2" t="inlineStr">
        <is>
          <t>Hyku</t>
        </is>
      </c>
      <c r="B53" s="2" t="n">
        <v>1</v>
      </c>
      <c r="C53" s="2" t="n">
        <v>1</v>
      </c>
      <c r="D53" s="2" t="n">
        <v>1</v>
      </c>
      <c r="E53" s="2" t="n">
        <v>1</v>
      </c>
      <c r="F53" s="2" t="n">
        <v>1</v>
      </c>
      <c r="G53" s="2" t="n">
        <v>0</v>
      </c>
      <c r="H53" s="2" t="n">
        <v>1</v>
      </c>
      <c r="I53" s="2" t="n">
        <v>4</v>
      </c>
      <c r="J53" s="4" t="n">
        <v>0.8</v>
      </c>
      <c r="K53" s="3" t="n">
        <v>81.25</v>
      </c>
      <c r="L53" s="3" t="n">
        <v>65</v>
      </c>
    </row>
    <row r="54">
      <c r="A54" s="2" t="inlineStr">
        <is>
          <t>Hyrax</t>
        </is>
      </c>
      <c r="B54" s="2" t="n">
        <v>1</v>
      </c>
      <c r="C54" s="2" t="n">
        <v>1</v>
      </c>
      <c r="D54" s="2" t="n">
        <v>1</v>
      </c>
      <c r="E54" s="2" t="n">
        <v>1</v>
      </c>
      <c r="F54" s="2" t="n">
        <v>1</v>
      </c>
      <c r="G54" s="2" t="n">
        <v>1</v>
      </c>
      <c r="H54" s="2" t="n">
        <v>1</v>
      </c>
      <c r="I54" s="2" t="n">
        <v>5</v>
      </c>
      <c r="J54" s="4" t="n">
        <v>1</v>
      </c>
      <c r="K54" s="3" t="n">
        <v>65</v>
      </c>
      <c r="L54" s="3" t="n">
        <v>65</v>
      </c>
    </row>
    <row r="55">
      <c r="A55" s="2" t="inlineStr">
        <is>
          <t>IIIF</t>
        </is>
      </c>
      <c r="B55" s="2" t="n">
        <v>1</v>
      </c>
      <c r="C55" s="2" t="n">
        <v>1</v>
      </c>
      <c r="D55" s="2" t="n">
        <v>0</v>
      </c>
      <c r="E55" s="2" t="n">
        <v>0</v>
      </c>
      <c r="F55" s="2" t="n">
        <v>0</v>
      </c>
      <c r="G55" s="2" t="n">
        <v>0</v>
      </c>
      <c r="H55" s="2" t="n">
        <v>0</v>
      </c>
      <c r="I55" s="2" t="n">
        <v>2</v>
      </c>
      <c r="J55" s="4" t="n">
        <v>0.4</v>
      </c>
      <c r="K55" s="3" t="n">
        <v>100</v>
      </c>
      <c r="L55" s="3" t="n">
        <v>40</v>
      </c>
    </row>
    <row r="56">
      <c r="A56" s="2" t="inlineStr">
        <is>
          <t>ImpactU</t>
        </is>
      </c>
      <c r="B56" s="2" t="n">
        <v>1</v>
      </c>
      <c r="C56" s="2" t="n">
        <v>1</v>
      </c>
      <c r="D56" s="2" t="n">
        <v>0</v>
      </c>
      <c r="E56" s="2" t="n">
        <v>0</v>
      </c>
      <c r="F56" s="2" t="n">
        <v>0</v>
      </c>
      <c r="G56" s="2" t="n">
        <v>1</v>
      </c>
      <c r="H56" s="2" t="n">
        <v>1</v>
      </c>
      <c r="I56" s="2" t="n">
        <v>4</v>
      </c>
      <c r="J56" s="4" t="n">
        <v>0.8</v>
      </c>
      <c r="K56" s="3" t="n">
        <v>87.5</v>
      </c>
      <c r="L56" s="3" t="n">
        <v>70</v>
      </c>
    </row>
    <row r="57">
      <c r="A57" s="2" t="inlineStr">
        <is>
          <t>International Generic Sample Number (IGSN)</t>
        </is>
      </c>
      <c r="B57" s="2" t="n">
        <v>1</v>
      </c>
      <c r="C57" s="2" t="n">
        <v>1</v>
      </c>
      <c r="D57" s="2" t="n">
        <v>1</v>
      </c>
      <c r="E57" s="2" t="n">
        <v>1</v>
      </c>
      <c r="F57" s="2" t="n">
        <v>1</v>
      </c>
      <c r="G57" s="2" t="n">
        <v>1</v>
      </c>
      <c r="H57" s="2" t="n">
        <v>1</v>
      </c>
      <c r="I57" s="2" t="n">
        <v>5</v>
      </c>
      <c r="J57" s="4" t="n">
        <v>1</v>
      </c>
      <c r="K57" s="3" t="n">
        <v>80</v>
      </c>
      <c r="L57" s="3" t="n">
        <v>80</v>
      </c>
    </row>
    <row r="58">
      <c r="A58" s="2" t="inlineStr">
        <is>
          <t>InvenioRDM</t>
        </is>
      </c>
      <c r="B58" s="2" t="n">
        <v>1</v>
      </c>
      <c r="C58" s="2" t="n">
        <v>1</v>
      </c>
      <c r="D58" s="2" t="n">
        <v>0</v>
      </c>
      <c r="E58" s="2" t="n">
        <v>0</v>
      </c>
      <c r="F58" s="2" t="n">
        <v>0</v>
      </c>
      <c r="G58" s="2" t="n">
        <v>0</v>
      </c>
      <c r="H58" s="2" t="n">
        <v>1</v>
      </c>
      <c r="I58" s="2" t="n">
        <v>3</v>
      </c>
      <c r="J58" s="4" t="n">
        <v>0.6</v>
      </c>
      <c r="K58" s="3" t="n">
        <v>62.96296296296296</v>
      </c>
      <c r="L58" s="3" t="n">
        <v>37.77777777777778</v>
      </c>
    </row>
    <row r="59">
      <c r="A59" s="2" t="inlineStr">
        <is>
          <t>iRODS</t>
        </is>
      </c>
      <c r="B59" s="2" t="n">
        <v>1</v>
      </c>
      <c r="C59" s="2" t="n">
        <v>1</v>
      </c>
      <c r="D59" s="2" t="n">
        <v>1</v>
      </c>
      <c r="E59" s="2" t="n">
        <v>1</v>
      </c>
      <c r="F59" s="2" t="n">
        <v>1</v>
      </c>
      <c r="G59" s="2" t="n">
        <v>1</v>
      </c>
      <c r="H59" s="2" t="n">
        <v>1</v>
      </c>
      <c r="I59" s="2" t="n">
        <v>5</v>
      </c>
      <c r="J59" s="4" t="n">
        <v>1</v>
      </c>
      <c r="K59" s="3" t="n">
        <v>75</v>
      </c>
      <c r="L59" s="3" t="n">
        <v>75</v>
      </c>
    </row>
    <row r="60">
      <c r="A60" s="2" t="inlineStr">
        <is>
          <t>Islandora</t>
        </is>
      </c>
      <c r="B60" s="2" t="n">
        <v>1</v>
      </c>
      <c r="C60" s="2" t="n">
        <v>1</v>
      </c>
      <c r="D60" s="2" t="n">
        <v>0</v>
      </c>
      <c r="E60" s="2" t="n">
        <v>0</v>
      </c>
      <c r="F60" s="2" t="n">
        <v>0</v>
      </c>
      <c r="G60" s="2" t="n">
        <v>0</v>
      </c>
      <c r="H60" s="2" t="n">
        <v>1</v>
      </c>
      <c r="I60" s="2" t="n">
        <v>3</v>
      </c>
      <c r="J60" s="4" t="n">
        <v>0.6</v>
      </c>
      <c r="K60" s="3" t="n">
        <v>100</v>
      </c>
      <c r="L60" s="3" t="n">
        <v>60</v>
      </c>
    </row>
    <row r="61">
      <c r="A61" s="2" t="inlineStr">
        <is>
          <t>Janeway</t>
        </is>
      </c>
      <c r="B61" s="2" t="n">
        <v>1</v>
      </c>
      <c r="C61" s="2" t="n">
        <v>1</v>
      </c>
      <c r="D61" s="2" t="n">
        <v>0</v>
      </c>
      <c r="E61" s="2" t="n">
        <v>0</v>
      </c>
      <c r="F61" s="2" t="n">
        <v>0</v>
      </c>
      <c r="G61" s="2" t="n">
        <v>0</v>
      </c>
      <c r="H61" s="2" t="n">
        <v>1</v>
      </c>
      <c r="I61" s="2" t="n">
        <v>3</v>
      </c>
      <c r="J61" s="4" t="n">
        <v>0.6</v>
      </c>
      <c r="K61" s="3" t="n">
        <v>100</v>
      </c>
      <c r="L61" s="3" t="n">
        <v>60</v>
      </c>
    </row>
    <row r="62">
      <c r="A62" s="2" t="inlineStr">
        <is>
          <t>JHOVE</t>
        </is>
      </c>
      <c r="B62" s="2" t="n">
        <v>1</v>
      </c>
      <c r="C62" s="2" t="n">
        <v>1</v>
      </c>
      <c r="D62" s="2" t="n">
        <v>1</v>
      </c>
      <c r="E62" s="2" t="n">
        <v>1</v>
      </c>
      <c r="F62" s="2" t="n">
        <v>1</v>
      </c>
      <c r="G62" s="2" t="n">
        <v>1</v>
      </c>
      <c r="H62" s="2" t="n">
        <v>1</v>
      </c>
      <c r="I62" s="2" t="n">
        <v>5</v>
      </c>
      <c r="J62" s="4" t="n">
        <v>1</v>
      </c>
      <c r="K62" s="3" t="n">
        <v>52.5</v>
      </c>
      <c r="L62" s="3" t="n">
        <v>52.5</v>
      </c>
    </row>
    <row r="63">
      <c r="A63" s="2" t="inlineStr">
        <is>
          <t>LA Referencia</t>
        </is>
      </c>
      <c r="B63" s="2" t="n">
        <v>1</v>
      </c>
      <c r="C63" s="2" t="n">
        <v>1</v>
      </c>
      <c r="D63" s="2" t="n">
        <v>0</v>
      </c>
      <c r="E63" s="2" t="n">
        <v>0</v>
      </c>
      <c r="F63" s="2" t="n">
        <v>0</v>
      </c>
      <c r="G63" s="2" t="n">
        <v>0</v>
      </c>
      <c r="H63" s="2" t="n">
        <v>0</v>
      </c>
      <c r="I63" s="2" t="n">
        <v>2</v>
      </c>
      <c r="J63" s="4" t="n">
        <v>0.4</v>
      </c>
      <c r="K63" s="3" t="n">
        <v>100</v>
      </c>
      <c r="L63" s="3" t="n">
        <v>40</v>
      </c>
    </row>
    <row r="64">
      <c r="A64" s="2" t="inlineStr">
        <is>
          <t>Manifold</t>
        </is>
      </c>
      <c r="B64" s="2" t="n">
        <v>1</v>
      </c>
      <c r="C64" s="2" t="n">
        <v>1</v>
      </c>
      <c r="D64" s="2" t="n">
        <v>0</v>
      </c>
      <c r="E64" s="2" t="n">
        <v>0</v>
      </c>
      <c r="F64" s="2" t="n">
        <v>0</v>
      </c>
      <c r="G64" s="2" t="n">
        <v>0</v>
      </c>
      <c r="H64" s="2" t="n">
        <v>1</v>
      </c>
      <c r="I64" s="2" t="n">
        <v>3</v>
      </c>
      <c r="J64" s="4" t="n">
        <v>0.6</v>
      </c>
      <c r="K64" s="3" t="n">
        <v>100</v>
      </c>
      <c r="L64" s="3" t="n">
        <v>60</v>
      </c>
    </row>
    <row r="65">
      <c r="A65" s="2" t="inlineStr">
        <is>
          <t>medRxiv</t>
        </is>
      </c>
      <c r="B65" s="2" t="n">
        <v>1</v>
      </c>
      <c r="C65" s="2" t="n">
        <v>1</v>
      </c>
      <c r="D65" s="2" t="n">
        <v>0</v>
      </c>
      <c r="E65" s="2" t="n">
        <v>0</v>
      </c>
      <c r="F65" s="2" t="n">
        <v>0</v>
      </c>
      <c r="G65" s="2" t="n">
        <v>0</v>
      </c>
      <c r="H65" s="2" t="n">
        <v>1</v>
      </c>
      <c r="I65" s="2" t="n">
        <v>3</v>
      </c>
      <c r="J65" s="4" t="n">
        <v>0.6</v>
      </c>
      <c r="K65" s="3" t="n">
        <v>100</v>
      </c>
      <c r="L65" s="3" t="n">
        <v>60</v>
      </c>
    </row>
    <row r="66">
      <c r="A66" s="2" t="inlineStr">
        <is>
          <t>Metadata Encoding and Transmission Standard (METS)</t>
        </is>
      </c>
      <c r="B66" s="2" t="n">
        <v>1</v>
      </c>
      <c r="C66" s="2" t="n">
        <v>1</v>
      </c>
      <c r="D66" s="2" t="n">
        <v>1</v>
      </c>
      <c r="E66" s="2" t="n">
        <v>1</v>
      </c>
      <c r="F66" s="2" t="n">
        <v>1</v>
      </c>
      <c r="G66" s="2" t="n">
        <v>1</v>
      </c>
      <c r="H66" s="2" t="n">
        <v>0</v>
      </c>
      <c r="I66" s="2" t="n">
        <v>4</v>
      </c>
      <c r="J66" s="4" t="n">
        <v>0.8</v>
      </c>
      <c r="K66" s="3" t="n">
        <v>65.625</v>
      </c>
      <c r="L66" s="3" t="n">
        <v>52.5</v>
      </c>
    </row>
    <row r="67">
      <c r="A67" s="2" t="inlineStr">
        <is>
          <t>Mirador</t>
        </is>
      </c>
      <c r="B67" s="2" t="n">
        <v>1</v>
      </c>
      <c r="C67" s="2" t="n">
        <v>1</v>
      </c>
      <c r="D67" s="2" t="n">
        <v>0</v>
      </c>
      <c r="E67" s="2" t="n">
        <v>0</v>
      </c>
      <c r="F67" s="2" t="n">
        <v>0</v>
      </c>
      <c r="G67" s="2" t="n">
        <v>0</v>
      </c>
      <c r="H67" s="2" t="n">
        <v>0</v>
      </c>
      <c r="I67" s="2" t="n">
        <v>2</v>
      </c>
      <c r="J67" s="4" t="n">
        <v>0.4</v>
      </c>
      <c r="K67" s="3" t="n">
        <v>100</v>
      </c>
      <c r="L67" s="3" t="n">
        <v>40</v>
      </c>
    </row>
    <row r="68">
      <c r="A68" s="2" t="inlineStr">
        <is>
          <t>Mukurtu CMS</t>
        </is>
      </c>
      <c r="B68" s="2" t="n">
        <v>1</v>
      </c>
      <c r="C68" s="2" t="n">
        <v>1</v>
      </c>
      <c r="D68" s="2" t="n">
        <v>0</v>
      </c>
      <c r="E68" s="2" t="n">
        <v>0</v>
      </c>
      <c r="F68" s="2" t="n">
        <v>0</v>
      </c>
      <c r="G68" s="2" t="n">
        <v>0</v>
      </c>
      <c r="H68" s="2" t="n">
        <v>1</v>
      </c>
      <c r="I68" s="2" t="n">
        <v>3</v>
      </c>
      <c r="J68" s="4" t="n">
        <v>0.6</v>
      </c>
      <c r="K68" s="3" t="n">
        <v>100</v>
      </c>
      <c r="L68" s="3" t="n">
        <v>60</v>
      </c>
    </row>
    <row r="69">
      <c r="A69" s="2" t="inlineStr">
        <is>
          <t>MyCoRe</t>
        </is>
      </c>
      <c r="B69" s="2" t="n">
        <v>1</v>
      </c>
      <c r="C69" s="2" t="n">
        <v>1</v>
      </c>
      <c r="D69" s="2" t="n">
        <v>1</v>
      </c>
      <c r="E69" s="2" t="n">
        <v>1</v>
      </c>
      <c r="F69" s="2" t="n">
        <v>1</v>
      </c>
      <c r="G69" s="2" t="n">
        <v>1</v>
      </c>
      <c r="H69" s="2" t="n">
        <v>1</v>
      </c>
      <c r="I69" s="2" t="n">
        <v>5</v>
      </c>
      <c r="J69" s="4" t="n">
        <v>1</v>
      </c>
      <c r="K69" s="3" t="n">
        <v>77.5</v>
      </c>
      <c r="L69" s="3" t="n">
        <v>77.5</v>
      </c>
    </row>
    <row r="70">
      <c r="A70" s="2" t="inlineStr">
        <is>
          <t>NumPy</t>
        </is>
      </c>
      <c r="B70" s="2" t="n">
        <v>1</v>
      </c>
      <c r="C70" s="2" t="n">
        <v>1</v>
      </c>
      <c r="D70" s="2" t="n">
        <v>1</v>
      </c>
      <c r="E70" s="2" t="n">
        <v>1</v>
      </c>
      <c r="F70" s="2" t="n">
        <v>1</v>
      </c>
      <c r="G70" s="2" t="n">
        <v>1</v>
      </c>
      <c r="H70" s="2" t="n">
        <v>0</v>
      </c>
      <c r="I70" s="2" t="n">
        <v>4</v>
      </c>
      <c r="J70" s="4" t="n">
        <v>0.8</v>
      </c>
      <c r="K70" s="3" t="n">
        <v>71.875</v>
      </c>
      <c r="L70" s="3" t="n">
        <v>57.5</v>
      </c>
    </row>
    <row r="71">
      <c r="A71" s="2" t="inlineStr">
        <is>
          <t>OA.Report</t>
        </is>
      </c>
      <c r="B71" s="2" t="n">
        <v>1</v>
      </c>
      <c r="C71" s="2" t="n">
        <v>1</v>
      </c>
      <c r="D71" s="2" t="n">
        <v>1</v>
      </c>
      <c r="E71" s="2" t="n">
        <v>1</v>
      </c>
      <c r="F71" s="2" t="n">
        <v>1</v>
      </c>
      <c r="G71" s="2" t="n">
        <v>1</v>
      </c>
      <c r="H71" s="2" t="n">
        <v>1</v>
      </c>
      <c r="I71" s="2" t="n">
        <v>5</v>
      </c>
      <c r="J71" s="4" t="n">
        <v>1</v>
      </c>
      <c r="K71" s="3" t="n">
        <v>85</v>
      </c>
      <c r="L71" s="3" t="n">
        <v>85</v>
      </c>
    </row>
    <row r="72">
      <c r="A72" s="2" t="inlineStr">
        <is>
          <t>OA Switchboard</t>
        </is>
      </c>
      <c r="B72" s="2" t="n">
        <v>1</v>
      </c>
      <c r="C72" s="2" t="n">
        <v>1</v>
      </c>
      <c r="D72" s="2" t="n">
        <v>0</v>
      </c>
      <c r="E72" s="2" t="n">
        <v>0</v>
      </c>
      <c r="F72" s="2" t="n">
        <v>0</v>
      </c>
      <c r="G72" s="2" t="n">
        <v>0</v>
      </c>
      <c r="H72" s="2" t="n">
        <v>0</v>
      </c>
      <c r="I72" s="2" t="n">
        <v>2</v>
      </c>
      <c r="J72" s="4" t="n">
        <v>0.4</v>
      </c>
      <c r="K72" s="3" t="n">
        <v>100</v>
      </c>
      <c r="L72" s="3" t="n">
        <v>40</v>
      </c>
    </row>
    <row r="73">
      <c r="A73" s="2" t="inlineStr">
        <is>
          <t>Omeka</t>
        </is>
      </c>
      <c r="B73" s="2" t="n">
        <v>1</v>
      </c>
      <c r="C73" s="2" t="n">
        <v>1</v>
      </c>
      <c r="D73" s="2" t="n">
        <v>0</v>
      </c>
      <c r="E73" s="2" t="n">
        <v>0</v>
      </c>
      <c r="F73" s="2" t="n">
        <v>0</v>
      </c>
      <c r="G73" s="2" t="n">
        <v>0</v>
      </c>
      <c r="H73" s="2" t="n">
        <v>1</v>
      </c>
      <c r="I73" s="2" t="n">
        <v>3</v>
      </c>
      <c r="J73" s="4" t="n">
        <v>0.6</v>
      </c>
      <c r="K73" s="3" t="n">
        <v>100</v>
      </c>
      <c r="L73" s="3" t="n">
        <v>60</v>
      </c>
    </row>
    <row r="74">
      <c r="A74" s="2" t="inlineStr">
        <is>
          <t>OpenAIRE Graph</t>
        </is>
      </c>
      <c r="B74" s="2" t="n">
        <v>1</v>
      </c>
      <c r="C74" s="2" t="n">
        <v>1</v>
      </c>
      <c r="D74" s="2" t="n">
        <v>0</v>
      </c>
      <c r="E74" s="2" t="n">
        <v>0</v>
      </c>
      <c r="F74" s="2" t="n">
        <v>0</v>
      </c>
      <c r="G74" s="2" t="n">
        <v>1</v>
      </c>
      <c r="H74" s="2" t="n">
        <v>0</v>
      </c>
      <c r="I74" s="2" t="n">
        <v>3</v>
      </c>
      <c r="J74" s="4" t="n">
        <v>0.6</v>
      </c>
      <c r="K74" s="3" t="n">
        <v>83.33333333333333</v>
      </c>
      <c r="L74" s="3" t="n">
        <v>50</v>
      </c>
    </row>
    <row r="75">
      <c r="A75" s="2" t="inlineStr">
        <is>
          <t>OpenAlex</t>
        </is>
      </c>
      <c r="B75" s="2" t="n">
        <v>1</v>
      </c>
      <c r="C75" s="2" t="n">
        <v>1</v>
      </c>
      <c r="D75" s="2" t="n">
        <v>0</v>
      </c>
      <c r="E75" s="2" t="n">
        <v>0</v>
      </c>
      <c r="F75" s="2" t="n">
        <v>0</v>
      </c>
      <c r="G75" s="2" t="n">
        <v>0</v>
      </c>
      <c r="H75" s="2" t="n">
        <v>0</v>
      </c>
      <c r="I75" s="2" t="n">
        <v>2</v>
      </c>
      <c r="J75" s="4" t="n">
        <v>0.4</v>
      </c>
      <c r="K75" s="3" t="n">
        <v>100</v>
      </c>
      <c r="L75" s="3" t="n">
        <v>40</v>
      </c>
    </row>
    <row r="76">
      <c r="A76" s="2" t="inlineStr">
        <is>
          <t>OpenAPC</t>
        </is>
      </c>
      <c r="B76" s="2" t="n">
        <v>1</v>
      </c>
      <c r="C76" s="2" t="n">
        <v>1</v>
      </c>
      <c r="D76" s="2" t="n">
        <v>1</v>
      </c>
      <c r="E76" s="2" t="n">
        <v>1</v>
      </c>
      <c r="F76" s="2" t="n">
        <v>1</v>
      </c>
      <c r="G76" s="2" t="n">
        <v>1</v>
      </c>
      <c r="H76" s="2" t="n">
        <v>0</v>
      </c>
      <c r="I76" s="2" t="n">
        <v>4</v>
      </c>
      <c r="J76" s="4" t="n">
        <v>0.8</v>
      </c>
      <c r="K76" s="3" t="n">
        <v>65.625</v>
      </c>
      <c r="L76" s="3" t="n">
        <v>52.5</v>
      </c>
    </row>
    <row r="77">
      <c r="A77" s="2" t="inlineStr">
        <is>
          <t>OpenCitations</t>
        </is>
      </c>
      <c r="B77" s="2" t="n">
        <v>1</v>
      </c>
      <c r="C77" s="2" t="n">
        <v>1</v>
      </c>
      <c r="D77" s="2" t="n">
        <v>1</v>
      </c>
      <c r="E77" s="2" t="n">
        <v>1</v>
      </c>
      <c r="F77" s="2" t="n">
        <v>1</v>
      </c>
      <c r="G77" s="2" t="n">
        <v>1</v>
      </c>
      <c r="H77" s="2" t="n">
        <v>0</v>
      </c>
      <c r="I77" s="2" t="n">
        <v>4</v>
      </c>
      <c r="J77" s="4" t="n">
        <v>0.8</v>
      </c>
      <c r="K77" s="3" t="n">
        <v>71.875</v>
      </c>
      <c r="L77" s="3" t="n">
        <v>57.5</v>
      </c>
    </row>
    <row r="78">
      <c r="A78" s="2" t="inlineStr">
        <is>
          <t>openCost</t>
        </is>
      </c>
      <c r="B78" s="2" t="n">
        <v>1</v>
      </c>
      <c r="C78" s="2" t="n">
        <v>1</v>
      </c>
      <c r="D78" s="2" t="n">
        <v>0</v>
      </c>
      <c r="E78" s="2" t="n">
        <v>0</v>
      </c>
      <c r="F78" s="2" t="n">
        <v>0</v>
      </c>
      <c r="G78" s="2" t="n">
        <v>1</v>
      </c>
      <c r="H78" s="2" t="n">
        <v>0</v>
      </c>
      <c r="I78" s="2" t="n">
        <v>3</v>
      </c>
      <c r="J78" s="4" t="n">
        <v>0.6</v>
      </c>
      <c r="K78" s="3" t="n">
        <v>83.33333333333333</v>
      </c>
      <c r="L78" s="3" t="n">
        <v>50</v>
      </c>
    </row>
    <row r="79">
      <c r="A79" s="2" t="inlineStr">
        <is>
          <t>Open Data Editor</t>
        </is>
      </c>
      <c r="B79" s="2" t="n">
        <v>1</v>
      </c>
      <c r="C79" s="2" t="n">
        <v>1</v>
      </c>
      <c r="D79" s="2" t="n">
        <v>1</v>
      </c>
      <c r="E79" s="2" t="n">
        <v>1</v>
      </c>
      <c r="F79" s="2" t="n">
        <v>1</v>
      </c>
      <c r="G79" s="2" t="n">
        <v>1</v>
      </c>
      <c r="H79" s="2" t="n">
        <v>0</v>
      </c>
      <c r="I79" s="2" t="n">
        <v>4</v>
      </c>
      <c r="J79" s="4" t="n">
        <v>0.8</v>
      </c>
      <c r="K79" s="3" t="n">
        <v>84.375</v>
      </c>
      <c r="L79" s="3" t="n">
        <v>67.5</v>
      </c>
    </row>
    <row r="80">
      <c r="A80" s="2" t="inlineStr">
        <is>
          <t>OpenEdition</t>
        </is>
      </c>
      <c r="B80" s="2" t="n">
        <v>1</v>
      </c>
      <c r="C80" s="2" t="n">
        <v>0</v>
      </c>
      <c r="D80" s="2" t="n">
        <v>0</v>
      </c>
      <c r="E80" s="2" t="n">
        <v>0</v>
      </c>
      <c r="F80" s="2" t="n">
        <v>0</v>
      </c>
      <c r="G80" s="2" t="n">
        <v>0</v>
      </c>
      <c r="H80" s="2" t="n">
        <v>0</v>
      </c>
      <c r="I80" s="2" t="n">
        <v>1</v>
      </c>
      <c r="J80" s="4" t="n">
        <v>0.2</v>
      </c>
      <c r="K80" s="3" t="n">
        <v>100</v>
      </c>
      <c r="L80" s="3" t="n">
        <v>20</v>
      </c>
    </row>
    <row r="81">
      <c r="A81" s="2" t="inlineStr">
        <is>
          <t>Open Journal Systems (OJS)</t>
        </is>
      </c>
      <c r="B81" s="2" t="n">
        <v>1</v>
      </c>
      <c r="C81" s="2" t="n">
        <v>1</v>
      </c>
      <c r="D81" s="2" t="n">
        <v>0</v>
      </c>
      <c r="E81" s="2" t="n">
        <v>0</v>
      </c>
      <c r="F81" s="2" t="n">
        <v>0</v>
      </c>
      <c r="G81" s="2" t="n">
        <v>0</v>
      </c>
      <c r="H81" s="2" t="n">
        <v>1</v>
      </c>
      <c r="I81" s="2" t="n">
        <v>3</v>
      </c>
      <c r="J81" s="4" t="n">
        <v>0.6</v>
      </c>
      <c r="K81" s="3" t="n">
        <v>100</v>
      </c>
      <c r="L81" s="3" t="n">
        <v>60</v>
      </c>
    </row>
    <row r="82">
      <c r="A82" s="2" t="inlineStr">
        <is>
          <t>Open Monograph Press (OMP)</t>
        </is>
      </c>
      <c r="B82" s="2" t="n">
        <v>1</v>
      </c>
      <c r="C82" s="2" t="n">
        <v>1</v>
      </c>
      <c r="D82" s="2" t="n">
        <v>0</v>
      </c>
      <c r="E82" s="2" t="n">
        <v>0</v>
      </c>
      <c r="F82" s="2" t="n">
        <v>0</v>
      </c>
      <c r="G82" s="2" t="n">
        <v>0</v>
      </c>
      <c r="H82" s="2" t="n">
        <v>1</v>
      </c>
      <c r="I82" s="2" t="n">
        <v>3</v>
      </c>
      <c r="J82" s="4" t="n">
        <v>0.6</v>
      </c>
      <c r="K82" s="3" t="n">
        <v>100</v>
      </c>
      <c r="L82" s="3" t="n">
        <v>60</v>
      </c>
    </row>
    <row r="83">
      <c r="A83" s="2" t="inlineStr">
        <is>
          <t>Open Preprint Systems (OPS)</t>
        </is>
      </c>
      <c r="B83" s="2" t="n">
        <v>1</v>
      </c>
      <c r="C83" s="2" t="n">
        <v>1</v>
      </c>
      <c r="D83" s="2" t="n">
        <v>0</v>
      </c>
      <c r="E83" s="2" t="n">
        <v>0</v>
      </c>
      <c r="F83" s="2" t="n">
        <v>0</v>
      </c>
      <c r="G83" s="2" t="n">
        <v>0</v>
      </c>
      <c r="H83" s="2" t="n">
        <v>1</v>
      </c>
      <c r="I83" s="2" t="n">
        <v>3</v>
      </c>
      <c r="J83" s="4" t="n">
        <v>0.6</v>
      </c>
      <c r="K83" s="3" t="n">
        <v>100</v>
      </c>
      <c r="L83" s="3" t="n">
        <v>60</v>
      </c>
    </row>
    <row r="84">
      <c r="A84" s="2" t="inlineStr">
        <is>
          <t>Openverse</t>
        </is>
      </c>
      <c r="B84" s="2" t="n">
        <v>1</v>
      </c>
      <c r="C84" s="2" t="n">
        <v>1</v>
      </c>
      <c r="D84" s="2" t="n">
        <v>1</v>
      </c>
      <c r="E84" s="2" t="n">
        <v>0</v>
      </c>
      <c r="F84" s="2" t="n">
        <v>1</v>
      </c>
      <c r="G84" s="2" t="n">
        <v>1</v>
      </c>
      <c r="H84" s="2" t="n">
        <v>0</v>
      </c>
      <c r="I84" s="2" t="n">
        <v>4</v>
      </c>
      <c r="J84" s="4" t="n">
        <v>0.8</v>
      </c>
      <c r="K84" s="3" t="n">
        <v>75</v>
      </c>
      <c r="L84" s="3" t="n">
        <v>55</v>
      </c>
    </row>
    <row r="85">
      <c r="A85" s="2" t="inlineStr">
        <is>
          <t>O Portal Brasileiro de Publicações e Dados Científicos em Acesso Aberto (The Brazilian Open Access Publications and Scientific Data Portal) (Oasisbr)</t>
        </is>
      </c>
      <c r="B85" s="2" t="n">
        <v>1</v>
      </c>
      <c r="C85" s="2" t="n">
        <v>1</v>
      </c>
      <c r="D85" s="2" t="n">
        <v>0</v>
      </c>
      <c r="E85" s="2" t="n">
        <v>0</v>
      </c>
      <c r="F85" s="2" t="n">
        <v>0</v>
      </c>
      <c r="G85" s="2" t="n">
        <v>0</v>
      </c>
      <c r="H85" s="2" t="n">
        <v>0</v>
      </c>
      <c r="I85" s="2" t="n">
        <v>2</v>
      </c>
      <c r="J85" s="4" t="n">
        <v>0.4</v>
      </c>
      <c r="K85" s="3" t="n">
        <v>100</v>
      </c>
      <c r="L85" s="3" t="n">
        <v>40</v>
      </c>
    </row>
    <row r="86">
      <c r="A86" s="2" t="inlineStr">
        <is>
          <t>OSF (Open Science Framework)</t>
        </is>
      </c>
      <c r="B86" s="2" t="n">
        <v>1</v>
      </c>
      <c r="C86" s="2" t="n">
        <v>1</v>
      </c>
      <c r="D86" s="2" t="n">
        <v>0</v>
      </c>
      <c r="E86" s="2" t="n">
        <v>0</v>
      </c>
      <c r="F86" s="2" t="n">
        <v>0</v>
      </c>
      <c r="G86" s="2" t="n">
        <v>0</v>
      </c>
      <c r="H86" s="2" t="n">
        <v>1</v>
      </c>
      <c r="I86" s="2" t="n">
        <v>3</v>
      </c>
      <c r="J86" s="4" t="n">
        <v>0.6</v>
      </c>
      <c r="K86" s="3" t="n">
        <v>100</v>
      </c>
      <c r="L86" s="3" t="n">
        <v>60</v>
      </c>
    </row>
    <row r="87">
      <c r="A87" s="2" t="inlineStr">
        <is>
          <t>Oxford Common File Layout</t>
        </is>
      </c>
      <c r="B87" s="2" t="n">
        <v>1</v>
      </c>
      <c r="C87" s="2" t="n">
        <v>1</v>
      </c>
      <c r="D87" s="2" t="n">
        <v>0</v>
      </c>
      <c r="E87" s="2" t="n">
        <v>0</v>
      </c>
      <c r="F87" s="2" t="n">
        <v>0</v>
      </c>
      <c r="G87" s="2" t="n">
        <v>0</v>
      </c>
      <c r="H87" s="2" t="n">
        <v>0</v>
      </c>
      <c r="I87" s="2" t="n">
        <v>2</v>
      </c>
      <c r="J87" s="4" t="n">
        <v>0.4</v>
      </c>
      <c r="K87" s="3" t="n">
        <v>100</v>
      </c>
      <c r="L87" s="3" t="n">
        <v>40</v>
      </c>
    </row>
    <row r="88">
      <c r="A88" s="2" t="inlineStr">
        <is>
          <t>Peer Community In</t>
        </is>
      </c>
      <c r="B88" s="2" t="n">
        <v>1</v>
      </c>
      <c r="C88" s="2" t="n">
        <v>1</v>
      </c>
      <c r="D88" s="2" t="n">
        <v>0</v>
      </c>
      <c r="E88" s="2" t="n">
        <v>0</v>
      </c>
      <c r="F88" s="2" t="n">
        <v>0</v>
      </c>
      <c r="G88" s="2" t="n">
        <v>0</v>
      </c>
      <c r="H88" s="2" t="n">
        <v>0</v>
      </c>
      <c r="I88" s="2" t="n">
        <v>2</v>
      </c>
      <c r="J88" s="4" t="n">
        <v>0.4</v>
      </c>
      <c r="K88" s="3" t="n">
        <v>100</v>
      </c>
      <c r="L88" s="3" t="n">
        <v>40</v>
      </c>
    </row>
    <row r="89">
      <c r="A89" s="2" t="inlineStr">
        <is>
          <t>PKP Preservation Network</t>
        </is>
      </c>
      <c r="B89" s="2" t="n">
        <v>1</v>
      </c>
      <c r="C89" s="2" t="n">
        <v>1</v>
      </c>
      <c r="D89" s="2" t="n">
        <v>1</v>
      </c>
      <c r="E89" s="2" t="n">
        <v>0</v>
      </c>
      <c r="F89" s="2" t="n">
        <v>1</v>
      </c>
      <c r="G89" s="2" t="n">
        <v>1</v>
      </c>
      <c r="H89" s="2" t="n">
        <v>0</v>
      </c>
      <c r="I89" s="2" t="n">
        <v>4</v>
      </c>
      <c r="J89" s="4" t="n">
        <v>0.8</v>
      </c>
      <c r="K89" s="3" t="n">
        <v>87.5</v>
      </c>
      <c r="L89" s="3" t="n">
        <v>60</v>
      </c>
    </row>
    <row r="90">
      <c r="A90" s="2" t="inlineStr">
        <is>
          <t>PREreview</t>
        </is>
      </c>
      <c r="B90" s="2" t="n">
        <v>1</v>
      </c>
      <c r="C90" s="2" t="n">
        <v>1</v>
      </c>
      <c r="D90" s="2" t="n">
        <v>1</v>
      </c>
      <c r="E90" s="2" t="n">
        <v>0</v>
      </c>
      <c r="F90" s="2" t="n">
        <v>1</v>
      </c>
      <c r="G90" s="2" t="n">
        <v>0</v>
      </c>
      <c r="H90" s="2" t="n">
        <v>0</v>
      </c>
      <c r="I90" s="2" t="n">
        <v>3</v>
      </c>
      <c r="J90" s="4" t="n">
        <v>0.6</v>
      </c>
      <c r="K90" s="3" t="n">
        <v>75</v>
      </c>
      <c r="L90" s="3" t="n">
        <v>42.5</v>
      </c>
    </row>
    <row r="91">
      <c r="A91" s="2" t="inlineStr">
        <is>
          <t>Pressbooks</t>
        </is>
      </c>
      <c r="B91" s="2" t="n">
        <v>1</v>
      </c>
      <c r="C91" s="2" t="n">
        <v>1</v>
      </c>
      <c r="D91" s="2" t="n">
        <v>0</v>
      </c>
      <c r="E91" s="2" t="n">
        <v>0</v>
      </c>
      <c r="F91" s="2" t="n">
        <v>0</v>
      </c>
      <c r="G91" s="2" t="n">
        <v>0</v>
      </c>
      <c r="H91" s="2" t="n">
        <v>1</v>
      </c>
      <c r="I91" s="2" t="n">
        <v>3</v>
      </c>
      <c r="J91" s="4" t="n">
        <v>0.6</v>
      </c>
      <c r="K91" s="3" t="n">
        <v>100</v>
      </c>
      <c r="L91" s="3" t="n">
        <v>60</v>
      </c>
    </row>
    <row r="92">
      <c r="A92" s="2" t="inlineStr">
        <is>
          <t>Public Access Submission System</t>
        </is>
      </c>
      <c r="B92" s="2" t="n">
        <v>1</v>
      </c>
      <c r="C92" s="2" t="n">
        <v>1</v>
      </c>
      <c r="D92" s="2" t="n">
        <v>0</v>
      </c>
      <c r="E92" s="2" t="n">
        <v>0</v>
      </c>
      <c r="F92" s="2" t="n">
        <v>0</v>
      </c>
      <c r="G92" s="2" t="n">
        <v>0</v>
      </c>
      <c r="H92" s="2" t="n">
        <v>1</v>
      </c>
      <c r="I92" s="2" t="n">
        <v>3</v>
      </c>
      <c r="J92" s="4" t="n">
        <v>0.6</v>
      </c>
      <c r="K92" s="3" t="n">
        <v>66.66666666666667</v>
      </c>
      <c r="L92" s="3" t="n">
        <v>40</v>
      </c>
    </row>
    <row r="93">
      <c r="A93" s="2" t="inlineStr">
        <is>
          <t>Public Utility Data Liberation (PUDL)</t>
        </is>
      </c>
      <c r="B93" s="2" t="n">
        <v>1</v>
      </c>
      <c r="C93" s="2" t="n">
        <v>1</v>
      </c>
      <c r="D93" s="2" t="n">
        <v>1</v>
      </c>
      <c r="E93" s="2" t="n">
        <v>1</v>
      </c>
      <c r="F93" s="2" t="n">
        <v>1</v>
      </c>
      <c r="G93" s="2" t="n">
        <v>1</v>
      </c>
      <c r="H93" s="2" t="n">
        <v>1</v>
      </c>
      <c r="I93" s="2" t="n">
        <v>5</v>
      </c>
      <c r="J93" s="4" t="n">
        <v>1</v>
      </c>
      <c r="K93" s="3" t="n">
        <v>55</v>
      </c>
      <c r="L93" s="3" t="n">
        <v>55</v>
      </c>
    </row>
    <row r="94">
      <c r="A94" s="2" t="inlineStr">
        <is>
          <t>PubPub</t>
        </is>
      </c>
      <c r="B94" s="2" t="n">
        <v>1</v>
      </c>
      <c r="C94" s="2" t="n">
        <v>1</v>
      </c>
      <c r="D94" s="2" t="n">
        <v>0</v>
      </c>
      <c r="E94" s="2" t="n">
        <v>0</v>
      </c>
      <c r="F94" s="2" t="n">
        <v>0</v>
      </c>
      <c r="G94" s="2" t="n">
        <v>0</v>
      </c>
      <c r="H94" s="2" t="n">
        <v>1</v>
      </c>
      <c r="I94" s="2" t="n">
        <v>3</v>
      </c>
      <c r="J94" s="4" t="n">
        <v>0.6</v>
      </c>
      <c r="K94" s="3" t="n">
        <v>96.2962962962963</v>
      </c>
      <c r="L94" s="3" t="n">
        <v>57.77777777777779</v>
      </c>
    </row>
    <row r="95">
      <c r="A95" s="2" t="inlineStr">
        <is>
          <t>Pundit</t>
        </is>
      </c>
      <c r="B95" s="2" t="n">
        <v>1</v>
      </c>
      <c r="C95" s="2" t="n">
        <v>1</v>
      </c>
      <c r="D95" s="2" t="n">
        <v>1</v>
      </c>
      <c r="E95" s="2" t="n">
        <v>1</v>
      </c>
      <c r="F95" s="2" t="n">
        <v>1</v>
      </c>
      <c r="G95" s="2" t="n">
        <v>1</v>
      </c>
      <c r="H95" s="2" t="n">
        <v>1</v>
      </c>
      <c r="I95" s="2" t="n">
        <v>5</v>
      </c>
      <c r="J95" s="4" t="n">
        <v>1</v>
      </c>
      <c r="K95" s="3" t="n">
        <v>70</v>
      </c>
      <c r="L95" s="3" t="n">
        <v>70</v>
      </c>
    </row>
    <row r="96">
      <c r="A96" s="2" t="inlineStr">
        <is>
          <t>pyOpenSci</t>
        </is>
      </c>
      <c r="B96" s="2" t="n">
        <v>1</v>
      </c>
      <c r="C96" s="2" t="n">
        <v>1</v>
      </c>
      <c r="D96" s="2" t="n">
        <v>1</v>
      </c>
      <c r="E96" s="2" t="n">
        <v>1</v>
      </c>
      <c r="F96" s="2" t="n">
        <v>1</v>
      </c>
      <c r="G96" s="2" t="n">
        <v>1</v>
      </c>
      <c r="H96" s="2" t="n">
        <v>0</v>
      </c>
      <c r="I96" s="2" t="n">
        <v>4</v>
      </c>
      <c r="J96" s="4" t="n">
        <v>0.8</v>
      </c>
      <c r="K96" s="3" t="n">
        <v>90.625</v>
      </c>
      <c r="L96" s="3" t="n">
        <v>72.5</v>
      </c>
    </row>
    <row r="97">
      <c r="A97" s="2" t="inlineStr">
        <is>
          <t>Renku</t>
        </is>
      </c>
      <c r="B97" s="2" t="n">
        <v>1</v>
      </c>
      <c r="C97" s="2" t="n">
        <v>1</v>
      </c>
      <c r="D97" s="2" t="n">
        <v>1</v>
      </c>
      <c r="E97" s="2" t="n">
        <v>1</v>
      </c>
      <c r="F97" s="2" t="n">
        <v>1</v>
      </c>
      <c r="G97" s="2" t="n">
        <v>1</v>
      </c>
      <c r="H97" s="2" t="n">
        <v>1</v>
      </c>
      <c r="I97" s="2" t="n">
        <v>5</v>
      </c>
      <c r="J97" s="4" t="n">
        <v>1</v>
      </c>
      <c r="K97" s="3" t="n">
        <v>80</v>
      </c>
      <c r="L97" s="3" t="n">
        <v>80</v>
      </c>
    </row>
    <row r="98">
      <c r="A98" s="2" t="inlineStr">
        <is>
          <t>RePEc</t>
        </is>
      </c>
      <c r="B98" s="2" t="n">
        <v>1</v>
      </c>
      <c r="C98" s="2" t="n">
        <v>1</v>
      </c>
      <c r="D98" s="2" t="n">
        <v>1</v>
      </c>
      <c r="E98" s="2" t="n">
        <v>0</v>
      </c>
      <c r="F98" s="2" t="n">
        <v>1</v>
      </c>
      <c r="G98" s="2" t="n">
        <v>1</v>
      </c>
      <c r="H98" s="2" t="n">
        <v>0</v>
      </c>
      <c r="I98" s="2" t="n">
        <v>4</v>
      </c>
      <c r="J98" s="4" t="n">
        <v>0.8</v>
      </c>
      <c r="K98" s="3" t="n">
        <v>50</v>
      </c>
      <c r="L98" s="3" t="n">
        <v>40</v>
      </c>
    </row>
    <row r="99">
      <c r="A99" s="2" t="inlineStr">
        <is>
          <t>Research Organization Registry (ROR)</t>
        </is>
      </c>
      <c r="B99" s="2" t="n">
        <v>1</v>
      </c>
      <c r="C99" s="2" t="n">
        <v>1</v>
      </c>
      <c r="D99" s="2" t="n">
        <v>0</v>
      </c>
      <c r="E99" s="2" t="n">
        <v>0</v>
      </c>
      <c r="F99" s="2" t="n">
        <v>0</v>
      </c>
      <c r="G99" s="2" t="n">
        <v>0</v>
      </c>
      <c r="H99" s="2" t="n">
        <v>0</v>
      </c>
      <c r="I99" s="2" t="n">
        <v>2</v>
      </c>
      <c r="J99" s="4" t="n">
        <v>0.4</v>
      </c>
      <c r="K99" s="3" t="n">
        <v>100</v>
      </c>
      <c r="L99" s="3" t="n">
        <v>40</v>
      </c>
    </row>
    <row r="100">
      <c r="A100" s="2" t="inlineStr">
        <is>
          <t>Rogue Scholar</t>
        </is>
      </c>
      <c r="B100" s="2" t="n">
        <v>1</v>
      </c>
      <c r="C100" s="2" t="n">
        <v>1</v>
      </c>
      <c r="D100" s="2" t="n">
        <v>0</v>
      </c>
      <c r="E100" s="2" t="n">
        <v>0</v>
      </c>
      <c r="F100" s="2" t="n">
        <v>0</v>
      </c>
      <c r="G100" s="2" t="n">
        <v>0</v>
      </c>
      <c r="H100" s="2" t="n">
        <v>0</v>
      </c>
      <c r="I100" s="2" t="n">
        <v>2</v>
      </c>
      <c r="J100" s="4" t="n">
        <v>0.4</v>
      </c>
      <c r="K100" s="3" t="n">
        <v>100</v>
      </c>
      <c r="L100" s="3" t="n">
        <v>40</v>
      </c>
    </row>
    <row r="101">
      <c r="A101" s="2" t="inlineStr">
        <is>
          <t>RSpace</t>
        </is>
      </c>
      <c r="B101" s="2" t="n">
        <v>1</v>
      </c>
      <c r="C101" s="2" t="n">
        <v>1</v>
      </c>
      <c r="D101" s="2" t="n">
        <v>1</v>
      </c>
      <c r="E101" s="2" t="n">
        <v>1</v>
      </c>
      <c r="F101" s="2" t="n">
        <v>1</v>
      </c>
      <c r="G101" s="2" t="n">
        <v>1</v>
      </c>
      <c r="H101" s="2" t="n">
        <v>1</v>
      </c>
      <c r="I101" s="2" t="n">
        <v>5</v>
      </c>
      <c r="J101" s="4" t="n">
        <v>1</v>
      </c>
      <c r="K101" s="3" t="n">
        <v>67.5</v>
      </c>
      <c r="L101" s="3" t="n">
        <v>67.5</v>
      </c>
    </row>
    <row r="102">
      <c r="A102" s="2" t="inlineStr">
        <is>
          <t>Sciety</t>
        </is>
      </c>
      <c r="B102" s="2" t="n">
        <v>1</v>
      </c>
      <c r="C102" s="2" t="n">
        <v>1</v>
      </c>
      <c r="D102" s="2" t="n">
        <v>1</v>
      </c>
      <c r="E102" s="2" t="n">
        <v>1</v>
      </c>
      <c r="F102" s="2" t="n">
        <v>1</v>
      </c>
      <c r="G102" s="2" t="n">
        <v>1</v>
      </c>
      <c r="H102" s="2" t="n">
        <v>0</v>
      </c>
      <c r="I102" s="2" t="n">
        <v>4</v>
      </c>
      <c r="J102" s="4" t="n">
        <v>0.8</v>
      </c>
      <c r="K102" s="3" t="n">
        <v>65.625</v>
      </c>
      <c r="L102" s="3" t="n">
        <v>52.5</v>
      </c>
    </row>
    <row r="103">
      <c r="A103" s="2" t="inlineStr">
        <is>
          <t>Synapse</t>
        </is>
      </c>
      <c r="B103" s="2" t="n">
        <v>1</v>
      </c>
      <c r="C103" s="2" t="n">
        <v>1</v>
      </c>
      <c r="D103" s="2" t="n">
        <v>1</v>
      </c>
      <c r="E103" s="2" t="n">
        <v>1</v>
      </c>
      <c r="F103" s="2" t="n">
        <v>1</v>
      </c>
      <c r="G103" s="2" t="n">
        <v>1</v>
      </c>
      <c r="H103" s="2" t="n">
        <v>1</v>
      </c>
      <c r="I103" s="2" t="n">
        <v>5</v>
      </c>
      <c r="J103" s="4" t="n">
        <v>1</v>
      </c>
      <c r="K103" s="3" t="n">
        <v>70</v>
      </c>
      <c r="L103" s="3" t="n">
        <v>70</v>
      </c>
    </row>
    <row r="104">
      <c r="A104" s="2" t="inlineStr">
        <is>
          <t>TagTeam</t>
        </is>
      </c>
      <c r="B104" s="2" t="n">
        <v>1</v>
      </c>
      <c r="C104" s="2" t="n">
        <v>1</v>
      </c>
      <c r="D104" s="2" t="n">
        <v>1</v>
      </c>
      <c r="E104" s="2" t="n">
        <v>1</v>
      </c>
      <c r="F104" s="2" t="n">
        <v>1</v>
      </c>
      <c r="G104" s="2" t="n">
        <v>1</v>
      </c>
      <c r="H104" s="2" t="n">
        <v>0</v>
      </c>
      <c r="I104" s="2" t="n">
        <v>4</v>
      </c>
      <c r="J104" s="4" t="n">
        <v>0.8</v>
      </c>
      <c r="K104" s="3" t="n">
        <v>62.5</v>
      </c>
      <c r="L104" s="3" t="n">
        <v>50</v>
      </c>
    </row>
    <row r="105">
      <c r="A105" s="2" t="inlineStr">
        <is>
          <t>Thoth Open Metadata</t>
        </is>
      </c>
      <c r="B105" s="2" t="n">
        <v>1</v>
      </c>
      <c r="C105" s="2" t="n">
        <v>1</v>
      </c>
      <c r="D105" s="2" t="n">
        <v>1</v>
      </c>
      <c r="E105" s="2" t="n">
        <v>1</v>
      </c>
      <c r="F105" s="2" t="n">
        <v>1</v>
      </c>
      <c r="G105" s="2" t="n">
        <v>1</v>
      </c>
      <c r="H105" s="2" t="n">
        <v>1</v>
      </c>
      <c r="I105" s="2" t="n">
        <v>5</v>
      </c>
      <c r="J105" s="4" t="n">
        <v>1</v>
      </c>
      <c r="K105" s="3" t="n">
        <v>72.5</v>
      </c>
      <c r="L105" s="3" t="n">
        <v>72.5</v>
      </c>
    </row>
    <row r="106">
      <c r="A106" s="2" t="inlineStr">
        <is>
          <t>Tropy</t>
        </is>
      </c>
      <c r="B106" s="2" t="n">
        <v>1</v>
      </c>
      <c r="C106" s="2" t="n">
        <v>1</v>
      </c>
      <c r="D106" s="2" t="n">
        <v>0</v>
      </c>
      <c r="E106" s="2" t="n">
        <v>0</v>
      </c>
      <c r="F106" s="2" t="n">
        <v>0</v>
      </c>
      <c r="G106" s="2" t="n">
        <v>1</v>
      </c>
      <c r="H106" s="2" t="n">
        <v>0</v>
      </c>
      <c r="I106" s="2" t="n">
        <v>3</v>
      </c>
      <c r="J106" s="4" t="n">
        <v>0.6</v>
      </c>
      <c r="K106" s="3" t="n">
        <v>66.66666666666667</v>
      </c>
      <c r="L106" s="3" t="n">
        <v>40</v>
      </c>
    </row>
    <row r="107">
      <c r="A107" s="2" t="inlineStr">
        <is>
          <t>veraPDF</t>
        </is>
      </c>
      <c r="B107" s="2" t="n">
        <v>1</v>
      </c>
      <c r="C107" s="2" t="n">
        <v>1</v>
      </c>
      <c r="D107" s="2" t="n">
        <v>1</v>
      </c>
      <c r="E107" s="2" t="n">
        <v>1</v>
      </c>
      <c r="F107" s="2" t="n">
        <v>1</v>
      </c>
      <c r="G107" s="2" t="n">
        <v>1</v>
      </c>
      <c r="H107" s="2" t="n">
        <v>0</v>
      </c>
      <c r="I107" s="2" t="n">
        <v>4</v>
      </c>
      <c r="J107" s="4" t="n">
        <v>0.8</v>
      </c>
      <c r="K107" s="3" t="n">
        <v>65.625</v>
      </c>
      <c r="L107" s="3" t="n">
        <v>52.5</v>
      </c>
    </row>
    <row r="108">
      <c r="A108" s="2" t="inlineStr">
        <is>
          <t>ViPER</t>
        </is>
      </c>
      <c r="B108" s="2" t="n">
        <v>1</v>
      </c>
      <c r="C108" s="2" t="n">
        <v>1</v>
      </c>
      <c r="D108" s="2" t="n">
        <v>1</v>
      </c>
      <c r="E108" s="2" t="n">
        <v>0</v>
      </c>
      <c r="F108" s="2" t="n">
        <v>1</v>
      </c>
      <c r="G108" s="2" t="n">
        <v>1</v>
      </c>
      <c r="H108" s="2" t="n">
        <v>0</v>
      </c>
      <c r="I108" s="2" t="n">
        <v>4</v>
      </c>
      <c r="J108" s="4" t="n">
        <v>0.8</v>
      </c>
      <c r="K108" s="3" t="n">
        <v>75</v>
      </c>
      <c r="L108" s="3" t="n">
        <v>55</v>
      </c>
    </row>
    <row r="109">
      <c r="A109" s="2" t="inlineStr">
        <is>
          <t>Vireo ETD</t>
        </is>
      </c>
      <c r="B109" s="2" t="n">
        <v>1</v>
      </c>
      <c r="C109" s="2" t="n">
        <v>1</v>
      </c>
      <c r="D109" s="2" t="n">
        <v>1</v>
      </c>
      <c r="E109" s="2" t="n">
        <v>0</v>
      </c>
      <c r="F109" s="2" t="n">
        <v>1</v>
      </c>
      <c r="G109" s="2" t="n">
        <v>1</v>
      </c>
      <c r="H109" s="2" t="n">
        <v>1</v>
      </c>
      <c r="I109" s="2" t="n">
        <v>5</v>
      </c>
      <c r="J109" s="4" t="n">
        <v>1</v>
      </c>
      <c r="K109" s="3" t="n">
        <v>75</v>
      </c>
      <c r="L109" s="3" t="n">
        <v>72.5</v>
      </c>
    </row>
    <row r="110">
      <c r="A110" s="2" t="inlineStr">
        <is>
          <t>VIVO</t>
        </is>
      </c>
      <c r="B110" s="2" t="n">
        <v>1</v>
      </c>
      <c r="C110" s="2" t="n">
        <v>1</v>
      </c>
      <c r="D110" s="2" t="n">
        <v>1</v>
      </c>
      <c r="E110" s="2" t="n">
        <v>0</v>
      </c>
      <c r="F110" s="2" t="n">
        <v>1</v>
      </c>
      <c r="G110" s="2" t="n">
        <v>1</v>
      </c>
      <c r="H110" s="2" t="n">
        <v>1</v>
      </c>
      <c r="I110" s="2" t="n">
        <v>5</v>
      </c>
      <c r="J110" s="4" t="n">
        <v>1</v>
      </c>
      <c r="K110" s="3" t="n">
        <v>85</v>
      </c>
      <c r="L110" s="3" t="n">
        <v>82.5</v>
      </c>
    </row>
    <row r="111">
      <c r="A111" s="2" t="inlineStr">
        <is>
          <t>VuFind®</t>
        </is>
      </c>
      <c r="B111" s="2" t="n">
        <v>1</v>
      </c>
      <c r="C111" s="2" t="n">
        <v>1</v>
      </c>
      <c r="D111" s="2" t="n">
        <v>0</v>
      </c>
      <c r="E111" s="2" t="n">
        <v>0</v>
      </c>
      <c r="F111" s="2" t="n">
        <v>0</v>
      </c>
      <c r="G111" s="2" t="n">
        <v>0</v>
      </c>
      <c r="H111" s="2" t="n">
        <v>1</v>
      </c>
      <c r="I111" s="2" t="n">
        <v>3</v>
      </c>
      <c r="J111" s="4" t="n">
        <v>0.6</v>
      </c>
      <c r="K111" s="3" t="n">
        <v>100</v>
      </c>
      <c r="L111" s="3" t="n">
        <v>60</v>
      </c>
    </row>
    <row r="112">
      <c r="A112" s="2" t="inlineStr">
        <is>
          <t>Zenodo</t>
        </is>
      </c>
      <c r="B112" s="2" t="n">
        <v>1</v>
      </c>
      <c r="C112" s="2" t="n">
        <v>1</v>
      </c>
      <c r="D112" s="2" t="n">
        <v>0</v>
      </c>
      <c r="E112" s="2" t="n">
        <v>0</v>
      </c>
      <c r="F112" s="2" t="n">
        <v>0</v>
      </c>
      <c r="G112" s="2" t="n">
        <v>0</v>
      </c>
      <c r="H112" s="2" t="n">
        <v>0</v>
      </c>
      <c r="I112" s="2" t="n">
        <v>2</v>
      </c>
      <c r="J112" s="4" t="n">
        <v>0.4</v>
      </c>
      <c r="K112" s="3" t="n">
        <v>100</v>
      </c>
      <c r="L112" s="3" t="n">
        <v>40</v>
      </c>
    </row>
    <row r="113">
      <c r="A113" s="2" t="inlineStr">
        <is>
          <t>Zotero</t>
        </is>
      </c>
      <c r="B113" s="2" t="n">
        <v>1</v>
      </c>
      <c r="C113" s="2" t="n">
        <v>1</v>
      </c>
      <c r="D113" s="2" t="n">
        <v>0</v>
      </c>
      <c r="E113" s="2" t="n">
        <v>0</v>
      </c>
      <c r="F113" s="2" t="n">
        <v>0</v>
      </c>
      <c r="G113" s="2" t="n">
        <v>1</v>
      </c>
      <c r="H113" s="2" t="n">
        <v>1</v>
      </c>
      <c r="I113" s="2" t="n">
        <v>4</v>
      </c>
      <c r="J113" s="4" t="n">
        <v>0.8</v>
      </c>
      <c r="K113" s="3" t="n">
        <v>75</v>
      </c>
      <c r="L113" s="3" t="n">
        <v>60</v>
      </c>
    </row>
  </sheetData>
  <autoFilter ref="A1:L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30" customWidth="1" min="3" max="3"/>
    <col width="15" customWidth="1" min="4" max="4"/>
    <col width="18" customWidth="1" min="5" max="5"/>
    <col width="22" customWidth="1" min="6" max="6"/>
    <col width="22" customWidth="1" min="7" max="7"/>
    <col width="20" customWidth="1" min="8" max="8"/>
    <col width="23" customWidth="1" min="9" max="9"/>
    <col width="82" customWidth="1" min="10" max="10"/>
  </cols>
  <sheetData>
    <row r="1" ht="32" customHeight="1">
      <c r="A1" s="1" t="inlineStr">
        <is>
          <t>Code</t>
        </is>
      </c>
      <c r="B1" s="1" t="inlineStr">
        <is>
          <t>Metric</t>
        </is>
      </c>
      <c r="C1" s="1" t="inlineStr">
        <is>
          <t>Source field(s)</t>
        </is>
      </c>
      <c r="D1" s="1" t="inlineStr">
        <is>
          <t>Observed n</t>
        </is>
      </c>
      <c r="E1" s="1" t="inlineStr">
        <is>
          <t>Observed coverage</t>
        </is>
      </c>
      <c r="F1" s="1" t="inlineStr">
        <is>
          <t>Mean among observed</t>
        </is>
      </c>
      <c r="G1" s="1" t="inlineStr">
        <is>
          <t>Mean under zero-fill</t>
        </is>
      </c>
      <c r="H1" s="1" t="inlineStr">
        <is>
          <t>SD among observed</t>
        </is>
      </c>
      <c r="I1" s="1" t="inlineStr">
        <is>
          <t>% zero among observed</t>
        </is>
      </c>
      <c r="J1" s="1" t="inlineStr">
        <is>
          <t>Coverage definition / reading</t>
        </is>
      </c>
    </row>
    <row r="2">
      <c r="A2" s="2" t="inlineStr">
        <is>
          <t>M1</t>
        </is>
      </c>
      <c r="B2" s="2" t="inlineStr">
        <is>
          <t>Technology readiness</t>
        </is>
      </c>
      <c r="C2" s="2" t="inlineStr">
        <is>
          <t>079</t>
        </is>
      </c>
      <c r="D2" s="2" t="n">
        <v>112</v>
      </c>
      <c r="E2" s="4" t="n">
        <v>1</v>
      </c>
      <c r="F2" s="3" t="n">
        <v>98.51190476190477</v>
      </c>
      <c r="G2" s="3" t="n">
        <v>98.51190476190477</v>
      </c>
      <c r="H2" s="3" t="n">
        <v>7.348639586977272</v>
      </c>
      <c r="I2" s="4" t="n">
        <v>0</v>
      </c>
      <c r="J2" s="2" t="inlineStr">
        <is>
          <t>A recognized readiness category is present.</t>
        </is>
      </c>
    </row>
    <row r="3">
      <c r="A3" s="2" t="inlineStr">
        <is>
          <t>M2</t>
        </is>
      </c>
      <c r="B3" s="2" t="inlineStr">
        <is>
          <t>Maintenance status</t>
        </is>
      </c>
      <c r="C3" s="2" t="inlineStr">
        <is>
          <t>080</t>
        </is>
      </c>
      <c r="D3" s="2" t="n">
        <v>111</v>
      </c>
      <c r="E3" s="4" t="n">
        <v>0.9910714285714286</v>
      </c>
      <c r="F3" s="3" t="n">
        <v>99.09909909909909</v>
      </c>
      <c r="G3" s="3" t="n">
        <v>98.21428571428571</v>
      </c>
      <c r="H3" s="3" t="n">
        <v>6.650821198303333</v>
      </c>
      <c r="I3" s="4" t="n">
        <v>0</v>
      </c>
      <c r="J3" s="2" t="inlineStr">
        <is>
          <t>A recognized active/minimal/inactive/not-maintained response is present.</t>
        </is>
      </c>
    </row>
    <row r="4">
      <c r="A4" s="2" t="inlineStr">
        <is>
          <t>H1</t>
        </is>
      </c>
      <c r="B4" s="2" t="inlineStr">
        <is>
          <t>Human-resource capacity</t>
        </is>
      </c>
      <c r="C4" s="2" t="inlineStr">
        <is>
          <t>054 + 055</t>
        </is>
      </c>
      <c r="D4" s="2" t="n">
        <v>56</v>
      </c>
      <c r="E4" s="4" t="n">
        <v>0.5</v>
      </c>
      <c r="F4" s="3" t="n">
        <v>38.83928571428572</v>
      </c>
      <c r="G4" s="3" t="n">
        <v>15.06696428571429</v>
      </c>
      <c r="H4" s="3" t="n">
        <v>25.18664384274381</v>
      </c>
      <c r="I4" s="4" t="n">
        <v>0.01785714285714286</v>
      </c>
      <c r="J4" s="2" t="inlineStr">
        <is>
          <t>At least one staffing field has a recognized range; observed-only H1 averages only reported staffing fields.</t>
        </is>
      </c>
    </row>
    <row r="5">
      <c r="A5" s="2" t="inlineStr">
        <is>
          <t>I2</t>
        </is>
      </c>
      <c r="B5" s="2" t="inlineStr">
        <is>
          <t>Institutional affiliations and support</t>
        </is>
      </c>
      <c r="C5" s="2" t="inlineStr">
        <is>
          <t>058</t>
        </is>
      </c>
      <c r="D5" s="2" t="n">
        <v>59</v>
      </c>
      <c r="E5" s="4" t="n">
        <v>0.5267857142857143</v>
      </c>
      <c r="F5" s="3" t="n">
        <v>48.30508474576271</v>
      </c>
      <c r="G5" s="3" t="n">
        <v>25.44642857142857</v>
      </c>
      <c r="H5" s="3" t="n">
        <v>27.56517960557728</v>
      </c>
      <c r="I5" s="4" t="n">
        <v>0.1694915254237288</v>
      </c>
      <c r="J5" s="2" t="inlineStr">
        <is>
          <t>A substantive affiliation or explicit no-affiliation response is present; blank, unknown, and placeholders are unavailable.</t>
        </is>
      </c>
    </row>
    <row r="6">
      <c r="A6" s="2" t="inlineStr">
        <is>
          <t>O1</t>
        </is>
      </c>
      <c r="B6" s="2" t="inlineStr">
        <is>
          <t>Hosted/service-delivery capacity</t>
        </is>
      </c>
      <c r="C6" s="2" t="inlineStr">
        <is>
          <t>076</t>
        </is>
      </c>
      <c r="D6" s="2" t="n">
        <v>62</v>
      </c>
      <c r="E6" s="4" t="n">
        <v>0.5535714285714286</v>
      </c>
      <c r="F6" s="3" t="n">
        <v>88.70967741935483</v>
      </c>
      <c r="G6" s="3" t="n">
        <v>49.10714285714285</v>
      </c>
      <c r="H6" s="3" t="n">
        <v>31.64744656507836</v>
      </c>
      <c r="I6" s="4" t="n">
        <v>0.1129032258064516</v>
      </c>
      <c r="J6" s="2" t="inlineStr">
        <is>
          <t>A hosted route or explicit 'No services available' response is present; N/A and Unknown are unavailable.</t>
        </is>
      </c>
    </row>
    <row r="7">
      <c r="A7" s="2" t="n"/>
      <c r="B7" s="2" t="n"/>
      <c r="C7" s="2" t="n"/>
      <c r="D7" s="2" t="n"/>
      <c r="E7" s="2" t="n"/>
      <c r="F7" s="2" t="n"/>
      <c r="G7" s="2" t="n"/>
      <c r="H7" s="2" t="n"/>
      <c r="I7" s="2" t="n"/>
      <c r="J7" s="2" t="n"/>
    </row>
    <row r="8">
      <c r="A8" s="2" t="inlineStr">
        <is>
          <t>Interpretation</t>
        </is>
      </c>
      <c r="B8" s="2" t="inlineStr">
        <is>
          <t>Observed coverage is descriptive only and does not determine whether an entry receives a score.</t>
        </is>
      </c>
      <c r="C8" s="2" t="n"/>
      <c r="D8" s="2" t="n"/>
      <c r="E8" s="2" t="n"/>
      <c r="F8" s="2" t="n"/>
      <c r="G8" s="2" t="n"/>
      <c r="H8" s="2" t="n"/>
      <c r="I8" s="2" t="n"/>
      <c r="J8" s="2" t="n"/>
    </row>
    <row r="9">
      <c r="A9" s="2" t="inlineStr">
        <is>
          <t>Zero-filled mean</t>
        </is>
      </c>
      <c r="B9" s="2" t="inlineStr">
        <is>
          <t>Mean under zero-fill uses the final scoring rule, including zero for unavailable values and a fixed denominator.</t>
        </is>
      </c>
      <c r="C9" s="2" t="n"/>
      <c r="D9" s="2" t="n"/>
      <c r="E9" s="2" t="n"/>
      <c r="F9" s="2" t="n"/>
      <c r="G9" s="2" t="n"/>
      <c r="H9" s="2" t="n"/>
      <c r="I9" s="2" t="n"/>
      <c r="J9" s="2" t="n"/>
    </row>
    <row r="10">
      <c r="A10" s="2" t="inlineStr">
        <is>
          <t>Observed-only mean</t>
        </is>
      </c>
      <c r="B10" s="2" t="inlineStr">
        <is>
          <t>Excludes unavailable metrics and has a variable denominator; it is not the final equal-weight score.</t>
        </is>
      </c>
      <c r="C10" s="2" t="n"/>
      <c r="D10" s="2" t="n"/>
      <c r="E10" s="2" t="n"/>
      <c r="F10" s="2" t="n"/>
      <c r="G10" s="2" t="n"/>
      <c r="H10" s="2" t="n"/>
      <c r="I10" s="2" t="n"/>
      <c r="J10" s="2" t="n"/>
    </row>
  </sheetData>
  <autoFilter ref="A1:J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3"/>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18" customWidth="1" min="3" max="3"/>
    <col width="24" customWidth="1" min="4" max="4"/>
    <col width="23" customWidth="1" min="5" max="5"/>
    <col width="18" customWidth="1" min="6" max="6"/>
    <col width="22" customWidth="1" min="7" max="7"/>
    <col width="66" customWidth="1" min="8" max="8"/>
    <col width="20" customWidth="1" min="9" max="9"/>
    <col width="22" customWidth="1" min="10" max="10"/>
    <col width="68" customWidth="1" min="11" max="11"/>
  </cols>
  <sheetData>
    <row r="1" ht="32" customHeight="1">
      <c r="A1" s="1" t="inlineStr">
        <is>
          <t>Service</t>
        </is>
      </c>
      <c r="B1" s="1" t="inlineStr">
        <is>
          <t>M1 Technology readiness</t>
        </is>
      </c>
      <c r="C1" s="1" t="inlineStr">
        <is>
          <t>M2 Maintenance</t>
        </is>
      </c>
      <c r="D1" s="1" t="inlineStr">
        <is>
          <t>Full-time staffing subscore</t>
        </is>
      </c>
      <c r="E1" s="1" t="inlineStr">
        <is>
          <t>Volunteer staffing subscore</t>
        </is>
      </c>
      <c r="F1" s="1" t="inlineStr">
        <is>
          <t>H1 Human resources</t>
        </is>
      </c>
      <c r="G1" s="1" t="inlineStr">
        <is>
          <t>I2 Provisional affiliations</t>
        </is>
      </c>
      <c r="H1" s="1" t="inlineStr">
        <is>
          <t>I2 rationale</t>
        </is>
      </c>
      <c r="I1" s="1" t="inlineStr">
        <is>
          <t>O1 Service delivery</t>
        </is>
      </c>
      <c r="J1" s="1" t="inlineStr">
        <is>
          <t>Python-checked total</t>
        </is>
      </c>
      <c r="K1" s="1" t="inlineStr">
        <is>
          <t>Scoring flags</t>
        </is>
      </c>
    </row>
    <row r="2">
      <c r="A2" s="2" t="inlineStr">
        <is>
          <t>2i2c</t>
        </is>
      </c>
      <c r="B2" s="3" t="n">
        <v>100</v>
      </c>
      <c r="C2" s="3" t="n">
        <v>100</v>
      </c>
      <c r="D2" s="3" t="n">
        <v>0</v>
      </c>
      <c r="E2" s="3" t="n">
        <v>0</v>
      </c>
      <c r="F2" s="3" t="n">
        <v>0</v>
      </c>
      <c r="G2" s="3" t="n">
        <v>0</v>
      </c>
      <c r="H2" s="2" t="inlineStr">
        <is>
          <t>Blank: zero under the agreed unavailable-data rule</t>
        </is>
      </c>
      <c r="I2" s="3" t="n">
        <v>0</v>
      </c>
      <c r="J2" s="3" t="n">
        <v>40</v>
      </c>
      <c r="K2" s="2" t="inlineStr">
        <is>
          <t>Full-time staffing missing/unknown scored 0; Volunteer staffing missing/unknown scored 0; Service-delivery field not applicable/unknown scored 0</t>
        </is>
      </c>
    </row>
    <row r="3">
      <c r="A3" s="2" t="inlineStr">
        <is>
          <t>Academic Preservation Trust (APTrust)</t>
        </is>
      </c>
      <c r="B3" s="3" t="n">
        <v>100</v>
      </c>
      <c r="C3" s="3" t="n">
        <v>100</v>
      </c>
      <c r="D3" s="3" t="n">
        <v>25</v>
      </c>
      <c r="E3" s="3" t="n">
        <v>0</v>
      </c>
      <c r="F3" s="3" t="n">
        <v>12.5</v>
      </c>
      <c r="G3" s="3" t="n">
        <v>50</v>
      </c>
      <c r="H3" s="2" t="inlineStr">
        <is>
          <t>Substantive affiliation or membership reported; level of operational support not established</t>
        </is>
      </c>
      <c r="I3" s="3" t="n">
        <v>100</v>
      </c>
      <c r="J3" s="3" t="n">
        <v>72.5</v>
      </c>
      <c r="K3" s="2" t="inlineStr">
        <is>
          <t>Volunteer staffing missing/unknown scored 0; Review affiliation coding; override available</t>
        </is>
      </c>
    </row>
    <row r="4">
      <c r="A4" s="2" t="inlineStr">
        <is>
          <t>AfricArXiv</t>
        </is>
      </c>
      <c r="B4" s="3" t="n">
        <v>100</v>
      </c>
      <c r="C4" s="3" t="n">
        <v>100</v>
      </c>
      <c r="D4" s="3" t="n">
        <v>25</v>
      </c>
      <c r="E4" s="3" t="n">
        <v>25</v>
      </c>
      <c r="F4" s="3" t="n">
        <v>25</v>
      </c>
      <c r="G4" s="3" t="n">
        <v>100</v>
      </c>
      <c r="H4" s="2" t="inlineStr">
        <is>
          <t>Explicit host or operational/financial support language</t>
        </is>
      </c>
      <c r="I4" s="3" t="n">
        <v>0</v>
      </c>
      <c r="J4" s="3" t="n">
        <v>65</v>
      </c>
      <c r="K4" s="2" t="inlineStr">
        <is>
          <t>Review affiliation coding; override available; Service-delivery field not applicable/unknown scored 0</t>
        </is>
      </c>
    </row>
    <row r="5">
      <c r="A5" s="2" t="inlineStr">
        <is>
          <t>Arches Heritage Data Management Platform</t>
        </is>
      </c>
      <c r="B5" s="3" t="n">
        <v>100</v>
      </c>
      <c r="C5" s="3" t="n">
        <v>100</v>
      </c>
      <c r="D5" s="3" t="n">
        <v>0</v>
      </c>
      <c r="E5" s="3" t="n">
        <v>0</v>
      </c>
      <c r="F5" s="3" t="n">
        <v>0</v>
      </c>
      <c r="G5" s="3" t="n">
        <v>50</v>
      </c>
      <c r="H5" s="2" t="inlineStr">
        <is>
          <t>Substantive affiliation or membership reported; level of operational support not established</t>
        </is>
      </c>
      <c r="I5" s="3" t="n">
        <v>100</v>
      </c>
      <c r="J5" s="3" t="n">
        <v>70</v>
      </c>
      <c r="K5" s="2" t="inlineStr">
        <is>
          <t>Full-time staffing missing/unknown scored 0; Volunteer staffing missing/unknown scored 0; Review affiliation coding; override available</t>
        </is>
      </c>
    </row>
    <row r="6">
      <c r="A6" s="2" t="inlineStr">
        <is>
          <t>Archipelago Commons</t>
        </is>
      </c>
      <c r="B6" s="3" t="n">
        <v>100</v>
      </c>
      <c r="C6" s="3" t="n">
        <v>100</v>
      </c>
      <c r="D6" s="3" t="n">
        <v>0</v>
      </c>
      <c r="E6" s="3" t="n">
        <v>0</v>
      </c>
      <c r="F6" s="3" t="n">
        <v>0</v>
      </c>
      <c r="G6" s="3" t="n">
        <v>0</v>
      </c>
      <c r="H6" s="2" t="inlineStr">
        <is>
          <t>Blank: zero under the agreed unavailable-data rule</t>
        </is>
      </c>
      <c r="I6" s="3" t="n">
        <v>100</v>
      </c>
      <c r="J6" s="3" t="n">
        <v>60</v>
      </c>
      <c r="K6" s="2" t="inlineStr">
        <is>
          <t>Full-time staffing missing/unknown scored 0; Volunteer staffing missing/unknown scored 0</t>
        </is>
      </c>
    </row>
    <row r="7">
      <c r="A7" s="2" t="inlineStr">
        <is>
          <t>Archival Resource Key</t>
        </is>
      </c>
      <c r="B7" s="3" t="n">
        <v>55.55555555555556</v>
      </c>
      <c r="C7" s="3" t="n">
        <v>100</v>
      </c>
      <c r="D7" s="3" t="n">
        <v>0</v>
      </c>
      <c r="E7" s="3" t="n">
        <v>0</v>
      </c>
      <c r="F7" s="3" t="n">
        <v>0</v>
      </c>
      <c r="G7" s="3" t="n">
        <v>0</v>
      </c>
      <c r="H7" s="2" t="inlineStr">
        <is>
          <t>Blank: zero under the agreed unavailable-data rule</t>
        </is>
      </c>
      <c r="I7" s="3" t="n">
        <v>0</v>
      </c>
      <c r="J7" s="3" t="n">
        <v>31.11111111111111</v>
      </c>
      <c r="K7" s="2" t="inlineStr">
        <is>
          <t>Full-time staffing missing/unknown scored 0; Volunteer staffing missing/unknown scored 0; Service-delivery field not applicable/unknown scored 0</t>
        </is>
      </c>
    </row>
    <row r="8">
      <c r="A8" s="2" t="inlineStr">
        <is>
          <t>Archivematica</t>
        </is>
      </c>
      <c r="B8" s="3" t="n">
        <v>100</v>
      </c>
      <c r="C8" s="3" t="n">
        <v>100</v>
      </c>
      <c r="D8" s="3" t="n">
        <v>100</v>
      </c>
      <c r="E8" s="3" t="n">
        <v>0</v>
      </c>
      <c r="F8" s="3" t="n">
        <v>50</v>
      </c>
      <c r="G8" s="3" t="n">
        <v>0</v>
      </c>
      <c r="H8" s="2" t="inlineStr">
        <is>
          <t>Explicit absence or placeholder</t>
        </is>
      </c>
      <c r="I8" s="3" t="n">
        <v>100</v>
      </c>
      <c r="J8" s="3" t="n">
        <v>70</v>
      </c>
      <c r="K8" s="2" t="inlineStr">
        <is>
          <t>Volunteer staffing missing/unknown scored 0; Review affiliation coding; override available</t>
        </is>
      </c>
    </row>
    <row r="9">
      <c r="A9" s="2" t="inlineStr">
        <is>
          <t>ArchivesSpace</t>
        </is>
      </c>
      <c r="B9" s="3" t="n">
        <v>100</v>
      </c>
      <c r="C9" s="3" t="n">
        <v>100</v>
      </c>
      <c r="D9" s="3" t="n">
        <v>50</v>
      </c>
      <c r="E9" s="3" t="n">
        <v>0</v>
      </c>
      <c r="F9" s="3" t="n">
        <v>25</v>
      </c>
      <c r="G9" s="3" t="n">
        <v>100</v>
      </c>
      <c r="H9" s="2" t="inlineStr">
        <is>
          <t>Explicit host or operational/financial support language</t>
        </is>
      </c>
      <c r="I9" s="3" t="n">
        <v>100</v>
      </c>
      <c r="J9" s="3" t="n">
        <v>85</v>
      </c>
      <c r="K9" s="2" t="inlineStr">
        <is>
          <t>Volunteer staffing missing/unknown scored 0; Review affiliation coding; override available</t>
        </is>
      </c>
    </row>
    <row r="10">
      <c r="A10" s="2" t="inlineStr">
        <is>
          <t>ARGOS</t>
        </is>
      </c>
      <c r="B10" s="3" t="n">
        <v>100</v>
      </c>
      <c r="C10" s="3" t="n">
        <v>100</v>
      </c>
      <c r="D10" s="3" t="n">
        <v>0</v>
      </c>
      <c r="E10" s="3" t="n">
        <v>0</v>
      </c>
      <c r="F10" s="3" t="n">
        <v>0</v>
      </c>
      <c r="G10" s="3" t="n">
        <v>50</v>
      </c>
      <c r="H10" s="2" t="inlineStr">
        <is>
          <t>Substantive affiliation or membership reported; level of operational support not established</t>
        </is>
      </c>
      <c r="I10" s="3" t="n">
        <v>100</v>
      </c>
      <c r="J10" s="3" t="n">
        <v>70</v>
      </c>
      <c r="K10" s="2" t="inlineStr">
        <is>
          <t>Full-time staffing missing/unknown scored 0; Volunteer staffing missing/unknown scored 0; Review affiliation coding; override available</t>
        </is>
      </c>
    </row>
    <row r="11">
      <c r="A11" s="2" t="inlineStr">
        <is>
          <t>arXiv</t>
        </is>
      </c>
      <c r="B11" s="3" t="n">
        <v>100</v>
      </c>
      <c r="C11" s="3" t="n">
        <v>100</v>
      </c>
      <c r="D11" s="3" t="n">
        <v>0</v>
      </c>
      <c r="E11" s="3" t="n">
        <v>0</v>
      </c>
      <c r="F11" s="3" t="n">
        <v>0</v>
      </c>
      <c r="G11" s="3" t="n">
        <v>0</v>
      </c>
      <c r="H11" s="2" t="inlineStr">
        <is>
          <t>Blank: zero under the agreed unavailable-data rule</t>
        </is>
      </c>
      <c r="I11" s="3" t="n">
        <v>0</v>
      </c>
      <c r="J11" s="3" t="n">
        <v>40</v>
      </c>
      <c r="K11" s="2" t="inlineStr">
        <is>
          <t>Full-time staffing missing/unknown scored 0; Volunteer staffing missing/unknown scored 0; Service-delivery field not applicable/unknown scored 0</t>
        </is>
      </c>
    </row>
    <row r="12">
      <c r="A12" s="2" t="inlineStr">
        <is>
          <t>AtoM</t>
        </is>
      </c>
      <c r="B12" s="3" t="n">
        <v>100</v>
      </c>
      <c r="C12" s="3" t="n">
        <v>100</v>
      </c>
      <c r="D12" s="3" t="n">
        <v>100</v>
      </c>
      <c r="E12" s="3" t="n">
        <v>0</v>
      </c>
      <c r="F12" s="3" t="n">
        <v>50</v>
      </c>
      <c r="G12" s="3" t="n">
        <v>0</v>
      </c>
      <c r="H12" s="2" t="inlineStr">
        <is>
          <t>Explicit absence or placeholder</t>
        </is>
      </c>
      <c r="I12" s="3" t="n">
        <v>100</v>
      </c>
      <c r="J12" s="3" t="n">
        <v>70</v>
      </c>
      <c r="K12" s="2" t="inlineStr">
        <is>
          <t>Review affiliation coding; override available</t>
        </is>
      </c>
    </row>
    <row r="13">
      <c r="A13" s="2" t="inlineStr">
        <is>
          <t>Avalon Media System</t>
        </is>
      </c>
      <c r="B13" s="3" t="n">
        <v>100</v>
      </c>
      <c r="C13" s="3" t="n">
        <v>100</v>
      </c>
      <c r="D13" s="3" t="n">
        <v>25</v>
      </c>
      <c r="E13" s="3" t="n">
        <v>0</v>
      </c>
      <c r="F13" s="3" t="n">
        <v>12.5</v>
      </c>
      <c r="G13" s="3" t="n">
        <v>50</v>
      </c>
      <c r="H13" s="2" t="inlineStr">
        <is>
          <t>Substantive affiliation or membership reported; level of operational support not established</t>
        </is>
      </c>
      <c r="I13" s="3" t="n">
        <v>0</v>
      </c>
      <c r="J13" s="3" t="n">
        <v>52.5</v>
      </c>
      <c r="K13" s="2" t="inlineStr">
        <is>
          <t>Volunteer staffing missing/unknown scored 0; Review affiliation coding; override available</t>
        </is>
      </c>
    </row>
    <row r="14">
      <c r="A14" s="2" t="inlineStr">
        <is>
          <t>Biodiversity Heritage Library</t>
        </is>
      </c>
      <c r="B14" s="3" t="n">
        <v>100</v>
      </c>
      <c r="C14" s="3" t="n">
        <v>100</v>
      </c>
      <c r="D14" s="3" t="n">
        <v>25</v>
      </c>
      <c r="E14" s="3" t="n">
        <v>0</v>
      </c>
      <c r="F14" s="3" t="n">
        <v>12.5</v>
      </c>
      <c r="G14" s="3" t="n">
        <v>100</v>
      </c>
      <c r="H14" s="2" t="inlineStr">
        <is>
          <t>Explicit host or operational/financial support language</t>
        </is>
      </c>
      <c r="I14" s="3" t="n">
        <v>0</v>
      </c>
      <c r="J14" s="3" t="n">
        <v>62.5</v>
      </c>
      <c r="K14" s="2" t="inlineStr">
        <is>
          <t>Volunteer staffing missing/unknown scored 0; Review affiliation coding; override available; Service-delivery field not applicable/unknown scored 0</t>
        </is>
      </c>
    </row>
    <row r="15">
      <c r="A15" s="2" t="inlineStr">
        <is>
          <t>bioRxiv</t>
        </is>
      </c>
      <c r="B15" s="3" t="n">
        <v>100</v>
      </c>
      <c r="C15" s="3" t="n">
        <v>100</v>
      </c>
      <c r="D15" s="3" t="n">
        <v>0</v>
      </c>
      <c r="E15" s="3" t="n">
        <v>0</v>
      </c>
      <c r="F15" s="3" t="n">
        <v>0</v>
      </c>
      <c r="G15" s="3" t="n">
        <v>0</v>
      </c>
      <c r="H15" s="2" t="inlineStr">
        <is>
          <t>Blank: zero under the agreed unavailable-data rule</t>
        </is>
      </c>
      <c r="I15" s="3" t="n">
        <v>0</v>
      </c>
      <c r="J15" s="3" t="n">
        <v>40</v>
      </c>
      <c r="K15" s="2" t="inlineStr">
        <is>
          <t>Full-time staffing missing/unknown scored 0; Volunteer staffing missing/unknown scored 0; Service-delivery field not applicable/unknown scored 0</t>
        </is>
      </c>
    </row>
    <row r="16">
      <c r="A16" s="2" t="inlineStr">
        <is>
          <t>BitCurator Environment</t>
        </is>
      </c>
      <c r="B16" s="3" t="n">
        <v>100</v>
      </c>
      <c r="C16" s="3" t="n">
        <v>100</v>
      </c>
      <c r="D16" s="3" t="n">
        <v>0</v>
      </c>
      <c r="E16" s="3" t="n">
        <v>50</v>
      </c>
      <c r="F16" s="3" t="n">
        <v>25</v>
      </c>
      <c r="G16" s="3" t="n">
        <v>100</v>
      </c>
      <c r="H16" s="2" t="inlineStr">
        <is>
          <t>Explicit host or operational/financial support language</t>
        </is>
      </c>
      <c r="I16" s="3" t="n">
        <v>0</v>
      </c>
      <c r="J16" s="3" t="n">
        <v>65</v>
      </c>
      <c r="K16" s="2" t="inlineStr">
        <is>
          <t>Review affiliation coding; override available</t>
        </is>
      </c>
    </row>
    <row r="17">
      <c r="A17" s="2" t="inlineStr">
        <is>
          <t>Blacklight</t>
        </is>
      </c>
      <c r="B17" s="3" t="n">
        <v>100</v>
      </c>
      <c r="C17" s="3" t="n">
        <v>100</v>
      </c>
      <c r="D17" s="3" t="n">
        <v>50</v>
      </c>
      <c r="E17" s="3" t="n">
        <v>0</v>
      </c>
      <c r="F17" s="3" t="n">
        <v>25</v>
      </c>
      <c r="G17" s="3" t="n">
        <v>0</v>
      </c>
      <c r="H17" s="2" t="inlineStr">
        <is>
          <t>Explicit absence or placeholder</t>
        </is>
      </c>
      <c r="I17" s="3" t="n">
        <v>100</v>
      </c>
      <c r="J17" s="3" t="n">
        <v>65</v>
      </c>
      <c r="K17" s="2" t="inlineStr">
        <is>
          <t>Volunteer staffing missing/unknown scored 0; Review affiliation coding; override available</t>
        </is>
      </c>
    </row>
    <row r="18">
      <c r="A18" s="2" t="inlineStr">
        <is>
          <t>BrCRIS</t>
        </is>
      </c>
      <c r="B18" s="3" t="n">
        <v>100</v>
      </c>
      <c r="C18" s="3" t="n">
        <v>100</v>
      </c>
      <c r="D18" s="3" t="n">
        <v>0</v>
      </c>
      <c r="E18" s="3" t="n">
        <v>0</v>
      </c>
      <c r="F18" s="3" t="n">
        <v>0</v>
      </c>
      <c r="G18" s="3" t="n">
        <v>0</v>
      </c>
      <c r="H18" s="2" t="inlineStr">
        <is>
          <t>Blank: zero under the agreed unavailable-data rule</t>
        </is>
      </c>
      <c r="I18" s="3" t="n">
        <v>0</v>
      </c>
      <c r="J18" s="3" t="n">
        <v>40</v>
      </c>
      <c r="K18" s="2" t="inlineStr">
        <is>
          <t>Full-time staffing missing/unknown scored 0; Volunteer staffing missing/unknown scored 0; Service-delivery field not applicable/unknown scored 0</t>
        </is>
      </c>
    </row>
    <row r="19">
      <c r="A19" s="2" t="inlineStr">
        <is>
          <t>Browsertrix</t>
        </is>
      </c>
      <c r="B19" s="3" t="n">
        <v>100</v>
      </c>
      <c r="C19" s="3" t="n">
        <v>100</v>
      </c>
      <c r="D19" s="3" t="n">
        <v>25</v>
      </c>
      <c r="E19" s="3" t="n">
        <v>0</v>
      </c>
      <c r="F19" s="3" t="n">
        <v>12.5</v>
      </c>
      <c r="G19" s="3" t="n">
        <v>50</v>
      </c>
      <c r="H19" s="2" t="inlineStr">
        <is>
          <t>Substantive affiliation or membership reported; level of operational support not established</t>
        </is>
      </c>
      <c r="I19" s="3" t="n">
        <v>100</v>
      </c>
      <c r="J19" s="3" t="n">
        <v>72.5</v>
      </c>
      <c r="K19" s="2" t="inlineStr">
        <is>
          <t>Review affiliation coding; override available</t>
        </is>
      </c>
    </row>
    <row r="20">
      <c r="A20" s="2" t="inlineStr">
        <is>
          <t>CLOCKSS</t>
        </is>
      </c>
      <c r="B20" s="3" t="n">
        <v>100</v>
      </c>
      <c r="C20" s="3" t="n">
        <v>100</v>
      </c>
      <c r="D20" s="3" t="n">
        <v>25</v>
      </c>
      <c r="E20" s="3" t="n">
        <v>0</v>
      </c>
      <c r="F20" s="3" t="n">
        <v>12.5</v>
      </c>
      <c r="G20" s="3" t="n">
        <v>0</v>
      </c>
      <c r="H20" s="2" t="inlineStr">
        <is>
          <t>Explicit absence or placeholder</t>
        </is>
      </c>
      <c r="I20" s="3" t="n">
        <v>100</v>
      </c>
      <c r="J20" s="3" t="n">
        <v>62.5</v>
      </c>
      <c r="K20" s="2" t="inlineStr">
        <is>
          <t>Review affiliation coding; override available</t>
        </is>
      </c>
    </row>
    <row r="21">
      <c r="A21" s="2" t="inlineStr">
        <is>
          <t>COAR International Repository Directory (IRD)</t>
        </is>
      </c>
      <c r="B21" s="3" t="n">
        <v>100</v>
      </c>
      <c r="C21" s="3" t="n">
        <v>100</v>
      </c>
      <c r="D21" s="3" t="n">
        <v>25</v>
      </c>
      <c r="E21" s="3" t="n">
        <v>0</v>
      </c>
      <c r="F21" s="3" t="n">
        <v>12.5</v>
      </c>
      <c r="G21" s="3" t="n">
        <v>50</v>
      </c>
      <c r="H21" s="2" t="inlineStr">
        <is>
          <t>Substantive affiliation or membership reported; level of operational support not established</t>
        </is>
      </c>
      <c r="I21" s="3" t="n">
        <v>0</v>
      </c>
      <c r="J21" s="3" t="n">
        <v>52.5</v>
      </c>
      <c r="K21" s="2" t="inlineStr">
        <is>
          <t>Volunteer staffing missing/unknown scored 0; Review affiliation coding; override available; Service-delivery field not applicable/unknown scored 0</t>
        </is>
      </c>
    </row>
    <row r="22">
      <c r="A22" s="2" t="inlineStr">
        <is>
          <t>COAR Notify</t>
        </is>
      </c>
      <c r="B22" s="3" t="n">
        <v>100</v>
      </c>
      <c r="C22" s="3" t="n">
        <v>100</v>
      </c>
      <c r="D22" s="3" t="n">
        <v>0</v>
      </c>
      <c r="E22" s="3" t="n">
        <v>0</v>
      </c>
      <c r="F22" s="3" t="n">
        <v>0</v>
      </c>
      <c r="G22" s="3" t="n">
        <v>0</v>
      </c>
      <c r="H22" s="2" t="inlineStr">
        <is>
          <t>Explicit absence or placeholder</t>
        </is>
      </c>
      <c r="I22" s="3" t="n">
        <v>100</v>
      </c>
      <c r="J22" s="3" t="n">
        <v>60</v>
      </c>
      <c r="K22" s="2" t="inlineStr">
        <is>
          <t>Full-time staffing missing/unknown scored 0; Volunteer staffing missing/unknown scored 0; Review affiliation coding; override available</t>
        </is>
      </c>
    </row>
    <row r="23">
      <c r="A23" s="2" t="inlineStr">
        <is>
          <t>CollectiveAccess</t>
        </is>
      </c>
      <c r="B23" s="3" t="n">
        <v>100</v>
      </c>
      <c r="C23" s="3" t="n">
        <v>100</v>
      </c>
      <c r="D23" s="3" t="n">
        <v>50</v>
      </c>
      <c r="E23" s="3" t="n">
        <v>0</v>
      </c>
      <c r="F23" s="3" t="n">
        <v>25</v>
      </c>
      <c r="G23" s="3" t="n">
        <v>0</v>
      </c>
      <c r="H23" s="2" t="inlineStr">
        <is>
          <t>Explicit absence or placeholder</t>
        </is>
      </c>
      <c r="I23" s="3" t="n">
        <v>100</v>
      </c>
      <c r="J23" s="3" t="n">
        <v>65</v>
      </c>
      <c r="K23" s="2" t="inlineStr">
        <is>
          <t>Review affiliation coding; override available</t>
        </is>
      </c>
    </row>
    <row r="24">
      <c r="A24" s="2" t="inlineStr">
        <is>
          <t>CORE</t>
        </is>
      </c>
      <c r="B24" s="3" t="n">
        <v>100</v>
      </c>
      <c r="C24" s="3" t="n">
        <v>100</v>
      </c>
      <c r="D24" s="3" t="n">
        <v>0</v>
      </c>
      <c r="E24" s="3" t="n">
        <v>0</v>
      </c>
      <c r="F24" s="3" t="n">
        <v>0</v>
      </c>
      <c r="G24" s="3" t="n">
        <v>0</v>
      </c>
      <c r="H24" s="2" t="inlineStr">
        <is>
          <t>Blank: zero under the agreed unavailable-data rule</t>
        </is>
      </c>
      <c r="I24" s="3" t="n">
        <v>0</v>
      </c>
      <c r="J24" s="3" t="n">
        <v>40</v>
      </c>
      <c r="K24" s="2" t="inlineStr">
        <is>
          <t>Full-time staffing missing/unknown scored 0; Volunteer staffing missing/unknown scored 0; Service-delivery field not applicable/unknown scored 0</t>
        </is>
      </c>
    </row>
    <row r="25">
      <c r="A25" s="2" t="inlineStr">
        <is>
          <t>COUNTER Code of Practice</t>
        </is>
      </c>
      <c r="B25" s="3" t="n">
        <v>100</v>
      </c>
      <c r="C25" s="3" t="n">
        <v>100</v>
      </c>
      <c r="D25" s="3" t="n">
        <v>0</v>
      </c>
      <c r="E25" s="3" t="n">
        <v>0</v>
      </c>
      <c r="F25" s="3" t="n">
        <v>0</v>
      </c>
      <c r="G25" s="3" t="n">
        <v>0</v>
      </c>
      <c r="H25" s="2" t="inlineStr">
        <is>
          <t>Blank: zero under the agreed unavailable-data rule</t>
        </is>
      </c>
      <c r="I25" s="3" t="n">
        <v>0</v>
      </c>
      <c r="J25" s="3" t="n">
        <v>40</v>
      </c>
      <c r="K25" s="2" t="inlineStr">
        <is>
          <t>Full-time staffing missing/unknown scored 0; Volunteer staffing missing/unknown scored 0; Service-delivery field not applicable/unknown scored 0</t>
        </is>
      </c>
    </row>
    <row r="26">
      <c r="A26" s="2" t="inlineStr">
        <is>
          <t>Creative Commons Licenses</t>
        </is>
      </c>
      <c r="B26" s="3" t="n">
        <v>88.88888888888889</v>
      </c>
      <c r="C26" s="3" t="n">
        <v>100</v>
      </c>
      <c r="D26" s="3" t="n">
        <v>0</v>
      </c>
      <c r="E26" s="3" t="n">
        <v>0</v>
      </c>
      <c r="F26" s="3" t="n">
        <v>0</v>
      </c>
      <c r="G26" s="3" t="n">
        <v>0</v>
      </c>
      <c r="H26" s="2" t="inlineStr">
        <is>
          <t>Blank: zero under the agreed unavailable-data rule</t>
        </is>
      </c>
      <c r="I26" s="3" t="n">
        <v>0</v>
      </c>
      <c r="J26" s="3" t="n">
        <v>37.77777777777778</v>
      </c>
      <c r="K26" s="2" t="inlineStr">
        <is>
          <t>Full-time staffing missing/unknown scored 0; Volunteer staffing missing/unknown scored 0; Service-delivery field not applicable/unknown scored 0</t>
        </is>
      </c>
    </row>
    <row r="27">
      <c r="A27" s="2" t="inlineStr">
        <is>
          <t>Crossref Metadata Retrieval</t>
        </is>
      </c>
      <c r="B27" s="3" t="n">
        <v>100</v>
      </c>
      <c r="C27" s="3" t="n">
        <v>100</v>
      </c>
      <c r="D27" s="3" t="n">
        <v>0</v>
      </c>
      <c r="E27" s="3" t="n">
        <v>0</v>
      </c>
      <c r="F27" s="3" t="n">
        <v>0</v>
      </c>
      <c r="G27" s="3" t="n">
        <v>0</v>
      </c>
      <c r="H27" s="2" t="inlineStr">
        <is>
          <t>Blank: zero under the agreed unavailable-data rule</t>
        </is>
      </c>
      <c r="I27" s="3" t="n">
        <v>0</v>
      </c>
      <c r="J27" s="3" t="n">
        <v>40</v>
      </c>
      <c r="K27" s="2" t="inlineStr">
        <is>
          <t>Full-time staffing missing/unknown scored 0; Volunteer staffing missing/unknown scored 0; Service-delivery field not applicable/unknown scored 0</t>
        </is>
      </c>
    </row>
    <row r="28">
      <c r="A28" s="2" t="inlineStr">
        <is>
          <t>D4Science Infrastructure</t>
        </is>
      </c>
      <c r="B28" s="3" t="n">
        <v>100</v>
      </c>
      <c r="C28" s="3" t="n">
        <v>100</v>
      </c>
      <c r="D28" s="3" t="n">
        <v>50</v>
      </c>
      <c r="E28" s="3" t="n">
        <v>100</v>
      </c>
      <c r="F28" s="3" t="n">
        <v>75</v>
      </c>
      <c r="G28" s="3" t="n">
        <v>100</v>
      </c>
      <c r="H28" s="2" t="inlineStr">
        <is>
          <t>Explicit host or operational/financial support language</t>
        </is>
      </c>
      <c r="I28" s="3" t="n">
        <v>100</v>
      </c>
      <c r="J28" s="3" t="n">
        <v>95</v>
      </c>
      <c r="K28" s="2" t="inlineStr">
        <is>
          <t>Review affiliation coding; override available</t>
        </is>
      </c>
    </row>
    <row r="29">
      <c r="A29" s="2" t="inlineStr">
        <is>
          <t>DART (Digital Archivist's Resource Tool)</t>
        </is>
      </c>
      <c r="B29" s="3" t="n">
        <v>100</v>
      </c>
      <c r="C29" s="3" t="n">
        <v>100</v>
      </c>
      <c r="D29" s="3" t="n">
        <v>25</v>
      </c>
      <c r="E29" s="3" t="n">
        <v>0</v>
      </c>
      <c r="F29" s="3" t="n">
        <v>12.5</v>
      </c>
      <c r="G29" s="3" t="n">
        <v>50</v>
      </c>
      <c r="H29" s="2" t="inlineStr">
        <is>
          <t>Substantive affiliation or membership reported; level of operational support not established</t>
        </is>
      </c>
      <c r="I29" s="3" t="n">
        <v>0</v>
      </c>
      <c r="J29" s="3" t="n">
        <v>52.5</v>
      </c>
      <c r="K29" s="2" t="inlineStr">
        <is>
          <t>Volunteer staffing missing/unknown scored 0; Review affiliation coding; override available</t>
        </is>
      </c>
    </row>
    <row r="30">
      <c r="A30" s="2" t="inlineStr">
        <is>
          <t>Database Information System</t>
        </is>
      </c>
      <c r="B30" s="3" t="n">
        <v>100</v>
      </c>
      <c r="C30" s="3" t="n">
        <v>100</v>
      </c>
      <c r="D30" s="3" t="n">
        <v>0</v>
      </c>
      <c r="E30" s="3" t="n">
        <v>0</v>
      </c>
      <c r="F30" s="3" t="n">
        <v>0</v>
      </c>
      <c r="G30" s="3" t="n">
        <v>50</v>
      </c>
      <c r="H30" s="2" t="inlineStr">
        <is>
          <t>Substantive affiliation or membership reported; level of operational support not established</t>
        </is>
      </c>
      <c r="I30" s="3" t="n">
        <v>100</v>
      </c>
      <c r="J30" s="3" t="n">
        <v>70</v>
      </c>
      <c r="K30" s="2" t="inlineStr">
        <is>
          <t>Full-time staffing missing/unknown scored 0; Volunteer staffing missing/unknown scored 0; Review affiliation coding; override available</t>
        </is>
      </c>
    </row>
    <row r="31">
      <c r="A31" s="2" t="inlineStr">
        <is>
          <t>Data Citation Corpus</t>
        </is>
      </c>
      <c r="B31" s="3" t="n">
        <v>55.55555555555556</v>
      </c>
      <c r="C31" s="3" t="n">
        <v>100</v>
      </c>
      <c r="D31" s="3" t="n">
        <v>0</v>
      </c>
      <c r="E31" s="3" t="n">
        <v>75</v>
      </c>
      <c r="F31" s="3" t="n">
        <v>37.5</v>
      </c>
      <c r="G31" s="3" t="n">
        <v>50</v>
      </c>
      <c r="H31" s="2" t="inlineStr">
        <is>
          <t>Substantive affiliation or membership reported; level of operational support not established</t>
        </is>
      </c>
      <c r="I31" s="3" t="n">
        <v>0</v>
      </c>
      <c r="J31" s="3" t="n">
        <v>48.61111111111111</v>
      </c>
      <c r="K31" s="2" t="inlineStr">
        <is>
          <t>Full-time staffing missing/unknown scored 0; Review affiliation coding; override available; Service-delivery field not applicable/unknown scored 0</t>
        </is>
      </c>
    </row>
    <row r="32">
      <c r="A32" s="2" t="inlineStr">
        <is>
          <t>DataCite</t>
        </is>
      </c>
      <c r="B32" s="3" t="n">
        <v>100</v>
      </c>
      <c r="C32" s="3" t="n">
        <v>100</v>
      </c>
      <c r="D32" s="3" t="n">
        <v>0</v>
      </c>
      <c r="E32" s="3" t="n">
        <v>0</v>
      </c>
      <c r="F32" s="3" t="n">
        <v>0</v>
      </c>
      <c r="G32" s="3" t="n">
        <v>0</v>
      </c>
      <c r="H32" s="2" t="inlineStr">
        <is>
          <t>Blank: zero under the agreed unavailable-data rule</t>
        </is>
      </c>
      <c r="I32" s="3" t="n">
        <v>0</v>
      </c>
      <c r="J32" s="3" t="n">
        <v>40</v>
      </c>
      <c r="K32" s="2" t="inlineStr">
        <is>
          <t>Full-time staffing missing/unknown scored 0; Volunteer staffing missing/unknown scored 0; Service-delivery field not applicable/unknown scored 0</t>
        </is>
      </c>
    </row>
    <row r="33">
      <c r="A33" s="2" t="inlineStr">
        <is>
          <t>Data Stewardship Wizard</t>
        </is>
      </c>
      <c r="B33" s="3" t="n">
        <v>100</v>
      </c>
      <c r="C33" s="3" t="n">
        <v>100</v>
      </c>
      <c r="D33" s="3" t="n">
        <v>0</v>
      </c>
      <c r="E33" s="3" t="n">
        <v>0</v>
      </c>
      <c r="F33" s="3" t="n">
        <v>0</v>
      </c>
      <c r="G33" s="3" t="n">
        <v>50</v>
      </c>
      <c r="H33" s="2" t="inlineStr">
        <is>
          <t>Substantive affiliation or membership reported; level of operational support not established</t>
        </is>
      </c>
      <c r="I33" s="3" t="n">
        <v>100</v>
      </c>
      <c r="J33" s="3" t="n">
        <v>70</v>
      </c>
      <c r="K33" s="2" t="inlineStr">
        <is>
          <t>Full-time staffing missing/unknown scored 0; Volunteer staffing missing/unknown scored 0; Review affiliation coding; override available</t>
        </is>
      </c>
    </row>
    <row r="34">
      <c r="A34" s="2" t="inlineStr">
        <is>
          <t>Dataverse</t>
        </is>
      </c>
      <c r="B34" s="3" t="n">
        <v>100</v>
      </c>
      <c r="C34" s="3" t="n">
        <v>100</v>
      </c>
      <c r="D34" s="3" t="n">
        <v>0</v>
      </c>
      <c r="E34" s="3" t="n">
        <v>0</v>
      </c>
      <c r="F34" s="3" t="n">
        <v>0</v>
      </c>
      <c r="G34" s="3" t="n">
        <v>0</v>
      </c>
      <c r="H34" s="2" t="inlineStr">
        <is>
          <t>Blank: zero under the agreed unavailable-data rule</t>
        </is>
      </c>
      <c r="I34" s="3" t="n">
        <v>100</v>
      </c>
      <c r="J34" s="3" t="n">
        <v>60</v>
      </c>
      <c r="K34" s="2" t="inlineStr">
        <is>
          <t>Full-time staffing missing/unknown scored 0; Volunteer staffing missing/unknown scored 0</t>
        </is>
      </c>
    </row>
    <row r="35">
      <c r="A35" s="2" t="inlineStr">
        <is>
          <t>DLCM Backend</t>
        </is>
      </c>
      <c r="B35" s="3" t="n">
        <v>100</v>
      </c>
      <c r="C35" s="3" t="n">
        <v>100</v>
      </c>
      <c r="D35" s="3" t="n">
        <v>25</v>
      </c>
      <c r="E35" s="3" t="n">
        <v>25</v>
      </c>
      <c r="F35" s="3" t="n">
        <v>25</v>
      </c>
      <c r="G35" s="3" t="n">
        <v>50</v>
      </c>
      <c r="H35" s="2" t="inlineStr">
        <is>
          <t>Substantive affiliation or membership reported; level of operational support not established</t>
        </is>
      </c>
      <c r="I35" s="3" t="n">
        <v>100</v>
      </c>
      <c r="J35" s="3" t="n">
        <v>75</v>
      </c>
      <c r="K35" s="2" t="inlineStr">
        <is>
          <t>Review affiliation coding; override available</t>
        </is>
      </c>
    </row>
    <row r="36">
      <c r="A36" s="2" t="inlineStr">
        <is>
          <t>DLCM Portal</t>
        </is>
      </c>
      <c r="B36" s="3" t="n">
        <v>100</v>
      </c>
      <c r="C36" s="3" t="n">
        <v>100</v>
      </c>
      <c r="D36" s="3" t="n">
        <v>25</v>
      </c>
      <c r="E36" s="3" t="n">
        <v>25</v>
      </c>
      <c r="F36" s="3" t="n">
        <v>25</v>
      </c>
      <c r="G36" s="3" t="n">
        <v>50</v>
      </c>
      <c r="H36" s="2" t="inlineStr">
        <is>
          <t>Substantive affiliation or membership reported; level of operational support not established</t>
        </is>
      </c>
      <c r="I36" s="3" t="n">
        <v>100</v>
      </c>
      <c r="J36" s="3" t="n">
        <v>75</v>
      </c>
      <c r="K36" s="2" t="inlineStr">
        <is>
          <t>Review affiliation coding; override available</t>
        </is>
      </c>
    </row>
    <row r="37">
      <c r="A37" s="2" t="inlineStr">
        <is>
          <t>DMP Tool</t>
        </is>
      </c>
      <c r="B37" s="3" t="n">
        <v>100</v>
      </c>
      <c r="C37" s="3" t="n">
        <v>100</v>
      </c>
      <c r="D37" s="3" t="n">
        <v>25</v>
      </c>
      <c r="E37" s="3" t="n">
        <v>0</v>
      </c>
      <c r="F37" s="3" t="n">
        <v>12.5</v>
      </c>
      <c r="G37" s="3" t="n">
        <v>0</v>
      </c>
      <c r="H37" s="2" t="inlineStr">
        <is>
          <t>Blank: zero under the agreed unavailable-data rule</t>
        </is>
      </c>
      <c r="I37" s="3" t="n">
        <v>100</v>
      </c>
      <c r="J37" s="3" t="n">
        <v>62.5</v>
      </c>
      <c r="K37" s="2" t="inlineStr"/>
    </row>
    <row r="38">
      <c r="A38" s="2" t="inlineStr">
        <is>
          <t>DOAJ (Directory of Open Access Journals)</t>
        </is>
      </c>
      <c r="B38" s="3" t="n">
        <v>100</v>
      </c>
      <c r="C38" s="3" t="n">
        <v>100</v>
      </c>
      <c r="D38" s="3" t="n">
        <v>0</v>
      </c>
      <c r="E38" s="3" t="n">
        <v>0</v>
      </c>
      <c r="F38" s="3" t="n">
        <v>0</v>
      </c>
      <c r="G38" s="3" t="n">
        <v>0</v>
      </c>
      <c r="H38" s="2" t="inlineStr">
        <is>
          <t>Blank: zero under the agreed unavailable-data rule</t>
        </is>
      </c>
      <c r="I38" s="3" t="n">
        <v>0</v>
      </c>
      <c r="J38" s="3" t="n">
        <v>40</v>
      </c>
      <c r="K38" s="2" t="inlineStr">
        <is>
          <t>Full-time staffing missing/unknown scored 0; Volunteer staffing missing/unknown scored 0; Service-delivery field not applicable/unknown scored 0</t>
        </is>
      </c>
    </row>
    <row r="39">
      <c r="A39" s="2" t="inlineStr">
        <is>
          <t>dokieli</t>
        </is>
      </c>
      <c r="B39" s="3" t="n">
        <v>55.55555555555556</v>
      </c>
      <c r="C39" s="3" t="n">
        <v>100</v>
      </c>
      <c r="D39" s="3" t="n">
        <v>0</v>
      </c>
      <c r="E39" s="3" t="n">
        <v>0</v>
      </c>
      <c r="F39" s="3" t="n">
        <v>0</v>
      </c>
      <c r="G39" s="3" t="n">
        <v>0</v>
      </c>
      <c r="H39" s="2" t="inlineStr">
        <is>
          <t>Blank: zero under the agreed unavailable-data rule</t>
        </is>
      </c>
      <c r="I39" s="3" t="n">
        <v>0</v>
      </c>
      <c r="J39" s="3" t="n">
        <v>31.11111111111111</v>
      </c>
      <c r="K39" s="2" t="inlineStr">
        <is>
          <t>Full-time staffing missing/unknown scored 0; Volunteer staffing missing/unknown scored 0; Service-delivery field not applicable/unknown scored 0</t>
        </is>
      </c>
    </row>
    <row r="40">
      <c r="A40" s="2" t="inlineStr">
        <is>
          <t>Dryad</t>
        </is>
      </c>
      <c r="B40" s="3" t="n">
        <v>100</v>
      </c>
      <c r="C40" s="3" t="n">
        <v>100</v>
      </c>
      <c r="D40" s="3" t="n">
        <v>0</v>
      </c>
      <c r="E40" s="3" t="n">
        <v>0</v>
      </c>
      <c r="F40" s="3" t="n">
        <v>0</v>
      </c>
      <c r="G40" s="3" t="n">
        <v>0</v>
      </c>
      <c r="H40" s="2" t="inlineStr">
        <is>
          <t>Blank: zero under the agreed unavailable-data rule</t>
        </is>
      </c>
      <c r="I40" s="3" t="n">
        <v>0</v>
      </c>
      <c r="J40" s="3" t="n">
        <v>40</v>
      </c>
      <c r="K40" s="2" t="inlineStr">
        <is>
          <t>Full-time staffing missing/unknown scored 0; Volunteer staffing missing/unknown scored 0; Service-delivery field not applicable/unknown scored 0</t>
        </is>
      </c>
    </row>
    <row r="41">
      <c r="A41" s="2" t="inlineStr">
        <is>
          <t>DSpace</t>
        </is>
      </c>
      <c r="B41" s="3" t="n">
        <v>100</v>
      </c>
      <c r="C41" s="3" t="n">
        <v>100</v>
      </c>
      <c r="D41" s="3" t="n">
        <v>25</v>
      </c>
      <c r="E41" s="3" t="n">
        <v>0</v>
      </c>
      <c r="F41" s="3" t="n">
        <v>12.5</v>
      </c>
      <c r="G41" s="3" t="n">
        <v>0</v>
      </c>
      <c r="H41" s="2" t="inlineStr">
        <is>
          <t>Blank: zero under the agreed unavailable-data rule</t>
        </is>
      </c>
      <c r="I41" s="3" t="n">
        <v>100</v>
      </c>
      <c r="J41" s="3" t="n">
        <v>62.5</v>
      </c>
      <c r="K41" s="2" t="inlineStr"/>
    </row>
    <row r="42">
      <c r="A42" s="2" t="inlineStr">
        <is>
          <t>DuraCloud</t>
        </is>
      </c>
      <c r="B42" s="3" t="n">
        <v>100</v>
      </c>
      <c r="C42" s="3" t="n">
        <v>100</v>
      </c>
      <c r="D42" s="3" t="n">
        <v>0</v>
      </c>
      <c r="E42" s="3" t="n">
        <v>0</v>
      </c>
      <c r="F42" s="3" t="n">
        <v>0</v>
      </c>
      <c r="G42" s="3" t="n">
        <v>0</v>
      </c>
      <c r="H42" s="2" t="inlineStr">
        <is>
          <t>Explicit absence or placeholder</t>
        </is>
      </c>
      <c r="I42" s="3" t="n">
        <v>100</v>
      </c>
      <c r="J42" s="3" t="n">
        <v>60</v>
      </c>
      <c r="K42" s="2" t="inlineStr">
        <is>
          <t>Full-time staffing missing/unknown scored 0; Volunteer staffing missing/unknown scored 0; Review affiliation coding; override available</t>
        </is>
      </c>
    </row>
    <row r="43">
      <c r="A43" s="2" t="inlineStr">
        <is>
          <t>Episciences</t>
        </is>
      </c>
      <c r="B43" s="3" t="n">
        <v>100</v>
      </c>
      <c r="C43" s="3" t="n">
        <v>100</v>
      </c>
      <c r="D43" s="3" t="n">
        <v>25</v>
      </c>
      <c r="E43" s="3" t="n">
        <v>100</v>
      </c>
      <c r="F43" s="3" t="n">
        <v>62.5</v>
      </c>
      <c r="G43" s="3" t="n">
        <v>50</v>
      </c>
      <c r="H43" s="2" t="inlineStr">
        <is>
          <t>Substantive affiliation or membership reported; level of operational support not established</t>
        </is>
      </c>
      <c r="I43" s="3" t="n">
        <v>0</v>
      </c>
      <c r="J43" s="3" t="n">
        <v>62.5</v>
      </c>
      <c r="K43" s="2" t="inlineStr">
        <is>
          <t>Review affiliation coding; override available; Service-delivery field not applicable/unknown scored 0</t>
        </is>
      </c>
    </row>
    <row r="44">
      <c r="A44" s="2" t="inlineStr">
        <is>
          <t>EPrints</t>
        </is>
      </c>
      <c r="B44" s="3" t="n">
        <v>100</v>
      </c>
      <c r="C44" s="3" t="n">
        <v>100</v>
      </c>
      <c r="D44" s="3" t="n">
        <v>0</v>
      </c>
      <c r="E44" s="3" t="n">
        <v>0</v>
      </c>
      <c r="F44" s="3" t="n">
        <v>0</v>
      </c>
      <c r="G44" s="3" t="n">
        <v>50</v>
      </c>
      <c r="H44" s="2" t="inlineStr">
        <is>
          <t>Substantive affiliation or membership reported; level of operational support not established</t>
        </is>
      </c>
      <c r="I44" s="3" t="n">
        <v>100</v>
      </c>
      <c r="J44" s="3" t="n">
        <v>70</v>
      </c>
      <c r="K44" s="2" t="inlineStr">
        <is>
          <t>Full-time staffing missing/unknown scored 0; Volunteer staffing missing/unknown scored 0; Review affiliation coding; override available</t>
        </is>
      </c>
    </row>
    <row r="45">
      <c r="A45" s="2" t="inlineStr">
        <is>
          <t>Érudit</t>
        </is>
      </c>
      <c r="B45" s="3" t="n">
        <v>100</v>
      </c>
      <c r="C45" s="3" t="n">
        <v>100</v>
      </c>
      <c r="D45" s="3" t="n">
        <v>0</v>
      </c>
      <c r="E45" s="3" t="n">
        <v>0</v>
      </c>
      <c r="F45" s="3" t="n">
        <v>0</v>
      </c>
      <c r="G45" s="3" t="n">
        <v>0</v>
      </c>
      <c r="H45" s="2" t="inlineStr">
        <is>
          <t>Blank: zero under the agreed unavailable-data rule</t>
        </is>
      </c>
      <c r="I45" s="3" t="n">
        <v>0</v>
      </c>
      <c r="J45" s="3" t="n">
        <v>40</v>
      </c>
      <c r="K45" s="2" t="inlineStr">
        <is>
          <t>Full-time staffing missing/unknown scored 0; Volunteer staffing missing/unknown scored 0; Service-delivery field not applicable/unknown scored 0</t>
        </is>
      </c>
    </row>
    <row r="46">
      <c r="A46" s="2" t="inlineStr">
        <is>
          <t>Europe PMC</t>
        </is>
      </c>
      <c r="B46" s="3" t="n">
        <v>100</v>
      </c>
      <c r="C46" s="3" t="n">
        <v>100</v>
      </c>
      <c r="D46" s="3" t="n">
        <v>75</v>
      </c>
      <c r="E46" s="3" t="n">
        <v>0</v>
      </c>
      <c r="F46" s="3" t="n">
        <v>37.5</v>
      </c>
      <c r="G46" s="3" t="n">
        <v>0</v>
      </c>
      <c r="H46" s="2" t="inlineStr">
        <is>
          <t>Blank: zero under the agreed unavailable-data rule</t>
        </is>
      </c>
      <c r="I46" s="3" t="n">
        <v>0</v>
      </c>
      <c r="J46" s="3" t="n">
        <v>47.5</v>
      </c>
      <c r="K46" s="2" t="inlineStr">
        <is>
          <t>Volunteer staffing missing/unknown scored 0; Service-delivery field not applicable/unknown scored 0</t>
        </is>
      </c>
    </row>
    <row r="47">
      <c r="A47" s="2" t="inlineStr">
        <is>
          <t>FAIR Wizard</t>
        </is>
      </c>
      <c r="B47" s="3" t="n">
        <v>100</v>
      </c>
      <c r="C47" s="3" t="n">
        <v>100</v>
      </c>
      <c r="D47" s="3" t="n">
        <v>25</v>
      </c>
      <c r="E47" s="3" t="n">
        <v>0</v>
      </c>
      <c r="F47" s="3" t="n">
        <v>12.5</v>
      </c>
      <c r="G47" s="3" t="n">
        <v>50</v>
      </c>
      <c r="H47" s="2" t="inlineStr">
        <is>
          <t>Substantive affiliation or membership reported; level of operational support not established</t>
        </is>
      </c>
      <c r="I47" s="3" t="n">
        <v>100</v>
      </c>
      <c r="J47" s="3" t="n">
        <v>72.5</v>
      </c>
      <c r="K47" s="2" t="inlineStr">
        <is>
          <t>Volunteer staffing missing/unknown scored 0; Review affiliation coding; override available</t>
        </is>
      </c>
    </row>
    <row r="48">
      <c r="A48" s="2" t="inlineStr">
        <is>
          <t>Fedora</t>
        </is>
      </c>
      <c r="B48" s="3" t="n">
        <v>100</v>
      </c>
      <c r="C48" s="3" t="n">
        <v>100</v>
      </c>
      <c r="D48" s="3" t="n">
        <v>25</v>
      </c>
      <c r="E48" s="3" t="n">
        <v>0</v>
      </c>
      <c r="F48" s="3" t="n">
        <v>12.5</v>
      </c>
      <c r="G48" s="3" t="n">
        <v>0</v>
      </c>
      <c r="H48" s="2" t="inlineStr">
        <is>
          <t>Blank: zero under the agreed unavailable-data rule</t>
        </is>
      </c>
      <c r="I48" s="3" t="n">
        <v>100</v>
      </c>
      <c r="J48" s="3" t="n">
        <v>62.5</v>
      </c>
      <c r="K48" s="2" t="inlineStr"/>
    </row>
    <row r="49">
      <c r="A49" s="2" t="inlineStr">
        <is>
          <t>fido</t>
        </is>
      </c>
      <c r="B49" s="3" t="n">
        <v>100</v>
      </c>
      <c r="C49" s="3" t="n">
        <v>100</v>
      </c>
      <c r="D49" s="3" t="n">
        <v>50</v>
      </c>
      <c r="E49" s="3" t="n">
        <v>0</v>
      </c>
      <c r="F49" s="3" t="n">
        <v>25</v>
      </c>
      <c r="G49" s="3" t="n">
        <v>50</v>
      </c>
      <c r="H49" s="2" t="inlineStr">
        <is>
          <t>Substantive affiliation or membership reported; level of operational support not established</t>
        </is>
      </c>
      <c r="I49" s="3" t="n">
        <v>0</v>
      </c>
      <c r="J49" s="3" t="n">
        <v>55</v>
      </c>
      <c r="K49" s="2" t="inlineStr">
        <is>
          <t>Volunteer staffing missing/unknown scored 0; Review affiliation coding; override available; Service-delivery field not applicable/unknown scored 0</t>
        </is>
      </c>
    </row>
    <row r="50">
      <c r="A50" s="2" t="inlineStr">
        <is>
          <t>Fulcrum</t>
        </is>
      </c>
      <c r="B50" s="3" t="n">
        <v>100</v>
      </c>
      <c r="C50" s="3" t="n">
        <v>100</v>
      </c>
      <c r="D50" s="3" t="n">
        <v>0</v>
      </c>
      <c r="E50" s="3" t="n">
        <v>0</v>
      </c>
      <c r="F50" s="3" t="n">
        <v>0</v>
      </c>
      <c r="G50" s="3" t="n">
        <v>0</v>
      </c>
      <c r="H50" s="2" t="inlineStr">
        <is>
          <t>Blank: zero under the agreed unavailable-data rule</t>
        </is>
      </c>
      <c r="I50" s="3" t="n">
        <v>100</v>
      </c>
      <c r="J50" s="3" t="n">
        <v>60</v>
      </c>
      <c r="K50" s="2" t="inlineStr">
        <is>
          <t>Full-time staffing missing/unknown scored 0; Volunteer staffing missing/unknown scored 0</t>
        </is>
      </c>
    </row>
    <row r="51">
      <c r="A51" s="2" t="inlineStr">
        <is>
          <t>Galaxy</t>
        </is>
      </c>
      <c r="B51" s="3" t="n">
        <v>100</v>
      </c>
      <c r="C51" s="3" t="n">
        <v>100</v>
      </c>
      <c r="D51" s="3" t="n">
        <v>100</v>
      </c>
      <c r="E51" s="3" t="n">
        <v>100</v>
      </c>
      <c r="F51" s="3" t="n">
        <v>100</v>
      </c>
      <c r="G51" s="3" t="n">
        <v>50</v>
      </c>
      <c r="H51" s="2" t="inlineStr">
        <is>
          <t>Substantive affiliation or membership reported; level of operational support not established</t>
        </is>
      </c>
      <c r="I51" s="3" t="n">
        <v>100</v>
      </c>
      <c r="J51" s="3" t="n">
        <v>90</v>
      </c>
      <c r="K51" s="2" t="inlineStr">
        <is>
          <t>Review affiliation coding; override available</t>
        </is>
      </c>
    </row>
    <row r="52">
      <c r="A52" s="2" t="inlineStr">
        <is>
          <t>GeoServer</t>
        </is>
      </c>
      <c r="B52" s="3" t="n">
        <v>100</v>
      </c>
      <c r="C52" s="3" t="n">
        <v>100</v>
      </c>
      <c r="D52" s="3" t="n">
        <v>0</v>
      </c>
      <c r="E52" s="3" t="n">
        <v>100</v>
      </c>
      <c r="F52" s="3" t="n">
        <v>50</v>
      </c>
      <c r="G52" s="3" t="n">
        <v>50</v>
      </c>
      <c r="H52" s="2" t="inlineStr">
        <is>
          <t>Substantive affiliation or membership reported; level of operational support not established</t>
        </is>
      </c>
      <c r="I52" s="3" t="n">
        <v>100</v>
      </c>
      <c r="J52" s="3" t="n">
        <v>80</v>
      </c>
      <c r="K52" s="2" t="inlineStr">
        <is>
          <t>Review affiliation coding; override available</t>
        </is>
      </c>
    </row>
    <row r="53">
      <c r="A53" s="2" t="inlineStr">
        <is>
          <t>Hyku</t>
        </is>
      </c>
      <c r="B53" s="3" t="n">
        <v>100</v>
      </c>
      <c r="C53" s="3" t="n">
        <v>100</v>
      </c>
      <c r="D53" s="3" t="n">
        <v>25</v>
      </c>
      <c r="E53" s="3" t="n">
        <v>25</v>
      </c>
      <c r="F53" s="3" t="n">
        <v>25</v>
      </c>
      <c r="G53" s="3" t="n">
        <v>0</v>
      </c>
      <c r="H53" s="2" t="inlineStr">
        <is>
          <t>Blank: zero under the agreed unavailable-data rule</t>
        </is>
      </c>
      <c r="I53" s="3" t="n">
        <v>100</v>
      </c>
      <c r="J53" s="3" t="n">
        <v>65</v>
      </c>
      <c r="K53" s="2" t="inlineStr"/>
    </row>
    <row r="54">
      <c r="A54" s="2" t="inlineStr">
        <is>
          <t>Hyrax</t>
        </is>
      </c>
      <c r="B54" s="3" t="n">
        <v>100</v>
      </c>
      <c r="C54" s="3" t="n">
        <v>100</v>
      </c>
      <c r="D54" s="3" t="n">
        <v>25</v>
      </c>
      <c r="E54" s="3" t="n">
        <v>25</v>
      </c>
      <c r="F54" s="3" t="n">
        <v>25</v>
      </c>
      <c r="G54" s="3" t="n">
        <v>0</v>
      </c>
      <c r="H54" s="2" t="inlineStr">
        <is>
          <t>Explicit absence or placeholder</t>
        </is>
      </c>
      <c r="I54" s="3" t="n">
        <v>100</v>
      </c>
      <c r="J54" s="3" t="n">
        <v>65</v>
      </c>
      <c r="K54" s="2" t="inlineStr">
        <is>
          <t>Review affiliation coding; override available</t>
        </is>
      </c>
    </row>
    <row r="55">
      <c r="A55" s="2" t="inlineStr">
        <is>
          <t>IIIF</t>
        </is>
      </c>
      <c r="B55" s="3" t="n">
        <v>100</v>
      </c>
      <c r="C55" s="3" t="n">
        <v>100</v>
      </c>
      <c r="D55" s="3" t="n">
        <v>0</v>
      </c>
      <c r="E55" s="3" t="n">
        <v>0</v>
      </c>
      <c r="F55" s="3" t="n">
        <v>0</v>
      </c>
      <c r="G55" s="3" t="n">
        <v>0</v>
      </c>
      <c r="H55" s="2" t="inlineStr">
        <is>
          <t>Blank: zero under the agreed unavailable-data rule</t>
        </is>
      </c>
      <c r="I55" s="3" t="n">
        <v>0</v>
      </c>
      <c r="J55" s="3" t="n">
        <v>40</v>
      </c>
      <c r="K55" s="2" t="inlineStr">
        <is>
          <t>Full-time staffing missing/unknown scored 0; Volunteer staffing missing/unknown scored 0; Service-delivery field not applicable/unknown scored 0</t>
        </is>
      </c>
    </row>
    <row r="56">
      <c r="A56" s="2" t="inlineStr">
        <is>
          <t>ImpactU</t>
        </is>
      </c>
      <c r="B56" s="3" t="n">
        <v>100</v>
      </c>
      <c r="C56" s="3" t="n">
        <v>100</v>
      </c>
      <c r="D56" s="3" t="n">
        <v>0</v>
      </c>
      <c r="E56" s="3" t="n">
        <v>0</v>
      </c>
      <c r="F56" s="3" t="n">
        <v>0</v>
      </c>
      <c r="G56" s="3" t="n">
        <v>50</v>
      </c>
      <c r="H56" s="2" t="inlineStr">
        <is>
          <t>Substantive affiliation or membership reported; level of operational support not established</t>
        </is>
      </c>
      <c r="I56" s="3" t="n">
        <v>100</v>
      </c>
      <c r="J56" s="3" t="n">
        <v>70</v>
      </c>
      <c r="K56" s="2" t="inlineStr">
        <is>
          <t>Full-time staffing missing/unknown scored 0; Volunteer staffing missing/unknown scored 0; Review affiliation coding; override available</t>
        </is>
      </c>
    </row>
    <row r="57">
      <c r="A57" s="2" t="inlineStr">
        <is>
          <t>International Generic Sample Number (IGSN)</t>
        </is>
      </c>
      <c r="B57" s="3" t="n">
        <v>100</v>
      </c>
      <c r="C57" s="3" t="n">
        <v>100</v>
      </c>
      <c r="D57" s="3" t="n">
        <v>25</v>
      </c>
      <c r="E57" s="3" t="n">
        <v>75</v>
      </c>
      <c r="F57" s="3" t="n">
        <v>50</v>
      </c>
      <c r="G57" s="3" t="n">
        <v>50</v>
      </c>
      <c r="H57" s="2" t="inlineStr">
        <is>
          <t>Substantive affiliation or membership reported; level of operational support not established</t>
        </is>
      </c>
      <c r="I57" s="3" t="n">
        <v>100</v>
      </c>
      <c r="J57" s="3" t="n">
        <v>80</v>
      </c>
      <c r="K57" s="2" t="inlineStr">
        <is>
          <t>Review affiliation coding; override available</t>
        </is>
      </c>
    </row>
    <row r="58">
      <c r="A58" s="2" t="inlineStr">
        <is>
          <t>InvenioRDM</t>
        </is>
      </c>
      <c r="B58" s="3" t="n">
        <v>88.88888888888889</v>
      </c>
      <c r="C58" s="3" t="n">
        <v>100</v>
      </c>
      <c r="D58" s="3" t="n">
        <v>0</v>
      </c>
      <c r="E58" s="3" t="n">
        <v>0</v>
      </c>
      <c r="F58" s="3" t="n">
        <v>0</v>
      </c>
      <c r="G58" s="3" t="n">
        <v>0</v>
      </c>
      <c r="H58" s="2" t="inlineStr">
        <is>
          <t>Blank: zero under the agreed unavailable-data rule</t>
        </is>
      </c>
      <c r="I58" s="3" t="n">
        <v>0</v>
      </c>
      <c r="J58" s="3" t="n">
        <v>37.77777777777778</v>
      </c>
      <c r="K58" s="2" t="inlineStr">
        <is>
          <t>Full-time staffing missing/unknown scored 0; Volunteer staffing missing/unknown scored 0</t>
        </is>
      </c>
    </row>
    <row r="59">
      <c r="A59" s="2" t="inlineStr">
        <is>
          <t>iRODS</t>
        </is>
      </c>
      <c r="B59" s="3" t="n">
        <v>100</v>
      </c>
      <c r="C59" s="3" t="n">
        <v>100</v>
      </c>
      <c r="D59" s="3" t="n">
        <v>50</v>
      </c>
      <c r="E59" s="3" t="n">
        <v>0</v>
      </c>
      <c r="F59" s="3" t="n">
        <v>25</v>
      </c>
      <c r="G59" s="3" t="n">
        <v>50</v>
      </c>
      <c r="H59" s="2" t="inlineStr">
        <is>
          <t>Substantive affiliation or membership reported; level of operational support not established</t>
        </is>
      </c>
      <c r="I59" s="3" t="n">
        <v>100</v>
      </c>
      <c r="J59" s="3" t="n">
        <v>75</v>
      </c>
      <c r="K59" s="2" t="inlineStr">
        <is>
          <t>Review affiliation coding; override available</t>
        </is>
      </c>
    </row>
    <row r="60">
      <c r="A60" s="2" t="inlineStr">
        <is>
          <t>Islandora</t>
        </is>
      </c>
      <c r="B60" s="3" t="n">
        <v>100</v>
      </c>
      <c r="C60" s="3" t="n">
        <v>100</v>
      </c>
      <c r="D60" s="3" t="n">
        <v>0</v>
      </c>
      <c r="E60" s="3" t="n">
        <v>0</v>
      </c>
      <c r="F60" s="3" t="n">
        <v>0</v>
      </c>
      <c r="G60" s="3" t="n">
        <v>0</v>
      </c>
      <c r="H60" s="2" t="inlineStr">
        <is>
          <t>Blank: zero under the agreed unavailable-data rule</t>
        </is>
      </c>
      <c r="I60" s="3" t="n">
        <v>100</v>
      </c>
      <c r="J60" s="3" t="n">
        <v>60</v>
      </c>
      <c r="K60" s="2" t="inlineStr">
        <is>
          <t>Full-time staffing missing/unknown scored 0; Volunteer staffing missing/unknown scored 0</t>
        </is>
      </c>
    </row>
    <row r="61">
      <c r="A61" s="2" t="inlineStr">
        <is>
          <t>Janeway</t>
        </is>
      </c>
      <c r="B61" s="3" t="n">
        <v>100</v>
      </c>
      <c r="C61" s="3" t="n">
        <v>100</v>
      </c>
      <c r="D61" s="3" t="n">
        <v>0</v>
      </c>
      <c r="E61" s="3" t="n">
        <v>0</v>
      </c>
      <c r="F61" s="3" t="n">
        <v>0</v>
      </c>
      <c r="G61" s="3" t="n">
        <v>0</v>
      </c>
      <c r="H61" s="2" t="inlineStr">
        <is>
          <t>Blank: zero under the agreed unavailable-data rule</t>
        </is>
      </c>
      <c r="I61" s="3" t="n">
        <v>100</v>
      </c>
      <c r="J61" s="3" t="n">
        <v>60</v>
      </c>
      <c r="K61" s="2" t="inlineStr">
        <is>
          <t>Full-time staffing missing/unknown scored 0; Volunteer staffing missing/unknown scored 0</t>
        </is>
      </c>
    </row>
    <row r="62">
      <c r="A62" s="2" t="inlineStr">
        <is>
          <t>JHOVE</t>
        </is>
      </c>
      <c r="B62" s="3" t="n">
        <v>100</v>
      </c>
      <c r="C62" s="3" t="n">
        <v>100</v>
      </c>
      <c r="D62" s="3" t="n">
        <v>25</v>
      </c>
      <c r="E62" s="3" t="n">
        <v>0</v>
      </c>
      <c r="F62" s="3" t="n">
        <v>12.5</v>
      </c>
      <c r="G62" s="3" t="n">
        <v>50</v>
      </c>
      <c r="H62" s="2" t="inlineStr">
        <is>
          <t>Substantive affiliation or membership reported; level of operational support not established</t>
        </is>
      </c>
      <c r="I62" s="3" t="n">
        <v>0</v>
      </c>
      <c r="J62" s="3" t="n">
        <v>52.5</v>
      </c>
      <c r="K62" s="2" t="inlineStr">
        <is>
          <t>Review affiliation coding; override available</t>
        </is>
      </c>
    </row>
    <row r="63">
      <c r="A63" s="2" t="inlineStr">
        <is>
          <t>LA Referencia</t>
        </is>
      </c>
      <c r="B63" s="3" t="n">
        <v>100</v>
      </c>
      <c r="C63" s="3" t="n">
        <v>100</v>
      </c>
      <c r="D63" s="3" t="n">
        <v>0</v>
      </c>
      <c r="E63" s="3" t="n">
        <v>0</v>
      </c>
      <c r="F63" s="3" t="n">
        <v>0</v>
      </c>
      <c r="G63" s="3" t="n">
        <v>0</v>
      </c>
      <c r="H63" s="2" t="inlineStr">
        <is>
          <t>Blank: zero under the agreed unavailable-data rule</t>
        </is>
      </c>
      <c r="I63" s="3" t="n">
        <v>0</v>
      </c>
      <c r="J63" s="3" t="n">
        <v>40</v>
      </c>
      <c r="K63" s="2" t="inlineStr">
        <is>
          <t>Full-time staffing missing/unknown scored 0; Volunteer staffing missing/unknown scored 0; Service-delivery field not applicable/unknown scored 0</t>
        </is>
      </c>
    </row>
    <row r="64">
      <c r="A64" s="2" t="inlineStr">
        <is>
          <t>Manifold</t>
        </is>
      </c>
      <c r="B64" s="3" t="n">
        <v>100</v>
      </c>
      <c r="C64" s="3" t="n">
        <v>100</v>
      </c>
      <c r="D64" s="3" t="n">
        <v>0</v>
      </c>
      <c r="E64" s="3" t="n">
        <v>0</v>
      </c>
      <c r="F64" s="3" t="n">
        <v>0</v>
      </c>
      <c r="G64" s="3" t="n">
        <v>0</v>
      </c>
      <c r="H64" s="2" t="inlineStr">
        <is>
          <t>Blank: zero under the agreed unavailable-data rule</t>
        </is>
      </c>
      <c r="I64" s="3" t="n">
        <v>100</v>
      </c>
      <c r="J64" s="3" t="n">
        <v>60</v>
      </c>
      <c r="K64" s="2" t="inlineStr">
        <is>
          <t>Full-time staffing missing/unknown scored 0; Volunteer staffing missing/unknown scored 0</t>
        </is>
      </c>
    </row>
    <row r="65">
      <c r="A65" s="2" t="inlineStr">
        <is>
          <t>medRxiv</t>
        </is>
      </c>
      <c r="B65" s="3" t="n">
        <v>100</v>
      </c>
      <c r="C65" s="3" t="n">
        <v>100</v>
      </c>
      <c r="D65" s="3" t="n">
        <v>0</v>
      </c>
      <c r="E65" s="3" t="n">
        <v>0</v>
      </c>
      <c r="F65" s="3" t="n">
        <v>0</v>
      </c>
      <c r="G65" s="3" t="n">
        <v>0</v>
      </c>
      <c r="H65" s="2" t="inlineStr">
        <is>
          <t>Blank: zero under the agreed unavailable-data rule</t>
        </is>
      </c>
      <c r="I65" s="3" t="n">
        <v>100</v>
      </c>
      <c r="J65" s="3" t="n">
        <v>60</v>
      </c>
      <c r="K65" s="2" t="inlineStr">
        <is>
          <t>Full-time staffing missing/unknown scored 0; Volunteer staffing missing/unknown scored 0</t>
        </is>
      </c>
    </row>
    <row r="66">
      <c r="A66" s="2" t="inlineStr">
        <is>
          <t>Metadata Encoding and Transmission Standard (METS)</t>
        </is>
      </c>
      <c r="B66" s="3" t="n">
        <v>100</v>
      </c>
      <c r="C66" s="3" t="n">
        <v>100</v>
      </c>
      <c r="D66" s="3" t="n">
        <v>0</v>
      </c>
      <c r="E66" s="3" t="n">
        <v>25</v>
      </c>
      <c r="F66" s="3" t="n">
        <v>12.5</v>
      </c>
      <c r="G66" s="3" t="n">
        <v>50</v>
      </c>
      <c r="H66" s="2" t="inlineStr">
        <is>
          <t>Substantive affiliation or membership reported; level of operational support not established</t>
        </is>
      </c>
      <c r="I66" s="3" t="n">
        <v>0</v>
      </c>
      <c r="J66" s="3" t="n">
        <v>52.5</v>
      </c>
      <c r="K66" s="2" t="inlineStr">
        <is>
          <t>Review affiliation coding; override available; Service-delivery field not applicable/unknown scored 0</t>
        </is>
      </c>
    </row>
    <row r="67">
      <c r="A67" s="2" t="inlineStr">
        <is>
          <t>Mirador</t>
        </is>
      </c>
      <c r="B67" s="3" t="n">
        <v>100</v>
      </c>
      <c r="C67" s="3" t="n">
        <v>100</v>
      </c>
      <c r="D67" s="3" t="n">
        <v>0</v>
      </c>
      <c r="E67" s="3" t="n">
        <v>0</v>
      </c>
      <c r="F67" s="3" t="n">
        <v>0</v>
      </c>
      <c r="G67" s="3" t="n">
        <v>0</v>
      </c>
      <c r="H67" s="2" t="inlineStr">
        <is>
          <t>Blank: zero under the agreed unavailable-data rule</t>
        </is>
      </c>
      <c r="I67" s="3" t="n">
        <v>0</v>
      </c>
      <c r="J67" s="3" t="n">
        <v>40</v>
      </c>
      <c r="K67" s="2" t="inlineStr">
        <is>
          <t>Full-time staffing missing/unknown scored 0; Volunteer staffing missing/unknown scored 0; Service-delivery field not applicable/unknown scored 0</t>
        </is>
      </c>
    </row>
    <row r="68">
      <c r="A68" s="2" t="inlineStr">
        <is>
          <t>Mukurtu CMS</t>
        </is>
      </c>
      <c r="B68" s="3" t="n">
        <v>100</v>
      </c>
      <c r="C68" s="3" t="n">
        <v>100</v>
      </c>
      <c r="D68" s="3" t="n">
        <v>0</v>
      </c>
      <c r="E68" s="3" t="n">
        <v>0</v>
      </c>
      <c r="F68" s="3" t="n">
        <v>0</v>
      </c>
      <c r="G68" s="3" t="n">
        <v>0</v>
      </c>
      <c r="H68" s="2" t="inlineStr">
        <is>
          <t>Blank: zero under the agreed unavailable-data rule</t>
        </is>
      </c>
      <c r="I68" s="3" t="n">
        <v>100</v>
      </c>
      <c r="J68" s="3" t="n">
        <v>60</v>
      </c>
      <c r="K68" s="2" t="inlineStr">
        <is>
          <t>Full-time staffing missing/unknown scored 0; Volunteer staffing missing/unknown scored 0</t>
        </is>
      </c>
    </row>
    <row r="69">
      <c r="A69" s="2" t="inlineStr">
        <is>
          <t>MyCoRe</t>
        </is>
      </c>
      <c r="B69" s="3" t="n">
        <v>100</v>
      </c>
      <c r="C69" s="3" t="n">
        <v>100</v>
      </c>
      <c r="D69" s="3" t="n">
        <v>25</v>
      </c>
      <c r="E69" s="3" t="n">
        <v>50</v>
      </c>
      <c r="F69" s="3" t="n">
        <v>37.5</v>
      </c>
      <c r="G69" s="3" t="n">
        <v>50</v>
      </c>
      <c r="H69" s="2" t="inlineStr">
        <is>
          <t>Substantive affiliation or membership reported; level of operational support not established</t>
        </is>
      </c>
      <c r="I69" s="3" t="n">
        <v>100</v>
      </c>
      <c r="J69" s="3" t="n">
        <v>77.5</v>
      </c>
      <c r="K69" s="2" t="inlineStr">
        <is>
          <t>Review affiliation coding; override available</t>
        </is>
      </c>
    </row>
    <row r="70">
      <c r="A70" s="2" t="inlineStr">
        <is>
          <t>NumPy</t>
        </is>
      </c>
      <c r="B70" s="3" t="n">
        <v>100</v>
      </c>
      <c r="C70" s="3" t="n">
        <v>100</v>
      </c>
      <c r="D70" s="3" t="n">
        <v>25</v>
      </c>
      <c r="E70" s="3" t="n">
        <v>50</v>
      </c>
      <c r="F70" s="3" t="n">
        <v>37.5</v>
      </c>
      <c r="G70" s="3" t="n">
        <v>50</v>
      </c>
      <c r="H70" s="2" t="inlineStr">
        <is>
          <t>Substantive affiliation or membership reported; level of operational support not established</t>
        </is>
      </c>
      <c r="I70" s="3" t="n">
        <v>0</v>
      </c>
      <c r="J70" s="3" t="n">
        <v>57.5</v>
      </c>
      <c r="K70" s="2" t="inlineStr">
        <is>
          <t>Review affiliation coding; override available; Service-delivery field not applicable/unknown scored 0</t>
        </is>
      </c>
    </row>
    <row r="71">
      <c r="A71" s="2" t="inlineStr">
        <is>
          <t>OA.Report</t>
        </is>
      </c>
      <c r="B71" s="3" t="n">
        <v>100</v>
      </c>
      <c r="C71" s="3" t="n">
        <v>100</v>
      </c>
      <c r="D71" s="3" t="n">
        <v>50</v>
      </c>
      <c r="E71" s="3" t="n">
        <v>0</v>
      </c>
      <c r="F71" s="3" t="n">
        <v>25</v>
      </c>
      <c r="G71" s="3" t="n">
        <v>100</v>
      </c>
      <c r="H71" s="2" t="inlineStr">
        <is>
          <t>Explicit host or operational/financial support language</t>
        </is>
      </c>
      <c r="I71" s="3" t="n">
        <v>100</v>
      </c>
      <c r="J71" s="3" t="n">
        <v>85</v>
      </c>
      <c r="K71" s="2" t="inlineStr">
        <is>
          <t>Review affiliation coding; override available</t>
        </is>
      </c>
    </row>
    <row r="72">
      <c r="A72" s="2" t="inlineStr">
        <is>
          <t>OA Switchboard</t>
        </is>
      </c>
      <c r="B72" s="3" t="n">
        <v>100</v>
      </c>
      <c r="C72" s="3" t="n">
        <v>100</v>
      </c>
      <c r="D72" s="3" t="n">
        <v>0</v>
      </c>
      <c r="E72" s="3" t="n">
        <v>0</v>
      </c>
      <c r="F72" s="3" t="n">
        <v>0</v>
      </c>
      <c r="G72" s="3" t="n">
        <v>0</v>
      </c>
      <c r="H72" s="2" t="inlineStr">
        <is>
          <t>Blank: zero under the agreed unavailable-data rule</t>
        </is>
      </c>
      <c r="I72" s="3" t="n">
        <v>0</v>
      </c>
      <c r="J72" s="3" t="n">
        <v>40</v>
      </c>
      <c r="K72" s="2" t="inlineStr">
        <is>
          <t>Full-time staffing missing/unknown scored 0; Volunteer staffing missing/unknown scored 0; Service-delivery field not applicable/unknown scored 0</t>
        </is>
      </c>
    </row>
    <row r="73">
      <c r="A73" s="2" t="inlineStr">
        <is>
          <t>Omeka</t>
        </is>
      </c>
      <c r="B73" s="3" t="n">
        <v>100</v>
      </c>
      <c r="C73" s="3" t="n">
        <v>100</v>
      </c>
      <c r="D73" s="3" t="n">
        <v>0</v>
      </c>
      <c r="E73" s="3" t="n">
        <v>0</v>
      </c>
      <c r="F73" s="3" t="n">
        <v>0</v>
      </c>
      <c r="G73" s="3" t="n">
        <v>0</v>
      </c>
      <c r="H73" s="2" t="inlineStr">
        <is>
          <t>Blank: zero under the agreed unavailable-data rule</t>
        </is>
      </c>
      <c r="I73" s="3" t="n">
        <v>100</v>
      </c>
      <c r="J73" s="3" t="n">
        <v>60</v>
      </c>
      <c r="K73" s="2" t="inlineStr">
        <is>
          <t>Full-time staffing missing/unknown scored 0; Volunteer staffing missing/unknown scored 0</t>
        </is>
      </c>
    </row>
    <row r="74">
      <c r="A74" s="2" t="inlineStr">
        <is>
          <t>OpenAIRE Graph</t>
        </is>
      </c>
      <c r="B74" s="3" t="n">
        <v>100</v>
      </c>
      <c r="C74" s="3" t="n">
        <v>100</v>
      </c>
      <c r="D74" s="3" t="n">
        <v>0</v>
      </c>
      <c r="E74" s="3" t="n">
        <v>0</v>
      </c>
      <c r="F74" s="3" t="n">
        <v>0</v>
      </c>
      <c r="G74" s="3" t="n">
        <v>50</v>
      </c>
      <c r="H74" s="2" t="inlineStr">
        <is>
          <t>Substantive affiliation or membership reported; level of operational support not established</t>
        </is>
      </c>
      <c r="I74" s="3" t="n">
        <v>0</v>
      </c>
      <c r="J74" s="3" t="n">
        <v>50</v>
      </c>
      <c r="K74" s="2" t="inlineStr">
        <is>
          <t>Full-time staffing missing/unknown scored 0; Volunteer staffing missing/unknown scored 0; Review affiliation coding; override available; Service-delivery field not applicable/unknown scored 0</t>
        </is>
      </c>
    </row>
    <row r="75">
      <c r="A75" s="2" t="inlineStr">
        <is>
          <t>OpenAlex</t>
        </is>
      </c>
      <c r="B75" s="3" t="n">
        <v>100</v>
      </c>
      <c r="C75" s="3" t="n">
        <v>100</v>
      </c>
      <c r="D75" s="3" t="n">
        <v>0</v>
      </c>
      <c r="E75" s="3" t="n">
        <v>0</v>
      </c>
      <c r="F75" s="3" t="n">
        <v>0</v>
      </c>
      <c r="G75" s="3" t="n">
        <v>0</v>
      </c>
      <c r="H75" s="2" t="inlineStr">
        <is>
          <t>Blank: zero under the agreed unavailable-data rule</t>
        </is>
      </c>
      <c r="I75" s="3" t="n">
        <v>0</v>
      </c>
      <c r="J75" s="3" t="n">
        <v>40</v>
      </c>
      <c r="K75" s="2" t="inlineStr">
        <is>
          <t>Full-time staffing missing/unknown scored 0; Volunteer staffing missing/unknown scored 0; Service-delivery field not applicable/unknown scored 0</t>
        </is>
      </c>
    </row>
    <row r="76">
      <c r="A76" s="2" t="inlineStr">
        <is>
          <t>OpenAPC</t>
        </is>
      </c>
      <c r="B76" s="3" t="n">
        <v>100</v>
      </c>
      <c r="C76" s="3" t="n">
        <v>100</v>
      </c>
      <c r="D76" s="3" t="n">
        <v>25</v>
      </c>
      <c r="E76" s="3" t="n">
        <v>0</v>
      </c>
      <c r="F76" s="3" t="n">
        <v>12.5</v>
      </c>
      <c r="G76" s="3" t="n">
        <v>50</v>
      </c>
      <c r="H76" s="2" t="inlineStr">
        <is>
          <t>Substantive affiliation or membership reported; level of operational support not established</t>
        </is>
      </c>
      <c r="I76" s="3" t="n">
        <v>0</v>
      </c>
      <c r="J76" s="3" t="n">
        <v>52.5</v>
      </c>
      <c r="K76" s="2" t="inlineStr">
        <is>
          <t>Review affiliation coding; override available; Service-delivery field not applicable/unknown scored 0</t>
        </is>
      </c>
    </row>
    <row r="77">
      <c r="A77" s="2" t="inlineStr">
        <is>
          <t>OpenCitations</t>
        </is>
      </c>
      <c r="B77" s="3" t="n">
        <v>100</v>
      </c>
      <c r="C77" s="3" t="n">
        <v>100</v>
      </c>
      <c r="D77" s="3" t="n">
        <v>50</v>
      </c>
      <c r="E77" s="3" t="n">
        <v>25</v>
      </c>
      <c r="F77" s="3" t="n">
        <v>37.5</v>
      </c>
      <c r="G77" s="3" t="n">
        <v>50</v>
      </c>
      <c r="H77" s="2" t="inlineStr">
        <is>
          <t>Substantive affiliation or membership reported; level of operational support not established</t>
        </is>
      </c>
      <c r="I77" s="3" t="n">
        <v>0</v>
      </c>
      <c r="J77" s="3" t="n">
        <v>57.5</v>
      </c>
      <c r="K77" s="2" t="inlineStr">
        <is>
          <t>Review affiliation coding; override available; Service-delivery field not applicable/unknown scored 0</t>
        </is>
      </c>
    </row>
    <row r="78">
      <c r="A78" s="2" t="inlineStr">
        <is>
          <t>openCost</t>
        </is>
      </c>
      <c r="B78" s="3" t="n">
        <v>100</v>
      </c>
      <c r="C78" s="3" t="n">
        <v>100</v>
      </c>
      <c r="D78" s="3" t="n">
        <v>0</v>
      </c>
      <c r="E78" s="3" t="n">
        <v>0</v>
      </c>
      <c r="F78" s="3" t="n">
        <v>0</v>
      </c>
      <c r="G78" s="3" t="n">
        <v>50</v>
      </c>
      <c r="H78" s="2" t="inlineStr">
        <is>
          <t>Substantive affiliation or membership reported; level of operational support not established</t>
        </is>
      </c>
      <c r="I78" s="3" t="n">
        <v>0</v>
      </c>
      <c r="J78" s="3" t="n">
        <v>50</v>
      </c>
      <c r="K78" s="2" t="inlineStr">
        <is>
          <t>Full-time staffing missing/unknown scored 0; Volunteer staffing missing/unknown scored 0; Review affiliation coding; override available; Service-delivery field not applicable/unknown scored 0</t>
        </is>
      </c>
    </row>
    <row r="79">
      <c r="A79" s="2" t="inlineStr">
        <is>
          <t>Open Data Editor</t>
        </is>
      </c>
      <c r="B79" s="3" t="n">
        <v>100</v>
      </c>
      <c r="C79" s="3" t="n">
        <v>100</v>
      </c>
      <c r="D79" s="3" t="n">
        <v>75</v>
      </c>
      <c r="E79" s="3" t="n">
        <v>100</v>
      </c>
      <c r="F79" s="3" t="n">
        <v>87.5</v>
      </c>
      <c r="G79" s="3" t="n">
        <v>50</v>
      </c>
      <c r="H79" s="2" t="inlineStr">
        <is>
          <t>Substantive affiliation or membership reported; level of operational support not established</t>
        </is>
      </c>
      <c r="I79" s="3" t="n">
        <v>0</v>
      </c>
      <c r="J79" s="3" t="n">
        <v>67.5</v>
      </c>
      <c r="K79" s="2" t="inlineStr">
        <is>
          <t>Review affiliation coding; override available; Service-delivery field not applicable/unknown scored 0</t>
        </is>
      </c>
    </row>
    <row r="80">
      <c r="A80" s="2" t="inlineStr">
        <is>
          <t>OpenEdition</t>
        </is>
      </c>
      <c r="B80" s="3" t="n">
        <v>100</v>
      </c>
      <c r="C80" s="3" t="n">
        <v>0</v>
      </c>
      <c r="D80" s="3" t="n">
        <v>0</v>
      </c>
      <c r="E80" s="3" t="n">
        <v>0</v>
      </c>
      <c r="F80" s="3" t="n">
        <v>0</v>
      </c>
      <c r="G80" s="3" t="n">
        <v>0</v>
      </c>
      <c r="H80" s="2" t="inlineStr">
        <is>
          <t>Blank: zero under the agreed unavailable-data rule</t>
        </is>
      </c>
      <c r="I80" s="3" t="n">
        <v>0</v>
      </c>
      <c r="J80" s="3" t="n">
        <v>20</v>
      </c>
      <c r="K80" s="2" t="inlineStr">
        <is>
          <t>Full-time staffing missing/unknown scored 0; Volunteer staffing missing/unknown scored 0; Service-delivery field not applicable/unknown scored 0</t>
        </is>
      </c>
    </row>
    <row r="81">
      <c r="A81" s="2" t="inlineStr">
        <is>
          <t>Open Journal Systems (OJS)</t>
        </is>
      </c>
      <c r="B81" s="3" t="n">
        <v>100</v>
      </c>
      <c r="C81" s="3" t="n">
        <v>100</v>
      </c>
      <c r="D81" s="3" t="n">
        <v>0</v>
      </c>
      <c r="E81" s="3" t="n">
        <v>0</v>
      </c>
      <c r="F81" s="3" t="n">
        <v>0</v>
      </c>
      <c r="G81" s="3" t="n">
        <v>0</v>
      </c>
      <c r="H81" s="2" t="inlineStr">
        <is>
          <t>Blank: zero under the agreed unavailable-data rule</t>
        </is>
      </c>
      <c r="I81" s="3" t="n">
        <v>100</v>
      </c>
      <c r="J81" s="3" t="n">
        <v>60</v>
      </c>
      <c r="K81" s="2" t="inlineStr">
        <is>
          <t>Full-time staffing missing/unknown scored 0; Volunteer staffing missing/unknown scored 0</t>
        </is>
      </c>
    </row>
    <row r="82">
      <c r="A82" s="2" t="inlineStr">
        <is>
          <t>Open Monograph Press (OMP)</t>
        </is>
      </c>
      <c r="B82" s="3" t="n">
        <v>100</v>
      </c>
      <c r="C82" s="3" t="n">
        <v>100</v>
      </c>
      <c r="D82" s="3" t="n">
        <v>0</v>
      </c>
      <c r="E82" s="3" t="n">
        <v>0</v>
      </c>
      <c r="F82" s="3" t="n">
        <v>0</v>
      </c>
      <c r="G82" s="3" t="n">
        <v>0</v>
      </c>
      <c r="H82" s="2" t="inlineStr">
        <is>
          <t>Blank: zero under the agreed unavailable-data rule</t>
        </is>
      </c>
      <c r="I82" s="3" t="n">
        <v>100</v>
      </c>
      <c r="J82" s="3" t="n">
        <v>60</v>
      </c>
      <c r="K82" s="2" t="inlineStr">
        <is>
          <t>Full-time staffing missing/unknown scored 0; Volunteer staffing missing/unknown scored 0</t>
        </is>
      </c>
    </row>
    <row r="83">
      <c r="A83" s="2" t="inlineStr">
        <is>
          <t>Open Preprint Systems (OPS)</t>
        </is>
      </c>
      <c r="B83" s="3" t="n">
        <v>100</v>
      </c>
      <c r="C83" s="3" t="n">
        <v>100</v>
      </c>
      <c r="D83" s="3" t="n">
        <v>0</v>
      </c>
      <c r="E83" s="3" t="n">
        <v>0</v>
      </c>
      <c r="F83" s="3" t="n">
        <v>0</v>
      </c>
      <c r="G83" s="3" t="n">
        <v>0</v>
      </c>
      <c r="H83" s="2" t="inlineStr">
        <is>
          <t>Blank: zero under the agreed unavailable-data rule</t>
        </is>
      </c>
      <c r="I83" s="3" t="n">
        <v>100</v>
      </c>
      <c r="J83" s="3" t="n">
        <v>60</v>
      </c>
      <c r="K83" s="2" t="inlineStr">
        <is>
          <t>Full-time staffing missing/unknown scored 0; Volunteer staffing missing/unknown scored 0</t>
        </is>
      </c>
    </row>
    <row r="84">
      <c r="A84" s="2" t="inlineStr">
        <is>
          <t>Openverse</t>
        </is>
      </c>
      <c r="B84" s="3" t="n">
        <v>100</v>
      </c>
      <c r="C84" s="3" t="n">
        <v>100</v>
      </c>
      <c r="D84" s="3" t="n">
        <v>50</v>
      </c>
      <c r="E84" s="3" t="n">
        <v>0</v>
      </c>
      <c r="F84" s="3" t="n">
        <v>25</v>
      </c>
      <c r="G84" s="3" t="n">
        <v>50</v>
      </c>
      <c r="H84" s="2" t="inlineStr">
        <is>
          <t>Substantive affiliation or membership reported; level of operational support not established</t>
        </is>
      </c>
      <c r="I84" s="3" t="n">
        <v>0</v>
      </c>
      <c r="J84" s="3" t="n">
        <v>55</v>
      </c>
      <c r="K84" s="2" t="inlineStr">
        <is>
          <t>Review affiliation coding; override available; Service-delivery field not applicable/unknown scored 0</t>
        </is>
      </c>
    </row>
    <row r="85">
      <c r="A85" s="2" t="inlineStr">
        <is>
          <t>O Portal Brasileiro de Publicações e Dados Científicos em Acesso Aberto (The Brazilian Open Access Publications and Scientific Data Portal) (Oasisbr)</t>
        </is>
      </c>
      <c r="B85" s="3" t="n">
        <v>100</v>
      </c>
      <c r="C85" s="3" t="n">
        <v>100</v>
      </c>
      <c r="D85" s="3" t="n">
        <v>0</v>
      </c>
      <c r="E85" s="3" t="n">
        <v>0</v>
      </c>
      <c r="F85" s="3" t="n">
        <v>0</v>
      </c>
      <c r="G85" s="3" t="n">
        <v>0</v>
      </c>
      <c r="H85" s="2" t="inlineStr">
        <is>
          <t>Blank: zero under the agreed unavailable-data rule</t>
        </is>
      </c>
      <c r="I85" s="3" t="n">
        <v>0</v>
      </c>
      <c r="J85" s="3" t="n">
        <v>40</v>
      </c>
      <c r="K85" s="2" t="inlineStr">
        <is>
          <t>Full-time staffing missing/unknown scored 0; Volunteer staffing missing/unknown scored 0; Service-delivery field not applicable/unknown scored 0</t>
        </is>
      </c>
    </row>
    <row r="86">
      <c r="A86" s="2" t="inlineStr">
        <is>
          <t>OSF (Open Science Framework)</t>
        </is>
      </c>
      <c r="B86" s="3" t="n">
        <v>100</v>
      </c>
      <c r="C86" s="3" t="n">
        <v>100</v>
      </c>
      <c r="D86" s="3" t="n">
        <v>0</v>
      </c>
      <c r="E86" s="3" t="n">
        <v>0</v>
      </c>
      <c r="F86" s="3" t="n">
        <v>0</v>
      </c>
      <c r="G86" s="3" t="n">
        <v>0</v>
      </c>
      <c r="H86" s="2" t="inlineStr">
        <is>
          <t>Blank: zero under the agreed unavailable-data rule</t>
        </is>
      </c>
      <c r="I86" s="3" t="n">
        <v>100</v>
      </c>
      <c r="J86" s="3" t="n">
        <v>60</v>
      </c>
      <c r="K86" s="2" t="inlineStr">
        <is>
          <t>Full-time staffing missing/unknown scored 0; Volunteer staffing missing/unknown scored 0</t>
        </is>
      </c>
    </row>
    <row r="87">
      <c r="A87" s="2" t="inlineStr">
        <is>
          <t>Oxford Common File Layout</t>
        </is>
      </c>
      <c r="B87" s="3" t="n">
        <v>100</v>
      </c>
      <c r="C87" s="3" t="n">
        <v>100</v>
      </c>
      <c r="D87" s="3" t="n">
        <v>0</v>
      </c>
      <c r="E87" s="3" t="n">
        <v>0</v>
      </c>
      <c r="F87" s="3" t="n">
        <v>0</v>
      </c>
      <c r="G87" s="3" t="n">
        <v>0</v>
      </c>
      <c r="H87" s="2" t="inlineStr">
        <is>
          <t>Blank: zero under the agreed unavailable-data rule</t>
        </is>
      </c>
      <c r="I87" s="3" t="n">
        <v>0</v>
      </c>
      <c r="J87" s="3" t="n">
        <v>40</v>
      </c>
      <c r="K87" s="2" t="inlineStr">
        <is>
          <t>Full-time staffing missing/unknown scored 0; Volunteer staffing missing/unknown scored 0; Service-delivery field not applicable/unknown scored 0</t>
        </is>
      </c>
    </row>
    <row r="88">
      <c r="A88" s="2" t="inlineStr">
        <is>
          <t>Peer Community In</t>
        </is>
      </c>
      <c r="B88" s="3" t="n">
        <v>100</v>
      </c>
      <c r="C88" s="3" t="n">
        <v>100</v>
      </c>
      <c r="D88" s="3" t="n">
        <v>0</v>
      </c>
      <c r="E88" s="3" t="n">
        <v>0</v>
      </c>
      <c r="F88" s="3" t="n">
        <v>0</v>
      </c>
      <c r="G88" s="3" t="n">
        <v>0</v>
      </c>
      <c r="H88" s="2" t="inlineStr">
        <is>
          <t>Blank: zero under the agreed unavailable-data rule</t>
        </is>
      </c>
      <c r="I88" s="3" t="n">
        <v>0</v>
      </c>
      <c r="J88" s="3" t="n">
        <v>40</v>
      </c>
      <c r="K88" s="2" t="inlineStr">
        <is>
          <t>Full-time staffing missing/unknown scored 0; Volunteer staffing missing/unknown scored 0; Service-delivery field not applicable/unknown scored 0</t>
        </is>
      </c>
    </row>
    <row r="89">
      <c r="A89" s="2" t="inlineStr">
        <is>
          <t>PKP Preservation Network</t>
        </is>
      </c>
      <c r="B89" s="3" t="n">
        <v>100</v>
      </c>
      <c r="C89" s="3" t="n">
        <v>100</v>
      </c>
      <c r="D89" s="3" t="n">
        <v>100</v>
      </c>
      <c r="E89" s="3" t="n">
        <v>0</v>
      </c>
      <c r="F89" s="3" t="n">
        <v>50</v>
      </c>
      <c r="G89" s="3" t="n">
        <v>50</v>
      </c>
      <c r="H89" s="2" t="inlineStr">
        <is>
          <t>Substantive affiliation or membership reported; level of operational support not established</t>
        </is>
      </c>
      <c r="I89" s="3" t="n">
        <v>0</v>
      </c>
      <c r="J89" s="3" t="n">
        <v>60</v>
      </c>
      <c r="K89" s="2" t="inlineStr">
        <is>
          <t>Volunteer staffing missing/unknown scored 0; Review affiliation coding; override available; Service-delivery field not applicable/unknown scored 0</t>
        </is>
      </c>
    </row>
    <row r="90">
      <c r="A90" s="2" t="inlineStr">
        <is>
          <t>PREreview</t>
        </is>
      </c>
      <c r="B90" s="3" t="n">
        <v>100</v>
      </c>
      <c r="C90" s="3" t="n">
        <v>100</v>
      </c>
      <c r="D90" s="3" t="n">
        <v>25</v>
      </c>
      <c r="E90" s="3" t="n">
        <v>0</v>
      </c>
      <c r="F90" s="3" t="n">
        <v>12.5</v>
      </c>
      <c r="G90" s="3" t="n">
        <v>0</v>
      </c>
      <c r="H90" s="2" t="inlineStr">
        <is>
          <t>Blank: zero under the agreed unavailable-data rule</t>
        </is>
      </c>
      <c r="I90" s="3" t="n">
        <v>0</v>
      </c>
      <c r="J90" s="3" t="n">
        <v>42.5</v>
      </c>
      <c r="K90" s="2" t="inlineStr">
        <is>
          <t>Volunteer staffing missing/unknown scored 0; Service-delivery field not applicable/unknown scored 0</t>
        </is>
      </c>
    </row>
    <row r="91">
      <c r="A91" s="2" t="inlineStr">
        <is>
          <t>Pressbooks</t>
        </is>
      </c>
      <c r="B91" s="3" t="n">
        <v>100</v>
      </c>
      <c r="C91" s="3" t="n">
        <v>100</v>
      </c>
      <c r="D91" s="3" t="n">
        <v>0</v>
      </c>
      <c r="E91" s="3" t="n">
        <v>0</v>
      </c>
      <c r="F91" s="3" t="n">
        <v>0</v>
      </c>
      <c r="G91" s="3" t="n">
        <v>0</v>
      </c>
      <c r="H91" s="2" t="inlineStr">
        <is>
          <t>Blank: zero under the agreed unavailable-data rule</t>
        </is>
      </c>
      <c r="I91" s="3" t="n">
        <v>100</v>
      </c>
      <c r="J91" s="3" t="n">
        <v>60</v>
      </c>
      <c r="K91" s="2" t="inlineStr">
        <is>
          <t>Full-time staffing missing/unknown scored 0; Volunteer staffing missing/unknown scored 0</t>
        </is>
      </c>
    </row>
    <row r="92">
      <c r="A92" s="2" t="inlineStr">
        <is>
          <t>Public Access Submission System</t>
        </is>
      </c>
      <c r="B92" s="3" t="n">
        <v>100</v>
      </c>
      <c r="C92" s="3" t="n">
        <v>100</v>
      </c>
      <c r="D92" s="3" t="n">
        <v>0</v>
      </c>
      <c r="E92" s="3" t="n">
        <v>0</v>
      </c>
      <c r="F92" s="3" t="n">
        <v>0</v>
      </c>
      <c r="G92" s="3" t="n">
        <v>0</v>
      </c>
      <c r="H92" s="2" t="inlineStr">
        <is>
          <t>Blank: zero under the agreed unavailable-data rule</t>
        </is>
      </c>
      <c r="I92" s="3" t="n">
        <v>0</v>
      </c>
      <c r="J92" s="3" t="n">
        <v>40</v>
      </c>
      <c r="K92" s="2" t="inlineStr">
        <is>
          <t>Full-time staffing missing/unknown scored 0; Volunteer staffing missing/unknown scored 0</t>
        </is>
      </c>
    </row>
    <row r="93">
      <c r="A93" s="2" t="inlineStr">
        <is>
          <t>Public Utility Data Liberation (PUDL)</t>
        </is>
      </c>
      <c r="B93" s="3" t="n">
        <v>100</v>
      </c>
      <c r="C93" s="3" t="n">
        <v>100</v>
      </c>
      <c r="D93" s="3" t="n">
        <v>50</v>
      </c>
      <c r="E93" s="3" t="n">
        <v>0</v>
      </c>
      <c r="F93" s="3" t="n">
        <v>25</v>
      </c>
      <c r="G93" s="3" t="n">
        <v>50</v>
      </c>
      <c r="H93" s="2" t="inlineStr">
        <is>
          <t>Substantive affiliation or membership reported; level of operational support not established</t>
        </is>
      </c>
      <c r="I93" s="3" t="n">
        <v>0</v>
      </c>
      <c r="J93" s="3" t="n">
        <v>55</v>
      </c>
      <c r="K93" s="2" t="inlineStr">
        <is>
          <t>Review affiliation coding; override available</t>
        </is>
      </c>
    </row>
    <row r="94">
      <c r="A94" s="2" t="inlineStr">
        <is>
          <t>PubPub</t>
        </is>
      </c>
      <c r="B94" s="3" t="n">
        <v>88.88888888888889</v>
      </c>
      <c r="C94" s="3" t="n">
        <v>100</v>
      </c>
      <c r="D94" s="3" t="n">
        <v>0</v>
      </c>
      <c r="E94" s="3" t="n">
        <v>0</v>
      </c>
      <c r="F94" s="3" t="n">
        <v>0</v>
      </c>
      <c r="G94" s="3" t="n">
        <v>0</v>
      </c>
      <c r="H94" s="2" t="inlineStr">
        <is>
          <t>Blank: zero under the agreed unavailable-data rule</t>
        </is>
      </c>
      <c r="I94" s="3" t="n">
        <v>100</v>
      </c>
      <c r="J94" s="3" t="n">
        <v>57.77777777777779</v>
      </c>
      <c r="K94" s="2" t="inlineStr">
        <is>
          <t>Full-time staffing missing/unknown scored 0; Volunteer staffing missing/unknown scored 0</t>
        </is>
      </c>
    </row>
    <row r="95">
      <c r="A95" s="2" t="inlineStr">
        <is>
          <t>Pundit</t>
        </is>
      </c>
      <c r="B95" s="3" t="n">
        <v>100</v>
      </c>
      <c r="C95" s="3" t="n">
        <v>100</v>
      </c>
      <c r="D95" s="3" t="n">
        <v>100</v>
      </c>
      <c r="E95" s="3" t="n">
        <v>0</v>
      </c>
      <c r="F95" s="3" t="n">
        <v>50</v>
      </c>
      <c r="G95" s="3" t="n">
        <v>0</v>
      </c>
      <c r="H95" s="2" t="inlineStr">
        <is>
          <t>Explicit absence or placeholder</t>
        </is>
      </c>
      <c r="I95" s="3" t="n">
        <v>100</v>
      </c>
      <c r="J95" s="3" t="n">
        <v>70</v>
      </c>
      <c r="K95" s="2" t="inlineStr">
        <is>
          <t>Review affiliation coding; override available</t>
        </is>
      </c>
    </row>
    <row r="96">
      <c r="A96" s="2" t="inlineStr">
        <is>
          <t>pyOpenSci</t>
        </is>
      </c>
      <c r="B96" s="3" t="n">
        <v>100</v>
      </c>
      <c r="C96" s="3" t="n">
        <v>100</v>
      </c>
      <c r="D96" s="3" t="n">
        <v>25</v>
      </c>
      <c r="E96" s="3" t="n">
        <v>100</v>
      </c>
      <c r="F96" s="3" t="n">
        <v>62.5</v>
      </c>
      <c r="G96" s="3" t="n">
        <v>100</v>
      </c>
      <c r="H96" s="2" t="inlineStr">
        <is>
          <t>Explicit host or operational/financial support language</t>
        </is>
      </c>
      <c r="I96" s="3" t="n">
        <v>0</v>
      </c>
      <c r="J96" s="3" t="n">
        <v>72.5</v>
      </c>
      <c r="K96" s="2" t="inlineStr">
        <is>
          <t>Review affiliation coding; override available; Service-delivery field not applicable/unknown scored 0</t>
        </is>
      </c>
    </row>
    <row r="97">
      <c r="A97" s="2" t="inlineStr">
        <is>
          <t>Renku</t>
        </is>
      </c>
      <c r="B97" s="3" t="n">
        <v>100</v>
      </c>
      <c r="C97" s="3" t="n">
        <v>100</v>
      </c>
      <c r="D97" s="3" t="n">
        <v>75</v>
      </c>
      <c r="E97" s="3" t="n">
        <v>25</v>
      </c>
      <c r="F97" s="3" t="n">
        <v>50</v>
      </c>
      <c r="G97" s="3" t="n">
        <v>50</v>
      </c>
      <c r="H97" s="2" t="inlineStr">
        <is>
          <t>Substantive affiliation or membership reported; level of operational support not established</t>
        </is>
      </c>
      <c r="I97" s="3" t="n">
        <v>100</v>
      </c>
      <c r="J97" s="3" t="n">
        <v>80</v>
      </c>
      <c r="K97" s="2" t="inlineStr">
        <is>
          <t>Review affiliation coding; override available</t>
        </is>
      </c>
    </row>
    <row r="98">
      <c r="A98" s="2" t="inlineStr">
        <is>
          <t>RePEc</t>
        </is>
      </c>
      <c r="B98" s="3" t="n">
        <v>100</v>
      </c>
      <c r="C98" s="3" t="n">
        <v>50</v>
      </c>
      <c r="D98" s="3" t="n">
        <v>0</v>
      </c>
      <c r="E98" s="3" t="n">
        <v>0</v>
      </c>
      <c r="F98" s="3" t="n">
        <v>0</v>
      </c>
      <c r="G98" s="3" t="n">
        <v>50</v>
      </c>
      <c r="H98" s="2" t="inlineStr">
        <is>
          <t>Substantive affiliation or membership reported; level of operational support not established</t>
        </is>
      </c>
      <c r="I98" s="3" t="n">
        <v>0</v>
      </c>
      <c r="J98" s="3" t="n">
        <v>40</v>
      </c>
      <c r="K98" s="2" t="inlineStr">
        <is>
          <t>Volunteer staffing missing/unknown scored 0; Review affiliation coding; override available; Service-delivery field not applicable/unknown scored 0</t>
        </is>
      </c>
    </row>
    <row r="99">
      <c r="A99" s="2" t="inlineStr">
        <is>
          <t>Research Organization Registry (ROR)</t>
        </is>
      </c>
      <c r="B99" s="3" t="n">
        <v>100</v>
      </c>
      <c r="C99" s="3" t="n">
        <v>100</v>
      </c>
      <c r="D99" s="3" t="n">
        <v>0</v>
      </c>
      <c r="E99" s="3" t="n">
        <v>0</v>
      </c>
      <c r="F99" s="3" t="n">
        <v>0</v>
      </c>
      <c r="G99" s="3" t="n">
        <v>0</v>
      </c>
      <c r="H99" s="2" t="inlineStr">
        <is>
          <t>Blank: zero under the agreed unavailable-data rule</t>
        </is>
      </c>
      <c r="I99" s="3" t="n">
        <v>0</v>
      </c>
      <c r="J99" s="3" t="n">
        <v>40</v>
      </c>
      <c r="K99" s="2" t="inlineStr">
        <is>
          <t>Full-time staffing missing/unknown scored 0; Volunteer staffing missing/unknown scored 0; Service-delivery field not applicable/unknown scored 0</t>
        </is>
      </c>
    </row>
    <row r="100">
      <c r="A100" s="2" t="inlineStr">
        <is>
          <t>Rogue Scholar</t>
        </is>
      </c>
      <c r="B100" s="3" t="n">
        <v>100</v>
      </c>
      <c r="C100" s="3" t="n">
        <v>100</v>
      </c>
      <c r="D100" s="3" t="n">
        <v>0</v>
      </c>
      <c r="E100" s="3" t="n">
        <v>0</v>
      </c>
      <c r="F100" s="3" t="n">
        <v>0</v>
      </c>
      <c r="G100" s="3" t="n">
        <v>0</v>
      </c>
      <c r="H100" s="2" t="inlineStr">
        <is>
          <t>Blank: zero under the agreed unavailable-data rule</t>
        </is>
      </c>
      <c r="I100" s="3" t="n">
        <v>0</v>
      </c>
      <c r="J100" s="3" t="n">
        <v>40</v>
      </c>
      <c r="K100" s="2" t="inlineStr">
        <is>
          <t>Full-time staffing missing/unknown scored 0; Volunteer staffing missing/unknown scored 0; Service-delivery field not applicable/unknown scored 0</t>
        </is>
      </c>
    </row>
    <row r="101">
      <c r="A101" s="2" t="inlineStr">
        <is>
          <t>RSpace</t>
        </is>
      </c>
      <c r="B101" s="3" t="n">
        <v>100</v>
      </c>
      <c r="C101" s="3" t="n">
        <v>100</v>
      </c>
      <c r="D101" s="3" t="n">
        <v>75</v>
      </c>
      <c r="E101" s="3" t="n">
        <v>0</v>
      </c>
      <c r="F101" s="3" t="n">
        <v>37.5</v>
      </c>
      <c r="G101" s="3" t="n">
        <v>0</v>
      </c>
      <c r="H101" s="2" t="inlineStr">
        <is>
          <t>Explicit absence or placeholder</t>
        </is>
      </c>
      <c r="I101" s="3" t="n">
        <v>100</v>
      </c>
      <c r="J101" s="3" t="n">
        <v>67.5</v>
      </c>
      <c r="K101" s="2" t="inlineStr">
        <is>
          <t>Review affiliation coding; override available</t>
        </is>
      </c>
    </row>
    <row r="102">
      <c r="A102" s="2" t="inlineStr">
        <is>
          <t>Sciety</t>
        </is>
      </c>
      <c r="B102" s="3" t="n">
        <v>100</v>
      </c>
      <c r="C102" s="3" t="n">
        <v>100</v>
      </c>
      <c r="D102" s="3" t="n">
        <v>25</v>
      </c>
      <c r="E102" s="3" t="n">
        <v>0</v>
      </c>
      <c r="F102" s="3" t="n">
        <v>12.5</v>
      </c>
      <c r="G102" s="3" t="n">
        <v>50</v>
      </c>
      <c r="H102" s="2" t="inlineStr">
        <is>
          <t>Substantive affiliation or membership reported; level of operational support not established</t>
        </is>
      </c>
      <c r="I102" s="3" t="n">
        <v>0</v>
      </c>
      <c r="J102" s="3" t="n">
        <v>52.5</v>
      </c>
      <c r="K102" s="2" t="inlineStr">
        <is>
          <t>Review affiliation coding; override available; Service-delivery field not applicable/unknown scored 0</t>
        </is>
      </c>
    </row>
    <row r="103">
      <c r="A103" s="2" t="inlineStr">
        <is>
          <t>Synapse</t>
        </is>
      </c>
      <c r="B103" s="3" t="n">
        <v>100</v>
      </c>
      <c r="C103" s="3" t="n">
        <v>100</v>
      </c>
      <c r="D103" s="3" t="n">
        <v>100</v>
      </c>
      <c r="E103" s="3" t="n">
        <v>0</v>
      </c>
      <c r="F103" s="3" t="n">
        <v>50</v>
      </c>
      <c r="G103" s="3" t="n">
        <v>0</v>
      </c>
      <c r="H103" s="2" t="inlineStr">
        <is>
          <t>Explicit absence or placeholder</t>
        </is>
      </c>
      <c r="I103" s="3" t="n">
        <v>100</v>
      </c>
      <c r="J103" s="3" t="n">
        <v>70</v>
      </c>
      <c r="K103" s="2" t="inlineStr">
        <is>
          <t>Review affiliation coding; override available</t>
        </is>
      </c>
    </row>
    <row r="104">
      <c r="A104" s="2" t="inlineStr">
        <is>
          <t>TagTeam</t>
        </is>
      </c>
      <c r="B104" s="3" t="n">
        <v>100</v>
      </c>
      <c r="C104" s="3" t="n">
        <v>50</v>
      </c>
      <c r="D104" s="3" t="n">
        <v>0</v>
      </c>
      <c r="E104" s="3" t="n">
        <v>100</v>
      </c>
      <c r="F104" s="3" t="n">
        <v>50</v>
      </c>
      <c r="G104" s="3" t="n">
        <v>50</v>
      </c>
      <c r="H104" s="2" t="inlineStr">
        <is>
          <t>Substantive affiliation or membership reported; level of operational support not established</t>
        </is>
      </c>
      <c r="I104" s="3" t="n">
        <v>0</v>
      </c>
      <c r="J104" s="3" t="n">
        <v>50</v>
      </c>
      <c r="K104" s="2" t="inlineStr">
        <is>
          <t>Review affiliation coding; override available; Service-delivery field not applicable/unknown scored 0</t>
        </is>
      </c>
    </row>
    <row r="105">
      <c r="A105" s="2" t="inlineStr">
        <is>
          <t>Thoth Open Metadata</t>
        </is>
      </c>
      <c r="B105" s="3" t="n">
        <v>100</v>
      </c>
      <c r="C105" s="3" t="n">
        <v>100</v>
      </c>
      <c r="D105" s="3" t="n">
        <v>25</v>
      </c>
      <c r="E105" s="3" t="n">
        <v>0</v>
      </c>
      <c r="F105" s="3" t="n">
        <v>12.5</v>
      </c>
      <c r="G105" s="3" t="n">
        <v>50</v>
      </c>
      <c r="H105" s="2" t="inlineStr">
        <is>
          <t>Substantive affiliation or membership reported; level of operational support not established</t>
        </is>
      </c>
      <c r="I105" s="3" t="n">
        <v>100</v>
      </c>
      <c r="J105" s="3" t="n">
        <v>72.5</v>
      </c>
      <c r="K105" s="2" t="inlineStr">
        <is>
          <t>Review affiliation coding; override available</t>
        </is>
      </c>
    </row>
    <row r="106">
      <c r="A106" s="2" t="inlineStr">
        <is>
          <t>Tropy</t>
        </is>
      </c>
      <c r="B106" s="3" t="n">
        <v>100</v>
      </c>
      <c r="C106" s="3" t="n">
        <v>100</v>
      </c>
      <c r="D106" s="3" t="n">
        <v>0</v>
      </c>
      <c r="E106" s="3" t="n">
        <v>0</v>
      </c>
      <c r="F106" s="3" t="n">
        <v>0</v>
      </c>
      <c r="G106" s="3" t="n">
        <v>0</v>
      </c>
      <c r="H106" s="2" t="inlineStr">
        <is>
          <t>Explicit absence or placeholder</t>
        </is>
      </c>
      <c r="I106" s="3" t="n">
        <v>0</v>
      </c>
      <c r="J106" s="3" t="n">
        <v>40</v>
      </c>
      <c r="K106" s="2" t="inlineStr">
        <is>
          <t>Full-time staffing missing/unknown scored 0; Volunteer staffing missing/unknown scored 0; Review affiliation coding; override available; Service-delivery field not applicable/unknown scored 0</t>
        </is>
      </c>
    </row>
    <row r="107">
      <c r="A107" s="2" t="inlineStr">
        <is>
          <t>veraPDF</t>
        </is>
      </c>
      <c r="B107" s="3" t="n">
        <v>100</v>
      </c>
      <c r="C107" s="3" t="n">
        <v>100</v>
      </c>
      <c r="D107" s="3" t="n">
        <v>25</v>
      </c>
      <c r="E107" s="3" t="n">
        <v>0</v>
      </c>
      <c r="F107" s="3" t="n">
        <v>12.5</v>
      </c>
      <c r="G107" s="3" t="n">
        <v>50</v>
      </c>
      <c r="H107" s="2" t="inlineStr">
        <is>
          <t>Substantive affiliation or membership reported; level of operational support not established</t>
        </is>
      </c>
      <c r="I107" s="3" t="n">
        <v>0</v>
      </c>
      <c r="J107" s="3" t="n">
        <v>52.5</v>
      </c>
      <c r="K107" s="2" t="inlineStr">
        <is>
          <t>Review affiliation coding; override available; Service-delivery field not applicable/unknown scored 0</t>
        </is>
      </c>
    </row>
    <row r="108">
      <c r="A108" s="2" t="inlineStr">
        <is>
          <t>ViPER</t>
        </is>
      </c>
      <c r="B108" s="3" t="n">
        <v>100</v>
      </c>
      <c r="C108" s="3" t="n">
        <v>100</v>
      </c>
      <c r="D108" s="3" t="n">
        <v>50</v>
      </c>
      <c r="E108" s="3" t="n">
        <v>0</v>
      </c>
      <c r="F108" s="3" t="n">
        <v>25</v>
      </c>
      <c r="G108" s="3" t="n">
        <v>50</v>
      </c>
      <c r="H108" s="2" t="inlineStr">
        <is>
          <t>Substantive affiliation or membership reported; level of operational support not established</t>
        </is>
      </c>
      <c r="I108" s="3" t="n">
        <v>0</v>
      </c>
      <c r="J108" s="3" t="n">
        <v>55</v>
      </c>
      <c r="K108" s="2" t="inlineStr">
        <is>
          <t>Volunteer staffing missing/unknown scored 0; Review affiliation coding; override available; Service-delivery field not applicable/unknown scored 0</t>
        </is>
      </c>
    </row>
    <row r="109">
      <c r="A109" s="2" t="inlineStr">
        <is>
          <t>Vireo ETD</t>
        </is>
      </c>
      <c r="B109" s="3" t="n">
        <v>100</v>
      </c>
      <c r="C109" s="3" t="n">
        <v>100</v>
      </c>
      <c r="D109" s="3" t="n">
        <v>25</v>
      </c>
      <c r="E109" s="3" t="n">
        <v>0</v>
      </c>
      <c r="F109" s="3" t="n">
        <v>12.5</v>
      </c>
      <c r="G109" s="3" t="n">
        <v>50</v>
      </c>
      <c r="H109" s="2" t="inlineStr">
        <is>
          <t>Substantive affiliation or membership reported; level of operational support not established</t>
        </is>
      </c>
      <c r="I109" s="3" t="n">
        <v>100</v>
      </c>
      <c r="J109" s="3" t="n">
        <v>72.5</v>
      </c>
      <c r="K109" s="2" t="inlineStr">
        <is>
          <t>Review affiliation coding; override available</t>
        </is>
      </c>
    </row>
    <row r="110">
      <c r="A110" s="2" t="inlineStr">
        <is>
          <t>VIVO</t>
        </is>
      </c>
      <c r="B110" s="3" t="n">
        <v>100</v>
      </c>
      <c r="C110" s="3" t="n">
        <v>100</v>
      </c>
      <c r="D110" s="3" t="n">
        <v>25</v>
      </c>
      <c r="E110" s="3" t="n">
        <v>0</v>
      </c>
      <c r="F110" s="3" t="n">
        <v>12.5</v>
      </c>
      <c r="G110" s="3" t="n">
        <v>100</v>
      </c>
      <c r="H110" s="2" t="inlineStr">
        <is>
          <t>Explicit host or operational/financial support language</t>
        </is>
      </c>
      <c r="I110" s="3" t="n">
        <v>100</v>
      </c>
      <c r="J110" s="3" t="n">
        <v>82.5</v>
      </c>
      <c r="K110" s="2" t="inlineStr">
        <is>
          <t>Review affiliation coding; override available</t>
        </is>
      </c>
    </row>
    <row r="111">
      <c r="A111" s="2" t="inlineStr">
        <is>
          <t>VuFind®</t>
        </is>
      </c>
      <c r="B111" s="3" t="n">
        <v>100</v>
      </c>
      <c r="C111" s="3" t="n">
        <v>100</v>
      </c>
      <c r="D111" s="3" t="n">
        <v>0</v>
      </c>
      <c r="E111" s="3" t="n">
        <v>0</v>
      </c>
      <c r="F111" s="3" t="n">
        <v>0</v>
      </c>
      <c r="G111" s="3" t="n">
        <v>0</v>
      </c>
      <c r="H111" s="2" t="inlineStr">
        <is>
          <t>Blank: zero under the agreed unavailable-data rule</t>
        </is>
      </c>
      <c r="I111" s="3" t="n">
        <v>100</v>
      </c>
      <c r="J111" s="3" t="n">
        <v>60</v>
      </c>
      <c r="K111" s="2" t="inlineStr">
        <is>
          <t>Full-time staffing missing/unknown scored 0; Volunteer staffing missing/unknown scored 0</t>
        </is>
      </c>
    </row>
    <row r="112">
      <c r="A112" s="2" t="inlineStr">
        <is>
          <t>Zenodo</t>
        </is>
      </c>
      <c r="B112" s="3" t="n">
        <v>100</v>
      </c>
      <c r="C112" s="3" t="n">
        <v>100</v>
      </c>
      <c r="D112" s="3" t="n">
        <v>0</v>
      </c>
      <c r="E112" s="3" t="n">
        <v>0</v>
      </c>
      <c r="F112" s="3" t="n">
        <v>0</v>
      </c>
      <c r="G112" s="3" t="n">
        <v>0</v>
      </c>
      <c r="H112" s="2" t="inlineStr">
        <is>
          <t>Blank: zero under the agreed unavailable-data rule</t>
        </is>
      </c>
      <c r="I112" s="3" t="n">
        <v>0</v>
      </c>
      <c r="J112" s="3" t="n">
        <v>40</v>
      </c>
      <c r="K112" s="2" t="inlineStr">
        <is>
          <t>Full-time staffing missing/unknown scored 0; Volunteer staffing missing/unknown scored 0; Service-delivery field not applicable/unknown scored 0</t>
        </is>
      </c>
    </row>
    <row r="113">
      <c r="A113" s="2" t="inlineStr">
        <is>
          <t>Zotero</t>
        </is>
      </c>
      <c r="B113" s="3" t="n">
        <v>100</v>
      </c>
      <c r="C113" s="3" t="n">
        <v>100</v>
      </c>
      <c r="D113" s="3" t="n">
        <v>0</v>
      </c>
      <c r="E113" s="3" t="n">
        <v>0</v>
      </c>
      <c r="F113" s="3" t="n">
        <v>0</v>
      </c>
      <c r="G113" s="3" t="n">
        <v>0</v>
      </c>
      <c r="H113" s="2" t="inlineStr">
        <is>
          <t>Explicit absence or placeholder</t>
        </is>
      </c>
      <c r="I113" s="3" t="n">
        <v>100</v>
      </c>
      <c r="J113" s="3" t="n">
        <v>60</v>
      </c>
      <c r="K113" s="2" t="inlineStr">
        <is>
          <t>Full-time staffing missing/unknown scored 0; Volunteer staffing missing/unknown scored 0; Review affiliation coding; override available</t>
        </is>
      </c>
    </row>
  </sheetData>
  <autoFilter ref="A1:K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113"/>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6" customWidth="1" min="3" max="3"/>
    <col width="16" customWidth="1" min="4" max="4"/>
    <col width="23" customWidth="1" min="5" max="5"/>
    <col width="30" customWidth="1" min="6" max="6"/>
    <col width="19" customWidth="1" min="7" max="7"/>
    <col width="19" customWidth="1" min="8" max="8"/>
    <col width="25" customWidth="1" min="9" max="9"/>
    <col width="22" customWidth="1" min="10" max="10"/>
    <col width="18" customWidth="1" min="11" max="11"/>
    <col width="24" customWidth="1" min="12" max="12"/>
    <col width="24" customWidth="1" min="13" max="13"/>
    <col width="17" customWidth="1" min="14" max="14"/>
    <col width="28" customWidth="1" min="15" max="15"/>
    <col width="18" customWidth="1" min="16" max="16"/>
    <col width="16" customWidth="1" min="17" max="17"/>
    <col width="28" customWidth="1" min="18" max="18"/>
    <col width="34" customWidth="1" min="19" max="19"/>
    <col width="18" customWidth="1" min="20" max="20"/>
    <col width="34" customWidth="1" min="21" max="21"/>
    <col width="26" customWidth="1" min="22" max="22"/>
    <col width="24" customWidth="1" min="23" max="23"/>
    <col width="16" customWidth="1" min="24" max="24"/>
    <col width="21" customWidth="1" min="25" max="25"/>
    <col width="20" customWidth="1" min="26" max="26"/>
  </cols>
  <sheetData>
    <row r="1" ht="32" customHeight="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017_funding_needs</t>
        </is>
      </c>
      <c r="H1" s="1" t="inlineStr">
        <is>
          <t>051_business_form</t>
        </is>
      </c>
      <c r="I1" s="1" t="inlineStr">
        <is>
          <t>951_business_form_other</t>
        </is>
      </c>
      <c r="J1" s="1" t="inlineStr">
        <is>
          <t>052_nonprofit_status</t>
        </is>
      </c>
      <c r="K1" s="1" t="inlineStr">
        <is>
          <t>053_shareholders</t>
        </is>
      </c>
      <c r="L1" s="1" t="inlineStr">
        <is>
          <t>054_staffing_full_time</t>
        </is>
      </c>
      <c r="M1" s="1" t="inlineStr">
        <is>
          <t>055_staffing_volunteer</t>
        </is>
      </c>
      <c r="N1" s="1" t="inlineStr">
        <is>
          <t>056_launch_date</t>
        </is>
      </c>
      <c r="O1" s="1" t="inlineStr">
        <is>
          <t>057_organizational_history</t>
        </is>
      </c>
      <c r="P1" s="1" t="inlineStr">
        <is>
          <t>058_affiliations</t>
        </is>
      </c>
      <c r="Q1" s="1" t="inlineStr">
        <is>
          <t>059_founders</t>
        </is>
      </c>
      <c r="R1" s="1" t="inlineStr">
        <is>
          <t>061_primary_funding_source</t>
        </is>
      </c>
      <c r="S1" s="1" t="inlineStr">
        <is>
          <t>961_primary_funding_source_other</t>
        </is>
      </c>
      <c r="T1" s="1" t="inlineStr">
        <is>
          <t>076_saas_options</t>
        </is>
      </c>
      <c r="U1" s="1" t="inlineStr">
        <is>
          <t>077_registered_service_providers</t>
        </is>
      </c>
      <c r="V1" s="1" t="inlineStr">
        <is>
          <t>079_technology_readiness</t>
        </is>
      </c>
      <c r="W1" s="1" t="inlineStr">
        <is>
          <t>080_maintenance_status</t>
        </is>
      </c>
      <c r="X1" s="1" t="inlineStr">
        <is>
          <t>099_scoss</t>
        </is>
      </c>
      <c r="Y1" s="1" t="inlineStr">
        <is>
          <t>verification_status</t>
        </is>
      </c>
      <c r="Z1" s="1" t="inlineStr">
        <is>
          <t>verification_notes</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&lt;p&gt;2i2c aims to identify a self-sustaining cost recovery model with ongoing service fees for communities that it partners with in managing cloud infrastructure. We also pursue several other funding streams to advance our mission in open infrastructure for open science.&lt;/p&gt;
&lt;p&gt;Below are a few areas where we are actively seeking funding.&lt;/p&gt;
&lt;p&gt;
&lt;ul&gt;
&lt;li&gt; Cloud and service costs for one or more communities that cannot afford the full price of a monthly service.
&lt;li&gt; Development projects to enhance open source technology that is critical for open science and education.
&lt;li&gt; Broader community and technical support for the key open source communities in which we participate.
&lt;li&gt; Organizational service development funding runway to explore and refine our model for sustainably serving infrastructure.
&lt;/ul&gt;
&lt;/p&gt;</t>
        </is>
      </c>
      <c r="H2" s="2" t="inlineStr">
        <is>
          <t>Fiscal sponsorship (non-profit)</t>
        </is>
      </c>
      <c r="I2" s="2" t="n"/>
      <c r="J2" s="2" t="n"/>
      <c r="K2" s="2" t="inlineStr">
        <is>
          <t>FALSE</t>
        </is>
      </c>
      <c r="L2" s="2" t="n"/>
      <c r="M2" s="2" t="n"/>
      <c r="N2" s="2" t="inlineStr">
        <is>
          <t>2020-01-01</t>
        </is>
      </c>
      <c r="O2" s="2" t="inlineStr">
        <is>
          <t>&lt;p&gt;2i2c was created by its current Steering Council, who also act as its founding partners. This group roughly came from three projects that similarly operated cloud infrastructure for interactive computing:&lt;/p&gt;
&lt;p&gt;
&lt;ul&gt;
&lt;li&gt; The Berkeley DataHub is an institution-wide JupyterHub that was led in-part by Yuvi Panda, Chris Holdgraf, Cathryn Carson, and Fernando Perez.
&lt;li&gt; The Syzygy project (&lt;a href="https://syzygy.ca"&gt;https://syzygy.ca&lt;/a&gt;) is a network of JupyterHubs for Canadian universities that was led in-part by Jim Colliander.
&lt;li&gt; The Pangeo project (&lt;a href="https://pangeo.io"&gt;https://pangeo.io&lt;/a&gt;) is a community platform for Big Data geoscience that is built on a JupyterHub and cloud computing, and is led in-part by Ryan Abernathey.
&lt;/ul&gt;
&lt;/p&gt;
&lt;p&gt;Each of these projects demonstrated considerable value for the communities it served, but it was also clear that this model was unsustainable for most other communities of practice due to difficulties in hiring for cloud engineering skills.&lt;/p&gt;
&lt;p&gt;As a result, communities tended to use proprietary services that weren't aligned with the values many of us identified with (e.g., community-driven infrastructure, values-based organizations, non-profit structures, etc).&lt;/p&gt;
&lt;p&gt;We created 2i2c in order to have a mission-driven and community-focused organization that could design and manage cloud infrastructure on behalf of communities of practice, but that framed the partnership as a collaboration based around shared responsibility and transparency rather than a pure "consumer / producer relationship". We also wanted to ensure that 2i2c would commit to making upstream contributions and support as part of its key mission, in order to avoid the extractive relationship many organizations have with open source.&lt;/p&gt;</t>
        </is>
      </c>
      <c r="P2" s="2" t="n"/>
      <c r="Q2" s="2" t="n"/>
      <c r="R2" s="2" t="inlineStr">
        <is>
          <t>Contributions</t>
        </is>
      </c>
      <c r="S2" s="2" t="n"/>
      <c r="T2" s="2" t="inlineStr">
        <is>
          <t>Not applicable</t>
        </is>
      </c>
      <c r="U2" s="2" t="n"/>
      <c r="V2" s="2" t="inlineStr">
        <is>
          <t>Actual system proven in operational environment</t>
        </is>
      </c>
      <c r="W2" s="2" t="inlineStr">
        <is>
          <t>Actively Maintained</t>
        </is>
      </c>
      <c r="X2" s="2" t="inlineStr">
        <is>
          <t>FALSE</t>
        </is>
      </c>
      <c r="Y2" s="2" t="n"/>
      <c r="Z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Investment in APTrust allows us to hire dedicated staff with decent jobs. It allows us to further our mission by enhancing, extending, and maintaining our services for our members. Investments allow us to implement our Associate Membership model to extend APTrust services to organizations of all sizes.</t>
        </is>
      </c>
      <c r="H3" s="2" t="inlineStr">
        <is>
          <t>Fiscal sponsorship (academic institution)</t>
        </is>
      </c>
      <c r="I3" s="2" t="n"/>
      <c r="J3" s="2" t="n"/>
      <c r="K3" s="2" t="inlineStr">
        <is>
          <t>FALSE</t>
        </is>
      </c>
      <c r="L3" s="2" t="inlineStr">
        <is>
          <t>1-5</t>
        </is>
      </c>
      <c r="M3" s="2" t="n"/>
      <c r="N3" s="2" t="inlineStr">
        <is>
          <t>2014-01-01</t>
        </is>
      </c>
      <c r="O3" s="2" t="inlineStr">
        <is>
          <t>https://aptrust.org/about/background/</t>
        </is>
      </c>
      <c r="P3" s="2" t="inlineStr">
        <is>
          <t>University of Virginia</t>
        </is>
      </c>
      <c r="Q3" s="2" t="inlineStr">
        <is>
          <t>University of Virginia, Duke University, Emory University, Johns Hopkins University, University of Maryland, University of North Carolina at Chapel Hill, and North Carolina State University, Columbia University, University of Michigan, University of Notre Dame, Stanford University, Syracuse University</t>
        </is>
      </c>
      <c r="R3" s="2" t="inlineStr">
        <is>
          <t>Program service revenue</t>
        </is>
      </c>
      <c r="S3" s="2" t="n"/>
      <c r="T3" s="2" t="inlineStr">
        <is>
          <t>Through solution provider only</t>
        </is>
      </c>
      <c r="U3" s="2" t="n"/>
      <c r="V3" s="2" t="inlineStr">
        <is>
          <t>Actual system proven in operational environment</t>
        </is>
      </c>
      <c r="W3" s="2" t="inlineStr">
        <is>
          <t>Actively Maintained</t>
        </is>
      </c>
      <c r="X3" s="2" t="inlineStr">
        <is>
          <t>FALSE</t>
        </is>
      </c>
      <c r="Y3" s="2" t="n"/>
      <c r="Z3" s="2" t="n"/>
    </row>
    <row r="4">
      <c r="A4" s="2" t="inlineStr">
        <is>
          <t>AfricArXiv</t>
        </is>
      </c>
      <c r="B4" s="2" t="inlineStr">
        <is>
          <t>UbuntuNet Alliance</t>
        </is>
      </c>
      <c r="C4" s="2" t="inlineStr">
        <is>
          <t>https://africarxiv.org/</t>
        </is>
      </c>
      <c r="D4" s="2" t="inlineStr">
        <is>
          <t>MW</t>
        </is>
      </c>
      <c r="E4" s="2" t="inlineStr">
        <is>
          <t>Repository service</t>
        </is>
      </c>
      <c r="F4" s="2" t="n"/>
      <c r="G4" s="2" t="inlineStr">
        <is>
          <t>Investment can empower AfricArXiv to advance African research accessibility and visibility by enhancing its digital infrastructure, supporting multilingual resources, and strengthening global partnerships. Funding can improve user interfaces, optimize searchability, and enable translation into indigenous languages, broadening reach. Capacity-building initiatives, such as workshops, grants, and digital literacy programs, can empower researchers and democratize access to publishing. Sustainable revenue models through membership, sponsorships, and donations ensure long-term viability. Additionally, as we have shown previously, investment in peer review, community-building tools, and public outreach can boost AfricArXiv’s credibility, fostering impactful and inclusive African scholarship.</t>
        </is>
      </c>
      <c r="H4" s="2" t="inlineStr">
        <is>
          <t>Fiscal sponsorship (non-profit)</t>
        </is>
      </c>
      <c r="I4" s="2" t="n"/>
      <c r="J4" s="2" t="n"/>
      <c r="K4" s="2" t="inlineStr">
        <is>
          <t>FALSE</t>
        </is>
      </c>
      <c r="L4" s="2" t="inlineStr">
        <is>
          <t>1-5</t>
        </is>
      </c>
      <c r="M4" s="2" t="inlineStr">
        <is>
          <t>1-5</t>
        </is>
      </c>
      <c r="N4" s="2" t="inlineStr">
        <is>
          <t>2018-01-01</t>
        </is>
      </c>
      <c r="O4" s="2" t="inlineStr">
        <is>
          <t>AfricArXiv Reports, articles, presentations, and datasets that the team created for the AfricArXiv community. are available at https://africarxiv.ubuntunet.net/handle/1/1535</t>
        </is>
      </c>
      <c r="P4" s="2" t="inlineStr">
        <is>
          <t>Access 2 Perspectives coordinates AfricArXiv’s operations. This includes managing day-to-day activities, overseeing submission processes, ensuring quality control, and facilitating the integration of AfricArXiv with other scholarly services</t>
        </is>
      </c>
      <c r="Q4" s="2" t="inlineStr">
        <is>
          <t>Dr. Johanna Havemann (concept and coordination)
Justin Ahinon (technical assistance and community engagement)</t>
        </is>
      </c>
      <c r="R4" s="2" t="inlineStr">
        <is>
          <t>Contributions</t>
        </is>
      </c>
      <c r="S4" s="2" t="n"/>
      <c r="T4" s="2" t="inlineStr">
        <is>
          <t>Not applicable</t>
        </is>
      </c>
      <c r="U4" s="2" t="n"/>
      <c r="V4" s="2" t="inlineStr">
        <is>
          <t>Actual system proven in operational environment</t>
        </is>
      </c>
      <c r="W4" s="2" t="inlineStr">
        <is>
          <t>Actively Maintained</t>
        </is>
      </c>
      <c r="X4" s="2" t="inlineStr">
        <is>
          <t>FALSE</t>
        </is>
      </c>
      <c r="Y4" s="2" t="n"/>
      <c r="Z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n"/>
      <c r="H5" s="2" t="inlineStr">
        <is>
          <t>Non-profit organization</t>
        </is>
      </c>
      <c r="I5" s="2" t="n"/>
      <c r="J5" s="2" t="inlineStr">
        <is>
          <t>501(c)3</t>
        </is>
      </c>
      <c r="K5" s="2" t="inlineStr">
        <is>
          <t>FALSE</t>
        </is>
      </c>
      <c r="L5" s="2" t="n"/>
      <c r="M5" s="2" t="n"/>
      <c r="N5" s="2" t="inlineStr">
        <is>
          <t>2013-01-01</t>
        </is>
      </c>
      <c r="O5" s="2" t="inlineStr">
        <is>
          <t>https://www.archesproject.org/archestimeline/</t>
        </is>
      </c>
      <c r="P5" s="2" t="inlineStr">
        <is>
          <t>Getty Conservation Institute
Farallon Geographics</t>
        </is>
      </c>
      <c r="Q5" s="2" t="inlineStr">
        <is>
          <t>Getty Conservation Institute
World Monuments Fund</t>
        </is>
      </c>
      <c r="R5" s="2" t="inlineStr">
        <is>
          <t>Contributions</t>
        </is>
      </c>
      <c r="S5" s="2" t="n"/>
      <c r="T5" s="2" t="inlineStr">
        <is>
          <t>Through third party vendor only</t>
        </is>
      </c>
      <c r="U5" s="2" t="inlineStr">
        <is>
          <t>https://www.archesproject.org/service-providers/</t>
        </is>
      </c>
      <c r="V5" s="2" t="inlineStr">
        <is>
          <t>Actual system proven in operational environment</t>
        </is>
      </c>
      <c r="W5" s="2" t="inlineStr">
        <is>
          <t>Actively Maintained</t>
        </is>
      </c>
      <c r="X5" s="2" t="inlineStr">
        <is>
          <t>FALSE</t>
        </is>
      </c>
      <c r="Y5" s="2" t="n"/>
      <c r="Z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Stable funding provided via METRO and managed services.</t>
        </is>
      </c>
      <c r="H6" s="2" t="inlineStr">
        <is>
          <t>Fiscal sponsorship (non-profit) | Non-profit organization</t>
        </is>
      </c>
      <c r="I6" s="2" t="n"/>
      <c r="J6" s="2" t="n"/>
      <c r="K6" s="2" t="inlineStr">
        <is>
          <t>FALSE</t>
        </is>
      </c>
      <c r="L6" s="2" t="n"/>
      <c r="M6" s="2" t="n"/>
      <c r="N6" s="2" t="inlineStr">
        <is>
          <t>2018-01-01</t>
        </is>
      </c>
      <c r="O6" s="2" t="inlineStr">
        <is>
          <t>&lt;a href="https://metro.org/about" target="_blank"&gt;https://metro.org/about&lt;/a&gt;</t>
        </is>
      </c>
      <c r="P6" s="2" t="n"/>
      <c r="Q6" s="2" t="n"/>
      <c r="R6" s="2" t="inlineStr">
        <is>
          <t>Other</t>
        </is>
      </c>
      <c r="S6" s="2" t="n"/>
      <c r="T6" s="2" t="inlineStr">
        <is>
          <t>Through solution provider or third party vendor</t>
        </is>
      </c>
      <c r="U6" s="2" t="n"/>
      <c r="V6" s="2" t="inlineStr">
        <is>
          <t>Actual system proven in operational environment</t>
        </is>
      </c>
      <c r="W6" s="2" t="inlineStr">
        <is>
          <t>Actively Maintained</t>
        </is>
      </c>
      <c r="X6" s="2" t="inlineStr">
        <is>
          <t>FALSE</t>
        </is>
      </c>
      <c r="Y6" s="2" t="n"/>
      <c r="Z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n"/>
      <c r="H7" s="2" t="inlineStr">
        <is>
          <t>Volunteer community</t>
        </is>
      </c>
      <c r="I7" s="2" t="n"/>
      <c r="J7" s="2" t="n"/>
      <c r="K7" s="2" t="inlineStr">
        <is>
          <t>FALSE</t>
        </is>
      </c>
      <c r="L7" s="2" t="n"/>
      <c r="M7" s="2" t="n"/>
      <c r="N7" s="2" t="inlineStr">
        <is>
          <t>2001-01-01</t>
        </is>
      </c>
      <c r="O7" s="2" t="inlineStr">
        <is>
          <t>In 2018, the California Digital Library and DuraSpace announced a collaboration, initially named ARKs-in-the-Open and then the ARK Alliance, to build an international community around ARKs and their use in open scholarship.</t>
        </is>
      </c>
      <c r="P7" s="2" t="n"/>
      <c r="Q7" s="2" t="n"/>
      <c r="R7" s="2" t="inlineStr">
        <is>
          <t>Other</t>
        </is>
      </c>
      <c r="S7" s="2" t="n"/>
      <c r="T7" s="2" t="inlineStr">
        <is>
          <t>Not applicable</t>
        </is>
      </c>
      <c r="U7" s="2" t="n"/>
      <c r="V7" s="2" t="inlineStr">
        <is>
          <t>Technology validated in relevant environment</t>
        </is>
      </c>
      <c r="W7" s="2" t="inlineStr">
        <is>
          <t>Actively Maintained</t>
        </is>
      </c>
      <c r="X7" s="2" t="inlineStr">
        <is>
          <t>FALSE</t>
        </is>
      </c>
      <c r="Y7" s="2" t="n"/>
      <c r="Z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8" s="2" t="inlineStr">
        <is>
          <t>Commercial (for-profit)</t>
        </is>
      </c>
      <c r="I8" s="2" t="n"/>
      <c r="J8" s="2" t="n"/>
      <c r="K8" s="2" t="inlineStr">
        <is>
          <t>TRUE</t>
        </is>
      </c>
      <c r="L8" s="2" t="inlineStr">
        <is>
          <t>More than 20</t>
        </is>
      </c>
      <c r="M8" s="2" t="n"/>
      <c r="N8" s="2" t="inlineStr">
        <is>
          <t>2009-01-01</t>
        </is>
      </c>
      <c r="O8"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8" s="2" t="inlineStr">
        <is>
          <t>No Affiliations</t>
        </is>
      </c>
      <c r="Q8" s="2" t="inlineStr">
        <is>
          <t>Artefactual Systems Inc.</t>
        </is>
      </c>
      <c r="R8" s="2" t="inlineStr">
        <is>
          <t>Program service revenue</t>
        </is>
      </c>
      <c r="S8" s="2" t="n"/>
      <c r="T8" s="2" t="inlineStr">
        <is>
          <t>Through solution provider or third party vendor</t>
        </is>
      </c>
      <c r="U8" s="2" t="inlineStr">
        <is>
          <t xml:space="preserve">https://www.artefactual.com/pricing </t>
        </is>
      </c>
      <c r="V8" s="2" t="inlineStr">
        <is>
          <t>Actual system proven in operational environment</t>
        </is>
      </c>
      <c r="W8" s="2" t="inlineStr">
        <is>
          <t>Actively Maintained</t>
        </is>
      </c>
      <c r="X8" s="2" t="inlineStr">
        <is>
          <t>FALSE</t>
        </is>
      </c>
      <c r="Y8" s="2" t="n"/>
      <c r="Z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accelerated feature development, improvements to the technical stack, integrations with other applications used in archives, anti-racism and inclusion improvements, expanded engagement and support offerings for the community, expansion of user community, sustainability overall</t>
        </is>
      </c>
      <c r="H9" s="2" t="inlineStr">
        <is>
          <t>Other</t>
        </is>
      </c>
      <c r="I9" s="2" t="inlineStr">
        <is>
          <t>ArchivesSpace is an independent membership-supported entity whose organizational home is at Lyrasis - this means ArchivesSpace pays Lyrasis for various services</t>
        </is>
      </c>
      <c r="J9" s="2" t="n"/>
      <c r="K9" s="2" t="inlineStr">
        <is>
          <t>FALSE</t>
        </is>
      </c>
      <c r="L9" s="2" t="inlineStr">
        <is>
          <t>6-10</t>
        </is>
      </c>
      <c r="M9" s="2" t="n"/>
      <c r="N9" s="2" t="inlineStr">
        <is>
          <t>2013-01-01</t>
        </is>
      </c>
      <c r="O9" s="2" t="inlineStr">
        <is>
          <t>https://archivesspace.org/about/history</t>
        </is>
      </c>
      <c r="P9" s="2" t="inlineStr">
        <is>
          <t>New York University and the University of California San Diego are the founding partners and have permanent seats on the Board; Lyrasis is the organizational home</t>
        </is>
      </c>
      <c r="Q9" s="2" t="inlineStr">
        <is>
          <t>New York University
University of Illinois Urbana-Champaign
University of California San Diego
Andrew W. Mellon Foundation</t>
        </is>
      </c>
      <c r="R9" s="2" t="inlineStr">
        <is>
          <t>Other</t>
        </is>
      </c>
      <c r="S9" s="2" t="inlineStr">
        <is>
          <t>membership</t>
        </is>
      </c>
      <c r="T9" s="2" t="inlineStr">
        <is>
          <t>Through third party vendor only</t>
        </is>
      </c>
      <c r="U9" s="2" t="inlineStr">
        <is>
          <t>&lt;a href="https://archivesspace.org/service-providers" target="_blank"&gt;Service provider list&lt;/a&gt;</t>
        </is>
      </c>
      <c r="V9" s="2" t="inlineStr">
        <is>
          <t>Actual system proven in operational environment</t>
        </is>
      </c>
      <c r="W9" s="2" t="inlineStr">
        <is>
          <t>Actively Maintained</t>
        </is>
      </c>
      <c r="X9" s="2" t="inlineStr">
        <is>
          <t>FALSE</t>
        </is>
      </c>
      <c r="Y9" s="2" t="n"/>
      <c r="Z9" s="2" t="n"/>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n"/>
      <c r="H10" s="2" t="inlineStr">
        <is>
          <t>Non-profit organization</t>
        </is>
      </c>
      <c r="I10" s="2" t="n"/>
      <c r="J10" s="2" t="n"/>
      <c r="K10" s="2" t="inlineStr">
        <is>
          <t>FALSE</t>
        </is>
      </c>
      <c r="L10" s="2" t="n"/>
      <c r="M10" s="2" t="n"/>
      <c r="N10" s="2" t="inlineStr">
        <is>
          <t>2018-01-01</t>
        </is>
      </c>
      <c r="O10"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Built on the OpenCDMP open-source software initiatied in collaboration with EUDAT and then refactored by CITE, ARGOS was created to support researchers in producing machine-actionable and openly available FAIR DMPs. 
Since its launch, ARGOS has evolved from a lightweight DMP editor into a fully integrated service within the OpenAIRE ecosystem and EOSC, offering export formats, semantic tagging, and interoperability with trusted research infrastructures like Zenodo and the OpenAIRE Research Graph. It is now widely adopted in European and national Open Science projects to support responsible research data management.</t>
        </is>
      </c>
      <c r="P10" s="2" t="inlineStr">
        <is>
          <t>Athena Research Center (ARC)
Communication &amp; Information Technologies Experts (CITE)</t>
        </is>
      </c>
      <c r="Q10" s="2" t="inlineStr">
        <is>
          <t>OpenAIRE</t>
        </is>
      </c>
      <c r="R10" s="2" t="inlineStr">
        <is>
          <t>Program service revenue</t>
        </is>
      </c>
      <c r="S10" s="2" t="n"/>
      <c r="T10" s="2" t="inlineStr">
        <is>
          <t>Through solution provider only</t>
        </is>
      </c>
      <c r="U10" s="2" t="n"/>
      <c r="V10" s="2" t="inlineStr">
        <is>
          <t>Actual system proven in operational environment</t>
        </is>
      </c>
      <c r="W10" s="2" t="inlineStr">
        <is>
          <t>Actively Maintained</t>
        </is>
      </c>
      <c r="X10" s="2" t="inlineStr">
        <is>
          <t>FALSE</t>
        </is>
      </c>
      <c r="Y10" s="2" t="n"/>
      <c r="Z10" s="2" t="n"/>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&lt;p&gt;arXiv strives to serve the global scientific community, and funding is needed to both support arXiv’s exponential growth and foster new initiatives that will ensure arXiv remains a pioneer in open science communications, making it more useful for researchers. Funding needs include increasing headcount to catch up to arXiv’s growth and manage new projects (hiring developers for tech modernization, hiring editorial staff to keep up with the increasing submission rate, hiring user support staff to field user questions and concerns in a timely manner, etc.)&lt;/p&gt; 
&lt;p&gt;In the spirit of equitable access to research, arXiv is dedicated to making sure research is accessible for all. Funding to support arXiv’s accessibility efforts, which include transposing LaTeX to HTML format to increase readability for vision-impaired researchers, is needed to help the project progress. Other new initiatives that funding would support include arXiv’s tech modernization and migration, which will allow arXiv to sustainably grow and scale while remaining a stable platform, as well as expanding to new subject categories, creating tools to improve moderation, and increasing interoperability with new arXivLabs projects (&lt;a href="https://info.arxiv.org/labs/" target="_blank"&gt;https://info.arxiv.org/labs/&lt;/a&gt;).&lt;/p&gt;</t>
        </is>
      </c>
      <c r="H11" s="2" t="inlineStr">
        <is>
          <t>Fiscal sponsorship (academic institution)</t>
        </is>
      </c>
      <c r="I11" s="2" t="n"/>
      <c r="J11" s="2" t="n"/>
      <c r="K11" s="2" t="inlineStr">
        <is>
          <t>FALSE</t>
        </is>
      </c>
      <c r="L11" s="2" t="n"/>
      <c r="M11" s="2" t="n"/>
      <c r="N11" s="2" t="inlineStr">
        <is>
          <t>1991-01-01</t>
        </is>
      </c>
      <c r="O11" s="2" t="inlineStr">
        <is>
          <t>History available from these sources:
&lt;li&gt;&lt;a href="https://info.arxiv.org/new/index.html" target="_blank"&gt;https://info.arxiv.org/new/index.html&lt;/a&gt; (1997-2020)
&lt;li&gt;&lt;a href="https://info.arxiv.org/new/94-96.html" target="_blank"&gt;https://info.arxiv.org/new/94-96.html&lt;/a&gt;
&lt;li&gt;&lt;a href="https://info.arxiv.org/new/91-94.html" target="_blank"&gt;https://info.arxiv.org/new/91-94.html&lt;/a&gt;</t>
        </is>
      </c>
      <c r="P11" s="2" t="n"/>
      <c r="Q11" s="2" t="n"/>
      <c r="R11" s="2" t="inlineStr">
        <is>
          <t>Program service revenue</t>
        </is>
      </c>
      <c r="S11" s="2" t="n"/>
      <c r="T11" s="2" t="inlineStr">
        <is>
          <t>Not applicable</t>
        </is>
      </c>
      <c r="U11" s="2" t="n"/>
      <c r="V11" s="2" t="inlineStr">
        <is>
          <t>Actual system proven in operational environment</t>
        </is>
      </c>
      <c r="W11" s="2" t="inlineStr">
        <is>
          <t>Actively Maintained</t>
        </is>
      </c>
      <c r="X11" s="2" t="inlineStr">
        <is>
          <t>FALSE</t>
        </is>
      </c>
      <c r="Y11" s="2" t="n"/>
      <c r="Z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Artefactual is entirely self-funded. We are here for the long term, we are not focused on profit for investors. We focus on slow and steady growth. This leads us to favour long term partnerships over transactional relationships.
Revenue from our services support investment in our solution and supporting us through a subscription service to AtoM or Archivematica helps us continue to work on open source software.</t>
        </is>
      </c>
      <c r="H12" s="2" t="inlineStr">
        <is>
          <t>Commercial (for-profit)</t>
        </is>
      </c>
      <c r="I12" s="2" t="n"/>
      <c r="J12" s="2" t="n"/>
      <c r="K12" s="2" t="inlineStr">
        <is>
          <t>TRUE</t>
        </is>
      </c>
      <c r="L12" s="2" t="inlineStr">
        <is>
          <t>More than 20</t>
        </is>
      </c>
      <c r="M12" s="2" t="inlineStr">
        <is>
          <t>Unknown</t>
        </is>
      </c>
      <c r="N12" s="2" t="inlineStr">
        <is>
          <t>2007-01-01</t>
        </is>
      </c>
      <c r="O12" s="2" t="inlineStr">
        <is>
          <t>Artefactual Systems was established as a digital preservation consulting company. In 2007, Artefactual received funding from the International Council of Archives (ICA) to develop an open-source archival descriptive software application that used ICA’s various standards and AtoM was born. In 2009, Artefactual began work on an open-source digital preservation plug-in for AtoM based on the Open Archival Information System (OAIS), which quickly became an application on its own, called Archivematica. AtoM and Archivematica are now used around the world as open-source options for people who want to provide access to and preserve cultural memory.</t>
        </is>
      </c>
      <c r="P12" s="2" t="inlineStr">
        <is>
          <t>No affiliations</t>
        </is>
      </c>
      <c r="Q12" s="2" t="inlineStr">
        <is>
          <t>Peter Van Garderen https://vangarderen.net/</t>
        </is>
      </c>
      <c r="R12" s="2" t="inlineStr">
        <is>
          <t>Program service revenue</t>
        </is>
      </c>
      <c r="S12" s="2" t="n"/>
      <c r="T12" s="2" t="inlineStr">
        <is>
          <t>Through solution provider or third party vendor</t>
        </is>
      </c>
      <c r="U12" s="2" t="inlineStr">
        <is>
          <t xml:space="preserve">https://www.artefactual.com/pricing </t>
        </is>
      </c>
      <c r="V12" s="2" t="inlineStr">
        <is>
          <t>Actual system proven in operational environment</t>
        </is>
      </c>
      <c r="W12" s="2" t="inlineStr">
        <is>
          <t>Actively Maintained</t>
        </is>
      </c>
      <c r="X12" s="2" t="inlineStr">
        <is>
          <t>FALSE</t>
        </is>
      </c>
      <c r="Y12" s="2" t="n"/>
      <c r="Z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Institutions, organizations, funders, and consortia can help advance Avalon via in-kind development of Avalon features; by becoming a Samvera Partner; through grant-funded activities; and by pledging funds or development time to contribute to Avalon development sprints.</t>
        </is>
      </c>
      <c r="H13" s="2" t="inlineStr">
        <is>
          <t>Non-profit organization</t>
        </is>
      </c>
      <c r="I13" s="2" t="n"/>
      <c r="J13" s="2" t="inlineStr">
        <is>
          <t>501(c)6</t>
        </is>
      </c>
      <c r="K13" s="2" t="inlineStr">
        <is>
          <t>FALSE</t>
        </is>
      </c>
      <c r="L13" s="2" t="inlineStr">
        <is>
          <t>1-5</t>
        </is>
      </c>
      <c r="M13" s="2" t="n"/>
      <c r="N13" s="2" t="inlineStr">
        <is>
          <t>2013-01-01</t>
        </is>
      </c>
      <c r="O13" s="2" t="inlineStr">
        <is>
          <t>Avalon Media System is an open source platform for managing and providing access to digital audio and moving image content, originally developed by Indiana University Libraries and Northwestern University Libraries, and now primarily developed and supported by Indiana University Libraries. Currently in production use by at least a dozen institutions, Avalon is a product of the Samvera open source community and both utilizes and participates in the development of shared components within the Samvera framework.
Avalon development has been supported with grant funding from both the Institute of Museum and Library Services and the Mellon Foundation.</t>
        </is>
      </c>
      <c r="P13" s="2" t="inlineStr">
        <is>
          <t>Indiana University Libraries</t>
        </is>
      </c>
      <c r="Q13" s="2" t="inlineStr">
        <is>
          <t>Indiana University Libraries
Northwestern University Libraries</t>
        </is>
      </c>
      <c r="R13" s="2" t="inlineStr">
        <is>
          <t>Other</t>
        </is>
      </c>
      <c r="S13" s="2" t="inlineStr">
        <is>
          <t>Institutional funding from Indiana University Libraries</t>
        </is>
      </c>
      <c r="T13" s="2" t="inlineStr">
        <is>
          <t>No services available</t>
        </is>
      </c>
      <c r="U13" s="2" t="n"/>
      <c r="V13" s="2" t="inlineStr">
        <is>
          <t>Actual system proven in operational environment</t>
        </is>
      </c>
      <c r="W13" s="2" t="inlineStr">
        <is>
          <t>Actively Maintained</t>
        </is>
      </c>
      <c r="X13" s="2" t="inlineStr">
        <is>
          <t>FALSE</t>
        </is>
      </c>
      <c r="Y13" s="2" t="n"/>
      <c r="Z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n"/>
      <c r="H14" s="2" t="inlineStr">
        <is>
          <t>Fiscal sponsorship (non-profit)</t>
        </is>
      </c>
      <c r="I14" s="2" t="n"/>
      <c r="J14" s="2" t="n"/>
      <c r="K14" s="2" t="inlineStr">
        <is>
          <t>FALSE</t>
        </is>
      </c>
      <c r="L14" s="2" t="inlineStr">
        <is>
          <t>1-5</t>
        </is>
      </c>
      <c r="M14" s="2" t="n"/>
      <c r="N14" s="2" t="inlineStr">
        <is>
          <t>2007-01-01</t>
        </is>
      </c>
      <c r="O14" s="2" t="inlineStr">
        <is>
          <t>https://about.biodiversitylibrary.org/about/history-of-bhl/</t>
        </is>
      </c>
      <c r="P14" s="2" t="inlineStr">
        <is>
          <t>BHL’s fiscal sponsor is the Council on Library and Information Resources (CLIR).</t>
        </is>
      </c>
      <c r="Q14" s="2" t="n"/>
      <c r="R14" s="2" t="inlineStr">
        <is>
          <t>Contributions</t>
        </is>
      </c>
      <c r="S14" s="2" t="n"/>
      <c r="T14" s="2" t="inlineStr">
        <is>
          <t>Not applicable</t>
        </is>
      </c>
      <c r="U14" s="2" t="n"/>
      <c r="V14" s="2" t="inlineStr">
        <is>
          <t>Actual system proven in operational environment</t>
        </is>
      </c>
      <c r="W14" s="2" t="inlineStr">
        <is>
          <t>Actively Maintained</t>
        </is>
      </c>
      <c r="X14" s="2" t="inlineStr">
        <is>
          <t>FALSE</t>
        </is>
      </c>
      <c r="Y14" s="2" t="n"/>
      <c r="Z14" s="2" t="n"/>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15" s="2" t="inlineStr">
        <is>
          <t>Fiscal sponsorship (non-profit)</t>
        </is>
      </c>
      <c r="I15" s="2" t="n"/>
      <c r="J15" s="2" t="n"/>
      <c r="K15" s="2" t="inlineStr">
        <is>
          <t>FALSE</t>
        </is>
      </c>
      <c r="L15" s="2" t="n"/>
      <c r="M15" s="2" t="n"/>
      <c r="N15" s="2" t="inlineStr">
        <is>
          <t>2013-01-01</t>
        </is>
      </c>
      <c r="O15" s="2" t="inlineStr">
        <is>
          <t>No change</t>
        </is>
      </c>
      <c r="P15" s="2" t="n"/>
      <c r="Q15" s="2" t="n"/>
      <c r="R15" s="2" t="inlineStr">
        <is>
          <t>Contributions</t>
        </is>
      </c>
      <c r="S15" s="2" t="n"/>
      <c r="T15" s="2" t="inlineStr">
        <is>
          <t>Not applicable</t>
        </is>
      </c>
      <c r="U15" s="2" t="n"/>
      <c r="V15" s="2" t="inlineStr">
        <is>
          <t>Actual system proven in operational environment</t>
        </is>
      </c>
      <c r="W15" s="2" t="inlineStr">
        <is>
          <t>Actively Maintained</t>
        </is>
      </c>
      <c r="X15" s="2" t="inlineStr">
        <is>
          <t>FALSE</t>
        </is>
      </c>
      <c r="Y15" s="2" t="n"/>
      <c r="Z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n"/>
      <c r="H16" s="2" t="inlineStr">
        <is>
          <t>Fiscal sponsorship (non-profit)</t>
        </is>
      </c>
      <c r="I16" s="2" t="n"/>
      <c r="J16" s="2" t="n"/>
      <c r="K16" s="2" t="inlineStr">
        <is>
          <t>FALSE</t>
        </is>
      </c>
      <c r="L16" s="2" t="inlineStr">
        <is>
          <t>0</t>
        </is>
      </c>
      <c r="M16" s="2" t="inlineStr">
        <is>
          <t>6-10</t>
        </is>
      </c>
      <c r="N16" s="2" t="inlineStr">
        <is>
          <t>2012-01-01</t>
        </is>
      </c>
      <c r="O16" s="2" t="inlineStr">
        <is>
          <t>https://bitcuratorconsortium.org/about/#history</t>
        </is>
      </c>
      <c r="P16" s="2" t="inlineStr">
        <is>
          <t>BitCurator Consortium is administratively hosted by the Open Library Foundation.</t>
        </is>
      </c>
      <c r="Q16" s="2" t="inlineStr">
        <is>
          <t>School of Information and Library Science at the University of North Carolina, Chapel Hill
Maryland Institute for Technology in the Humanities</t>
        </is>
      </c>
      <c r="R16" s="2" t="inlineStr">
        <is>
          <t>Program service revenue</t>
        </is>
      </c>
      <c r="S16" s="2" t="n"/>
      <c r="T16" s="2" t="inlineStr">
        <is>
          <t>No services available</t>
        </is>
      </c>
      <c r="U16" s="2" t="n"/>
      <c r="V16" s="2" t="inlineStr">
        <is>
          <t>Actual system proven in operational environment</t>
        </is>
      </c>
      <c r="W16" s="2" t="inlineStr">
        <is>
          <t>Actively Maintained</t>
        </is>
      </c>
      <c r="X16" s="2" t="inlineStr">
        <is>
          <t>FALSE</t>
        </is>
      </c>
      <c r="Y16" s="2" t="n"/>
      <c r="Z16" s="2" t="n"/>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n"/>
      <c r="H17" s="2" t="inlineStr">
        <is>
          <t>Fiscal sponsorship (academic institution)</t>
        </is>
      </c>
      <c r="I17" s="2" t="n"/>
      <c r="J17" s="2" t="n"/>
      <c r="K17" s="2" t="inlineStr">
        <is>
          <t>FALSE</t>
        </is>
      </c>
      <c r="L17" s="2" t="inlineStr">
        <is>
          <t>6-10</t>
        </is>
      </c>
      <c r="M17" s="2" t="n"/>
      <c r="N17" s="2" t="inlineStr">
        <is>
          <t>2006-01-01</t>
        </is>
      </c>
      <c r="O17" s="2" t="inlineStr">
        <is>
          <t>Started as an academic project at UVA, based on the work of Jerry McGann and Bethany Nowviskie's Center for Patacriticism, Blacklight became an open source generalized discovery platform with a loose governance structure.</t>
        </is>
      </c>
      <c r="P17" s="2" t="inlineStr">
        <is>
          <t>See website</t>
        </is>
      </c>
      <c r="Q17" s="2" t="n"/>
      <c r="R17" s="2" t="inlineStr">
        <is>
          <t>Contributions</t>
        </is>
      </c>
      <c r="S17" s="2" t="n"/>
      <c r="T17" s="2" t="inlineStr">
        <is>
          <t>Through solution provider only</t>
        </is>
      </c>
      <c r="U17" s="2" t="n"/>
      <c r="V17" s="2" t="inlineStr">
        <is>
          <t>Actual system proven in operational environment</t>
        </is>
      </c>
      <c r="W17" s="2" t="inlineStr">
        <is>
          <t>Actively Maintained</t>
        </is>
      </c>
      <c r="X17" s="2" t="inlineStr">
        <is>
          <t>FALSE</t>
        </is>
      </c>
      <c r="Y17" s="2" t="n"/>
      <c r="Z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n"/>
      <c r="H18" s="2" t="inlineStr">
        <is>
          <t>Non-profit organization</t>
        </is>
      </c>
      <c r="I18" s="2" t="n"/>
      <c r="J18" s="2" t="n"/>
      <c r="K18" s="2" t="inlineStr">
        <is>
          <t>FALSE</t>
        </is>
      </c>
      <c r="L18" s="2" t="n"/>
      <c r="M18" s="2" t="n"/>
      <c r="N18" s="2" t="inlineStr">
        <is>
          <t>2014-01-01</t>
        </is>
      </c>
      <c r="O18" s="2" t="inlineStr">
        <is>
          <t>&lt;p&gt;The origins of IBICT date back to the early 1950s, when UNESCO suggested that the Getúlio Vargas Foundation (FGV) promote the creation of a national bibliographic centre in Brazil. Unesco's action at the time was decisive for the emergence of institutions of this kind in different countries. The initial choice of FGV was due to the fact that it was carrying out important activities in the area of bibliography and documentation.&lt;/p&gt;
&lt;p&gt;At the time, the National Research Council (CNPq) was also being created, one of whose functions was to "maintain relations with national and foreign institutions for the exchange of technical and scientific documentation". Through a joint CNPq/FGV proposal, the Brazilian Institute of Bibliography and Documentation (IBBD) was created on 27 February 1954, by Decree of the President of the Republic No. 35,124, and became part of the CNPq's organisational structure.&lt;/p&gt;
&lt;p&gt;The 1970s were marked by a reorganisation of science and technology activities in the country. The National Research Council was transformed into the National Council for Scientific and Technological Development, expanding its power, transforming it into a foundation and linking it to the Planning Secretariat and the Presidency of the Republic. Like the CNPq, the IBBD underwent a transformation, including a change of name to the Brazilian Institute of Information in Science and Technology (IBICT), with the publication of CNPq Executive Resolution 20/76. IBICT was then consolidated as the body that would coordinate S&amp;T information activities in Brazil.&lt;/p&gt;
&lt;p&gt;Since then, IBICT has also worked to promote the popularisation of scientific and technological information. Examples of this initiative are the "Science at Five" project, launched in 1987; a year later, the S&amp;T Film Database; and, in 1993, the "Appropriate Technologies Programme".&lt;/p&gt;
&lt;p&gt;Since 1975, IBICT has been acting as the National Centre of the ISSN Network, for assigning the international standard number to serial publications. From 1980, IBICT established itself as the Brazilian ISSN Centre and became the only member in Brazil to assign the ISSN code.&lt;/p&gt;
&lt;p&gt;One of IBICT's first services, the National Collective Catalogue of Serial Publications (CCN), was created in 1954 by the then IBBD as a conventional card catalogue, providing information in person, by telephone or by correspondence. Since then, the service has kept pace with the evolution of technology, passing through the printed edition, microfiche and finally to its current electronic version.&lt;/p&gt;
&lt;p&gt;The Bibliographic Commutation Programme (Comut), established by Ministerial Order 456 of 5 August 1980, is one of IBICT's traditional products, which makes it possible to obtain copies of technical scientific documents available in the collections of the main Brazilian libraries and international information services.&lt;/p&gt;
&lt;p&gt;Today, IBICT is a reference in projects aimed at the movement for free access to knowledge. An example of this commitment is the Brazilian Digital Library of Theses and Dissertations (BDTD), launched in 2002, which uses the most modern open file technologies and integrates information systems for theses and dissertations from Brazilian teaching and research institutions. The BDBTD has a collection of more than 126,000 theses and dissertations from 90 educational institutions. This makes it the largest library of its kind in the world in terms of the number of records of theses and dissertations from a single country.&lt;/p&gt;
&lt;p&gt;Also part of IBICT's recent history is the launch of CanalCiência, a portal for the dissemination of science and the popularisation of science, in 2002, which uses audiovisual media as a resource for including young people in the Information Society. It is worth noting that CanalCiência was nominated for the World Summit on the Information Society award as the best example of electronic content and creativity in this category.&lt;/p&gt;
&lt;p&gt;In 2005, as well as improving its traditional services, IBICT expanded its activities to include other segments of society lacking organised information on the Web that were not yet part of its user community. To this end, it created the Social Inclusion Programme and began to use its expertise in organising, storing and disseminating information to support public policies aimed at the social field, particularly with regard to implementing direct actions in the field of information and digital learning.&lt;/p&gt;</t>
        </is>
      </c>
      <c r="P18" s="2" t="n"/>
      <c r="Q18" s="2" t="n"/>
      <c r="R18" s="2" t="inlineStr">
        <is>
          <t>Other</t>
        </is>
      </c>
      <c r="S18" s="2" t="n"/>
      <c r="T18" s="2" t="inlineStr">
        <is>
          <t>Not applicable</t>
        </is>
      </c>
      <c r="U18" s="2" t="n"/>
      <c r="V18" s="2" t="inlineStr">
        <is>
          <t>Actual system proven in operational environment</t>
        </is>
      </c>
      <c r="W18" s="2" t="inlineStr">
        <is>
          <t>Actively Maintained</t>
        </is>
      </c>
      <c r="X18" s="2" t="inlineStr">
        <is>
          <t>FALSE</t>
        </is>
      </c>
      <c r="Y18" s="2" t="n"/>
      <c r="Z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n"/>
      <c r="H19" s="2" t="inlineStr">
        <is>
          <t>Commercial (for-profit)</t>
        </is>
      </c>
      <c r="I19" s="2" t="n"/>
      <c r="J19" s="2" t="n"/>
      <c r="K19" s="2" t="inlineStr">
        <is>
          <t>TRUE</t>
        </is>
      </c>
      <c r="L19" s="2" t="inlineStr">
        <is>
          <t>1-5</t>
        </is>
      </c>
      <c r="M19" s="2" t="inlineStr">
        <is>
          <t>0</t>
        </is>
      </c>
      <c r="N19" s="2" t="inlineStr">
        <is>
          <t>2023-01-01</t>
        </is>
      </c>
      <c r="O19" s="2" t="inlineStr">
        <is>
          <t>A brief timeline of Webrecorder's key accomplishments can be found on https://webrecorder.net/about/</t>
        </is>
      </c>
      <c r="P19" s="2" t="inlineStr">
        <is>
          <t>No affiliations have direct involvement in governing or running our products except us.  We are members of the International Internet Preservation Consortium (IIPC).</t>
        </is>
      </c>
      <c r="Q19" s="2" t="inlineStr">
        <is>
          <t>Ilya Kreymer</t>
        </is>
      </c>
      <c r="R19" s="2" t="inlineStr">
        <is>
          <t>Program service revenue</t>
        </is>
      </c>
      <c r="S19" s="2" t="n"/>
      <c r="T19" s="2" t="inlineStr">
        <is>
          <t>Through solution provider or third party vendor</t>
        </is>
      </c>
      <c r="U19" s="2" t="n"/>
      <c r="V19" s="2" t="inlineStr">
        <is>
          <t>Actual system proven in operational environment</t>
        </is>
      </c>
      <c r="W19" s="2" t="inlineStr">
        <is>
          <t>Actively Maintained</t>
        </is>
      </c>
      <c r="X19" s="2" t="inlineStr">
        <is>
          <t>FALSE</t>
        </is>
      </c>
      <c r="Y19" s="2" t="n"/>
      <c r="Z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We would like to extend our preservation services to smaller publishers around the world, and to extend our collections to include more diverse and inclusive perspectives.</t>
        </is>
      </c>
      <c r="H20" s="2" t="inlineStr">
        <is>
          <t>Non-profit organization</t>
        </is>
      </c>
      <c r="I20" s="2" t="n"/>
      <c r="J20" s="2" t="inlineStr">
        <is>
          <t>501(c)3</t>
        </is>
      </c>
      <c r="K20" s="2" t="inlineStr">
        <is>
          <t>FALSE</t>
        </is>
      </c>
      <c r="L20" s="2" t="inlineStr">
        <is>
          <t>1-5</t>
        </is>
      </c>
      <c r="M20" s="2" t="inlineStr">
        <is>
          <t>0</t>
        </is>
      </c>
      <c r="N20" s="2" t="inlineStr">
        <is>
          <t>2008-01-01</t>
        </is>
      </c>
      <c r="O20" s="2" t="inlineStr">
        <is>
          <t>CLOCKSS was spun out from Stanford University and the LOCKSS Program as an independent 501(c)(3) in 2008.</t>
        </is>
      </c>
      <c r="P20" s="2" t="inlineStr">
        <is>
          <t>n/a</t>
        </is>
      </c>
      <c r="Q20" s="2" t="n"/>
      <c r="R20" s="2" t="inlineStr">
        <is>
          <t>Program service revenue</t>
        </is>
      </c>
      <c r="S20" s="2" t="n"/>
      <c r="T20" s="2" t="inlineStr">
        <is>
          <t>Through solution provider or third party vendor</t>
        </is>
      </c>
      <c r="U20" s="2" t="n"/>
      <c r="V20" s="2" t="inlineStr">
        <is>
          <t>Actual system proven in operational environment</t>
        </is>
      </c>
      <c r="W20" s="2" t="inlineStr">
        <is>
          <t>Actively Maintained</t>
        </is>
      </c>
      <c r="X20" s="2" t="inlineStr">
        <is>
          <t>FALSE</t>
        </is>
      </c>
      <c r="Y20" s="2" t="n"/>
      <c r="Z20" s="2" t="n"/>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n"/>
      <c r="H21" s="2" t="inlineStr">
        <is>
          <t>Non-profit organization</t>
        </is>
      </c>
      <c r="I21" s="2" t="n"/>
      <c r="J21" s="2" t="n"/>
      <c r="K21" s="2" t="inlineStr">
        <is>
          <t>FALSE</t>
        </is>
      </c>
      <c r="L21" s="2" t="inlineStr">
        <is>
          <t>1-5</t>
        </is>
      </c>
      <c r="M21" s="2" t="n"/>
      <c r="N21" s="2" t="inlineStr">
        <is>
          <t>2025-01-01</t>
        </is>
      </c>
      <c r="O21" s="2" t="inlineStr">
        <is>
          <t>A comprehensive and accurate directory of repositories has become increasingly important in the current scholarly communications landscape to support compliance with a growing number of open science policy requirements and to enable the development of value added services on top of repositories. However, the existing directories do not provide an accurate picture of the repository landscape, meaning the information is often obsolete and not maintained as the repository evolves.
In July 2025, COAR will officially launched the COAR International Repository Directory (IRD). The difference between the COAR IRD and other directories is that it is community curated. Rather than relying on a centralised staff based at the directory to update records, the responsibility for curation of the IRD is distributed to responsible organisations. 
https://coar-repositories.org/what-we-do/coar-international-repository-directory/</t>
        </is>
      </c>
      <c r="P21" s="2" t="inlineStr">
        <is>
          <t>Responsible Organisations: https://ird.coar-repositories.org/about?lang=en</t>
        </is>
      </c>
      <c r="Q21" s="2" t="inlineStr">
        <is>
          <t>COAR https://coar-repositories.org/</t>
        </is>
      </c>
      <c r="R21" s="2" t="inlineStr">
        <is>
          <t>Contributions</t>
        </is>
      </c>
      <c r="S21" s="2" t="n"/>
      <c r="T21" s="2" t="inlineStr">
        <is>
          <t>Not applicable</t>
        </is>
      </c>
      <c r="U21" s="2" t="n"/>
      <c r="V21" s="2" t="inlineStr">
        <is>
          <t>Actual system proven in operational environment</t>
        </is>
      </c>
      <c r="W21" s="2" t="inlineStr">
        <is>
          <t>Actively Maintained</t>
        </is>
      </c>
      <c r="X21" s="2" t="inlineStr">
        <is>
          <t>FALSE</t>
        </is>
      </c>
      <c r="Y21" s="2" t="n"/>
      <c r="Z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n"/>
      <c r="H22" s="2" t="inlineStr">
        <is>
          <t>Non-profit organization</t>
        </is>
      </c>
      <c r="I22" s="2" t="n"/>
      <c r="J22" s="2" t="n"/>
      <c r="K22" s="2" t="inlineStr">
        <is>
          <t>FALSE</t>
        </is>
      </c>
      <c r="L22" s="2" t="n"/>
      <c r="M22" s="2" t="n"/>
      <c r="N22" s="2" t="inlineStr">
        <is>
          <t>2021-01-01</t>
        </is>
      </c>
      <c r="O22" s="2" t="inlineStr">
        <is>
          <t>COAR-Notify builds on previous work of COAR to advance the vision first outlined in the COAR Next Generation Repositories Initiative – to position repositories as the foundation for a distributed, globally networked infrastructure for scholarly communication, on top of which layers of value added services will be deployed – and further articulated in the Pubfair White Paper, which describes a distributed framework for open publishing services.
In 2020, COAR published a generic technical model to enable the linking of preprints and other repository resources with external services. The technical model – which was developed based on a number of use cases provided by preprint servers, repositories, peer review services and overlay journals – applies a distributed, message-oriented approach based on W3C Linked Data Notifications (LDN). In 2021, COAR officialy launched the Notify project. https://coar-repositories.org/news-updates/coar-launches-the-notify-project/</t>
        </is>
      </c>
      <c r="P22" s="2" t="inlineStr">
        <is>
          <t>No affiliations.</t>
        </is>
      </c>
      <c r="Q22" s="2" t="inlineStr">
        <is>
          <t>COAR https://coar-repositories.org/
Arcadia https://arcadiafund.org.uk/</t>
        </is>
      </c>
      <c r="R22" s="2" t="inlineStr">
        <is>
          <t>Contributions</t>
        </is>
      </c>
      <c r="S22" s="2" t="n"/>
      <c r="T22" s="2" t="inlineStr">
        <is>
          <t>Through solution provider or third party vendor</t>
        </is>
      </c>
      <c r="U22" s="2" t="n"/>
      <c r="V22" s="2" t="inlineStr">
        <is>
          <t>Actual system proven in operational environment</t>
        </is>
      </c>
      <c r="W22" s="2" t="inlineStr">
        <is>
          <t>Actively Maintained</t>
        </is>
      </c>
      <c r="X22" s="2" t="inlineStr">
        <is>
          <t>FALSE</t>
        </is>
      </c>
      <c r="Y22" s="2" t="n"/>
      <c r="Z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n"/>
      <c r="H23" s="2" t="inlineStr">
        <is>
          <t>Commercial (for-profit)</t>
        </is>
      </c>
      <c r="I23" s="2" t="n"/>
      <c r="J23" s="2" t="n"/>
      <c r="K23" s="2" t="inlineStr">
        <is>
          <t>FALSE</t>
        </is>
      </c>
      <c r="L23" s="2" t="inlineStr">
        <is>
          <t>6-10</t>
        </is>
      </c>
      <c r="M23" s="2" t="inlineStr">
        <is>
          <t>0</t>
        </is>
      </c>
      <c r="N23" s="2" t="inlineStr">
        <is>
          <t>2003-01-01</t>
        </is>
      </c>
      <c r="O23" s="2" t="inlineStr">
        <is>
          <t>Whirl-i-Gig, CollectiveAccess’s primary developer, freely distributes everything it develops under the GNU General Public License as part of CollectiveAccess, and offers consulting and development services to clients to ensure they get the most out of the software. Whirl-i-Gig works directly with end-users who require assistance in realizing their projects.</t>
        </is>
      </c>
      <c r="P23" s="2" t="inlineStr">
        <is>
          <t>No affiliations</t>
        </is>
      </c>
      <c r="Q23" s="2" t="inlineStr">
        <is>
          <t>Whirl-i-Gig</t>
        </is>
      </c>
      <c r="R23" s="2" t="inlineStr">
        <is>
          <t>Program service revenue</t>
        </is>
      </c>
      <c r="S23" s="2" t="n"/>
      <c r="T23" s="2" t="inlineStr">
        <is>
          <t>Through solution provider or third party vendor</t>
        </is>
      </c>
      <c r="U23" s="2" t="n"/>
      <c r="V23" s="2" t="inlineStr">
        <is>
          <t>Actual system proven in operational environment</t>
        </is>
      </c>
      <c r="W23" s="2" t="inlineStr">
        <is>
          <t>Actively Maintained</t>
        </is>
      </c>
      <c r="X23" s="2" t="inlineStr">
        <is>
          <t>FALSE</t>
        </is>
      </c>
      <c r="Y23" s="2" t="n"/>
      <c r="Z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&lt;p&gt;As of 2023, the annual budget of CORE is around £600k. The cost of CORE is growing due to increases in server infrastructure costs, the growth of OA content and the need to index it, the growth of CORE"s users (currently ~ 30 million per month), and increases in the cost of human resources. The cost of CORE is expected to reach about £1m per annum within the next 5 years. &lt;/p&gt;
&lt;/p&gt;CORE, a community governed not-for-profit service, is currently supported by organisations utilising its data services and HEI Members. Membership contributions currently account for about 30% of CORE's income. &lt;/p&gt;
&lt;/p&gt;CORE relies on the Open research community to remain sustainable. The CORE leadership, including all of our governance groups, are grateful to our members, paying users and sponsors for financial support.&lt;/p&gt;</t>
        </is>
      </c>
      <c r="H24" s="2" t="inlineStr">
        <is>
          <t>Fiscal sponsorship (academic institution)</t>
        </is>
      </c>
      <c r="I24" s="2" t="n"/>
      <c r="J24" s="2" t="n"/>
      <c r="K24" s="2" t="inlineStr">
        <is>
          <t>FALSE</t>
        </is>
      </c>
      <c r="L24" s="2" t="n"/>
      <c r="M24" s="2" t="n"/>
      <c r="N24" s="2" t="inlineStr">
        <is>
          <t>2010-01-01</t>
        </is>
      </c>
      <c r="O24" s="2" t="inlineStr">
        <is>
          <t>&lt;p&gt;The first version of CORE was created in 2010 by Petr Knoth as part of his PhD work with the aim to make it easier to access and text mine very large amounts of research publications. The value of the aggregation was first demonstrated by developing a content recommendation system for research papers. Since its start, CORE has received financial support from a range of funders including Jisc, the European Commission and for the provision of services to both public and private organisations. &lt;/p&gt;
&lt;p&gt;CORE has been indexing research content from across the world; in 2017, it was calculated that it reached documents from 102 countries in 52 languages. While it has the status of the UK's national aggregator from repositories, it indexes metadata and full-text outputs from repositories and journals from across the world. &lt;/p&gt;
&lt;p&gt;CORE operates as a one step search tool for UK's open access research outputs, facilitating discoverability, use and reuse. The importance of the service has been widely recognised by Jisc, which suggested that CORE should preserve the required resources to sustain its operation and explore an international sustainability model.&lt;/p&gt;
&lt;p&gt;In 2018, CORE said it was the world's largest aggregator of open access research papers. Based on the open access fundamental principles, as they were described in the Budapest Open Access Initiative, its open access content not only must be openly available to download and read, but it must also allow its reuse, both by humans and machines. As a result, there was a need to exploit the content reuse, which could be made possible with the implementation of a technical infrastructure. The CORE project started with the goal of connecting metadata and full-text outputs offering, through content aggregation, value-added services, and by opening new opportunities in the research process.&lt;/p&gt;
&lt;p&gt;In September 2022, Jisc informed the Open University that they will not be able to extend their funding towards CORE beyond July 2023. This triggered a rigorous response from UK HEIs, represented in particular by the United Kingdom Council of Open Research and Repositories (UKCORR), who requested that Jisc “reconsider, and ideally reverse, its decision to suspend CORE’s funding” and stated that an event where CORE becomes financially unviable and is eventually retired “would be disastrous for the reputation of open research in the UK.” &lt;/p&gt;
&lt;p&gt;In response to this situation, on 1st December 2022, CORE launched a voluntary paid Membership Programme for CORE data providers, many of whom are HEIs. By the end of March 2023, 20 HEIs joined this programme including some of the most prestigious, such as the University of Oxford and University of Cambridge. The CORE membership programme has been designed with the goal of providing sufficient income to fully compensate for the loss of Jisc funds; increasing the diversity of income sources and achieving long-term sustainability of CORE.&lt;/p&gt;</t>
        </is>
      </c>
      <c r="P24" s="2" t="n"/>
      <c r="Q24" s="2" t="n"/>
      <c r="R24" s="2" t="inlineStr">
        <is>
          <t>Other</t>
        </is>
      </c>
      <c r="S24" s="2" t="n"/>
      <c r="T24" s="2" t="inlineStr">
        <is>
          <t>Not applicable</t>
        </is>
      </c>
      <c r="U24" s="2" t="n"/>
      <c r="V24" s="2" t="inlineStr">
        <is>
          <t>Actual system proven in operational environment</t>
        </is>
      </c>
      <c r="W24" s="2" t="inlineStr">
        <is>
          <t>Actively Maintained</t>
        </is>
      </c>
      <c r="X24" s="2" t="inlineStr">
        <is>
          <t>FALSE</t>
        </is>
      </c>
      <c r="Y24" s="2" t="n"/>
      <c r="Z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We know that implementing the Code of Practice can be challenging for smaller groups, either as report providers (publishers) or report consumers (libraries). Additional funding would enable us to develop new tools to help these groups implement the standard, as well as allowing us to provide more support through our outreach and education initiatives.</t>
        </is>
      </c>
      <c r="H25" s="2" t="inlineStr">
        <is>
          <t>Non-profit organization</t>
        </is>
      </c>
      <c r="I25" s="2" t="n"/>
      <c r="J25" s="2" t="n"/>
      <c r="K25" s="2" t="inlineStr">
        <is>
          <t>FALSE</t>
        </is>
      </c>
      <c r="L25" s="2" t="n"/>
      <c r="M25" s="2" t="n"/>
      <c r="N25" s="2" t="inlineStr">
        <is>
          <t>2003-01-01</t>
        </is>
      </c>
      <c r="O25" s="2" t="inlineStr">
        <is>
          <t>&lt;p&gt;We release updates to the Code of Practice on average every five years, though some small clarifications and backwards-compatible features may be released in the interim if the community requires it. &lt;/p&gt;
&lt;p&gt;Since launch, COUNTER has been led by three Project Directors: Peter Shepherd, Lorraine Estelle, and now Tasha Mellins-Cohen. We are not for profit and not for sale. There's an article in Serials, the UKSG journal, describing our foundation: &lt;a href="https://serials.uksg.org/articles/10.1629/15161" target="_blank"&gt;https://serials.uksg.org/articles/10.1629/15161&lt;/a&gt;
The history of our Board of Directors and finances can be accessed from Companies House: &lt;a href="https://find-and-update.company-information.service.gov.uk/company/04865179" target="_blank"&gt;https://find-and-update.company-information.service.gov.uk/company/04865179&lt;/a&gt;&lt;/p&gt;</t>
        </is>
      </c>
      <c r="P25" s="2" t="n"/>
      <c r="Q25" s="2" t="n"/>
      <c r="R25" s="2" t="inlineStr">
        <is>
          <t>Contributions</t>
        </is>
      </c>
      <c r="S25" s="2" t="n"/>
      <c r="T25" s="2" t="inlineStr">
        <is>
          <t>Not applicable</t>
        </is>
      </c>
      <c r="U25" s="2" t="n"/>
      <c r="V25" s="2" t="inlineStr">
        <is>
          <t>Actual system proven in operational environment</t>
        </is>
      </c>
      <c r="W25" s="2" t="inlineStr">
        <is>
          <t>Actively Maintained</t>
        </is>
      </c>
      <c r="X25" s="2" t="inlineStr">
        <is>
          <t>FALSE</t>
        </is>
      </c>
      <c r="Y25" s="2" t="n"/>
      <c r="Z25" s="2" t="n"/>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&lt;p&gt;Creative Commons needs foundations, corporations, and individuals to sustain our core operations and license infrastructure. This is a critical need. The CC Licenses and our CC0 public domain tool are core infrastructure for the open web and open access. They serve a global public interest with many well-known platforms, institutions, and individuals utilizing the CC Licenses to offer and access freely available knowledge. &lt;/p&gt;
&lt;p&gt;Now more than ever, society needs open knowledge to have any chance at addressing the world’s most pressing challenges. We need open research and data to address the climate crisis; open images, audio, and reporting accessible to journalists confronting financial constraints and the challenges of “fake news;” freely available museum and library collections, because art and culture are often central to social change efforts; and open educational resources so K-12 schools, college students, and everyday learners can access affordable textbooks and other curriculum. Access to knowledge is key to a robust public commons and promoting an engaged citizenry; but in order to do this right, we need to have functional tools at the ready that real people can actually use.&lt;/p&gt;
&lt;p&gt;Creative Commons’ legal tools are core open infrastructure, yet most people are unaware that the infrastructure behind the CC Licenses has had no underlying revenue stream to sustain regular maintenance or upgrades. Over the last 20 years, we’ve built up a “technical debt,” a backlog of work our small nonprofit organization hasn’t had the capacity to address. With proper funding, Creative Commons can resolve immediate technical shortcomings while establishing an agile and streamlined maintenance routine that will allow the CC Licenses to thrive and evolve with a rapidly changing digital landscape.&lt;/p&gt;</t>
        </is>
      </c>
      <c r="H26" s="2" t="inlineStr">
        <is>
          <t>Non-profit organization</t>
        </is>
      </c>
      <c r="I26" s="2" t="n"/>
      <c r="J26" s="2" t="n"/>
      <c r="K26" s="2" t="inlineStr">
        <is>
          <t>FALSE</t>
        </is>
      </c>
      <c r="L26" s="2" t="n"/>
      <c r="M26" s="2" t="n"/>
      <c r="N26" s="2" t="inlineStr">
        <is>
          <t>2001-01-01</t>
        </is>
      </c>
      <c r="O26" s="2" t="inlineStr">
        <is>
          <t>&lt;a href="https://creativecommons.org/timeline" target="_blank"&gt;https://creativecommons.org/timeline&lt;/a&gt;</t>
        </is>
      </c>
      <c r="P26" s="2" t="n"/>
      <c r="Q26" s="2" t="n"/>
      <c r="R26" s="2" t="inlineStr">
        <is>
          <t>Contributions</t>
        </is>
      </c>
      <c r="S26" s="2" t="n"/>
      <c r="T26" s="2" t="inlineStr">
        <is>
          <t>Not applicable</t>
        </is>
      </c>
      <c r="U26" s="2" t="n"/>
      <c r="V26" s="2" t="inlineStr">
        <is>
          <t>System complete and qualified</t>
        </is>
      </c>
      <c r="W26" s="2" t="inlineStr">
        <is>
          <t>Actively Maintained</t>
        </is>
      </c>
      <c r="X26" s="2" t="inlineStr">
        <is>
          <t>FALSE</t>
        </is>
      </c>
      <c r="Y26" s="2" t="n"/>
      <c r="Z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The Metadata Retrieval service, which includes APIs, and search and matching tools, is funded primarily by reinvesting Crossref membership and content registration revenue. It's all open data, but many organisations also subscribe to a premium service that gives them higher rate limits, monthly data dumps, and greater predictability. As Crossref is well-sustained financially, they fund several other infrastructure projects and are always open to collaborating or co-funding.</t>
        </is>
      </c>
      <c r="H27" s="2" t="inlineStr">
        <is>
          <t>Non-profit organization</t>
        </is>
      </c>
      <c r="I27" s="2" t="n"/>
      <c r="J27" s="2" t="n"/>
      <c r="K27" s="2" t="inlineStr">
        <is>
          <t>FALSE</t>
        </is>
      </c>
      <c r="L27" s="2" t="n"/>
      <c r="M27" s="2" t="n"/>
      <c r="N27" s="2" t="inlineStr">
        <is>
          <t>2000-01-01</t>
        </is>
      </c>
      <c r="O27" s="2" t="inlineStr">
        <is>
          <t>&lt;a href="https://www.crossref.org/community/about/history/" target="_blank"&gt;https://www.crossref.org/community/about/history/&lt;/a&gt;
&lt;p&gt;Crossref was initially incorporated in January 2000 as Publishers International Linking Association, Inc. (PILA). The technical foundations were created in a prototype project by Academic Press, Wiley, and the DOI-X project. The Crossref system went live in June 2000 with several community loans, paid back the loans and reached sustainability in 2004. Over the years, Crossref has moved beyond its founding service to link references between articles, to include sevaral additional services, such as Crossmark for retractions and corrections, Similarity Check for text-based plagiarism screening, and more resource types beyond articles and references, most notably in 2018 with the introduction of the Crossref Grant System to link funders and their grants with the rest of the research ecosystem.&lt;/p&gt;</t>
        </is>
      </c>
      <c r="P27" s="2" t="n"/>
      <c r="Q27" s="2" t="n"/>
      <c r="R27" s="2" t="inlineStr">
        <is>
          <t>Program service revenue</t>
        </is>
      </c>
      <c r="S27" s="2" t="n"/>
      <c r="T27" s="2" t="inlineStr">
        <is>
          <t>Not applicable</t>
        </is>
      </c>
      <c r="U27" s="2" t="n"/>
      <c r="V27" s="2" t="inlineStr">
        <is>
          <t>Actual system proven in operational environment</t>
        </is>
      </c>
      <c r="W27" s="2" t="inlineStr">
        <is>
          <t>Actively Maintained</t>
        </is>
      </c>
      <c r="X27" s="2" t="inlineStr">
        <is>
          <t>FALSE</t>
        </is>
      </c>
      <c r="Y27" s="2" t="n"/>
      <c r="Z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n"/>
      <c r="H28" s="2" t="inlineStr">
        <is>
          <t>Non-profit organization</t>
        </is>
      </c>
      <c r="I28" s="2" t="n"/>
      <c r="J28" s="2" t="n"/>
      <c r="K28" s="2" t="inlineStr">
        <is>
          <t>FALSE</t>
        </is>
      </c>
      <c r="L28" s="2" t="inlineStr">
        <is>
          <t>6-10</t>
        </is>
      </c>
      <c r="M28" s="2" t="inlineStr">
        <is>
          <t>More than 20</t>
        </is>
      </c>
      <c r="N28" s="2" t="inlineStr">
        <is>
          <t>2004-01-01</t>
        </is>
      </c>
      <c r="O28" s="2" t="inlineStr">
        <is>
          <t>https://www.d4science.org/about-us</t>
        </is>
      </c>
      <c r="P28" s="2" t="inlineStr">
        <is>
          <t>D4Science is managed by the Italian National Research Council (CNR). Its headquarters are hosted by CNR's Institute of Information Science and Technologies "A. Faedo" (CNR-ISTI) in Pisa, Tuscany, Italy.</t>
        </is>
      </c>
      <c r="Q28" s="2" t="n"/>
      <c r="R28" s="2" t="inlineStr">
        <is>
          <t>Program service revenue</t>
        </is>
      </c>
      <c r="S28" s="2" t="n"/>
      <c r="T28" s="2" t="inlineStr">
        <is>
          <t>Through solution provider only</t>
        </is>
      </c>
      <c r="U28" s="2" t="n"/>
      <c r="V28" s="2" t="inlineStr">
        <is>
          <t>Actual system proven in operational environment</t>
        </is>
      </c>
      <c r="W28" s="2" t="inlineStr">
        <is>
          <t>Actively Maintained</t>
        </is>
      </c>
      <c r="X28" s="2" t="inlineStr">
        <is>
          <t>FALSE</t>
        </is>
      </c>
      <c r="Y28" s="2" t="n"/>
      <c r="Z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n"/>
      <c r="H29" s="2" t="inlineStr">
        <is>
          <t>Fiscal sponsorship (academic institution)</t>
        </is>
      </c>
      <c r="I29" s="2" t="n"/>
      <c r="J29" s="2" t="n"/>
      <c r="K29" s="2" t="inlineStr">
        <is>
          <t>FALSE</t>
        </is>
      </c>
      <c r="L29" s="2" t="inlineStr">
        <is>
          <t>1-5</t>
        </is>
      </c>
      <c r="M29" s="2" t="n"/>
      <c r="N29" s="2" t="inlineStr">
        <is>
          <t>2018-01-01</t>
        </is>
      </c>
      <c r="O29" s="2" t="inlineStr">
        <is>
          <t>https://aptrust.org/about/background/</t>
        </is>
      </c>
      <c r="P29" s="2" t="inlineStr">
        <is>
          <t>University of Virginia</t>
        </is>
      </c>
      <c r="Q29" s="2" t="inlineStr">
        <is>
          <t>University of Virginia
University of North Carolina
Syracuse University
University of Notre Dame
Johns Hopkins University
North Carolina State University
University of Maryland
Emory University</t>
        </is>
      </c>
      <c r="R29" s="2" t="inlineStr">
        <is>
          <t>Program service revenue</t>
        </is>
      </c>
      <c r="S29" s="2" t="n"/>
      <c r="T29" s="2" t="inlineStr">
        <is>
          <t>No services available</t>
        </is>
      </c>
      <c r="U29" s="2" t="n"/>
      <c r="V29" s="2" t="inlineStr">
        <is>
          <t>Actual system proven in operational environment</t>
        </is>
      </c>
      <c r="W29" s="2" t="inlineStr">
        <is>
          <t>Actively Maintained</t>
        </is>
      </c>
      <c r="X29" s="2" t="inlineStr">
        <is>
          <t>FALSE</t>
        </is>
      </c>
      <c r="Y29" s="2" t="n"/>
      <c r="Z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n"/>
      <c r="H30" s="2" t="inlineStr">
        <is>
          <t>Fiscal sponsorship (academic institution)</t>
        </is>
      </c>
      <c r="I30" s="2" t="n"/>
      <c r="J30" s="2" t="n"/>
      <c r="K30" s="2" t="inlineStr">
        <is>
          <t>FALSE</t>
        </is>
      </c>
      <c r="L30" s="2" t="n"/>
      <c r="M30" s="2" t="n"/>
      <c r="N30" s="2" t="inlineStr">
        <is>
          <t>2002-01-01</t>
        </is>
      </c>
      <c r="O30" s="2" t="inlineStr">
        <is>
          <t>The DFG-funded project "Expansion, consolidation and optimization of the nationwide database information system DBIS" aimed to adapt the Database Information System (DBIS), established in 2002 at the University Library of Regensburg, to current and future needs of the scientific community. DBIS is a key research tool for scholarly databases, used by 400+ institutions. The project results include modernized, user-friendly interfaces, a frontend optimized for researchers and students, and a newly designed administration. Interfaces for data exchange with other systems were developed, enabling better integration of DBIS with national and international information infrastructures. The new version of DBIS went live in October 2024. The successful completion of the project ensures that DBIS will remain a central tool for researching scholarly databases, meeting the needs of a digitalized and globally connected academic landscape. Source: https://epub.uni-regensburg.de/76489/</t>
        </is>
      </c>
      <c r="P30" s="2" t="inlineStr">
        <is>
          <t>DBIS is operated by the University Library of Regensburg.</t>
        </is>
      </c>
      <c r="Q30" s="2" t="n"/>
      <c r="R30" s="2" t="inlineStr">
        <is>
          <t>Other</t>
        </is>
      </c>
      <c r="S30" s="2" t="inlineStr">
        <is>
          <t>University Library of Regensburg</t>
        </is>
      </c>
      <c r="T30" s="2" t="inlineStr">
        <is>
          <t>Through solution provider or third party vendor</t>
        </is>
      </c>
      <c r="U30" s="2" t="n"/>
      <c r="V30" s="2" t="inlineStr">
        <is>
          <t>Actual system proven in operational environment</t>
        </is>
      </c>
      <c r="W30" s="2" t="inlineStr">
        <is>
          <t>Actively Maintained</t>
        </is>
      </c>
      <c r="X30" s="2" t="inlineStr">
        <is>
          <t>FALSE</t>
        </is>
      </c>
      <c r="Y30" s="2" t="n"/>
      <c r="Z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n"/>
      <c r="H31" s="2" t="inlineStr">
        <is>
          <t>Non-profit organization</t>
        </is>
      </c>
      <c r="I31" s="2" t="n"/>
      <c r="J31" s="2" t="n"/>
      <c r="K31" s="2" t="inlineStr">
        <is>
          <t>FALSE</t>
        </is>
      </c>
      <c r="L31" s="2" t="n"/>
      <c r="M31" s="2" t="inlineStr">
        <is>
          <t>11-20</t>
        </is>
      </c>
      <c r="N31" s="2" t="inlineStr">
        <is>
          <t>2024-01-01</t>
        </is>
      </c>
      <c r="O31" s="2" t="inlineStr">
        <is>
          <t>Make Data Count started in 2015 through a collaboration between the California Digital Library, the Public Library of Science, and the Data Observation Network for Earth that led to a survey into preferences for metrics of the impact of data. The results from this research informed Make Data Count's next projects on workflows to capture data citations via repositories and journals, and the standardization of data downloads and views, through partnerships with DataCite and COUNTER. Over the years, Make Data Count has has worked with repositories to develop and implement recommended practices, and with bibliometricians to better understand data-usage practices among researchers. Make Data Count has partnered with DataCite to develop and deploy infrastructure to capture, store and share data-usage measures. The Data Citation Corpus aims to substantially scale the data usage information available to the community by providing data-citation insights at an unprecedented scale.</t>
        </is>
      </c>
      <c r="P31" s="2" t="inlineStr">
        <is>
          <t>DataCite leads the development of the Data Citation Corpus as part of Make Data Count activities.</t>
        </is>
      </c>
      <c r="Q31" s="2" t="n"/>
      <c r="R31" s="2" t="inlineStr">
        <is>
          <t>Contributions</t>
        </is>
      </c>
      <c r="S31" s="2" t="n"/>
      <c r="T31" s="2" t="inlineStr">
        <is>
          <t>Not applicable</t>
        </is>
      </c>
      <c r="U31" s="2" t="n"/>
      <c r="V31" s="2" t="inlineStr">
        <is>
          <t>Technology validated in relevant environment</t>
        </is>
      </c>
      <c r="W31" s="2" t="inlineStr">
        <is>
          <t>Actively Maintained</t>
        </is>
      </c>
      <c r="X31" s="2" t="inlineStr">
        <is>
          <t>TRUE</t>
        </is>
      </c>
      <c r="Y31" s="2" t="n"/>
      <c r="Z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In 2023, DataCite launched the Global Access Program to enable communities worldwide to make their research outputs discoverable. DataCite is seeking additional funding to continue the Global Access Program as well as its Global Access Fund that provides funding to organizations in regions and communities currently underrepresented in the global open science infrastructure landscape. The core services are sustained through the global membership.</t>
        </is>
      </c>
      <c r="H32" s="2" t="inlineStr">
        <is>
          <t>Non-profit organization</t>
        </is>
      </c>
      <c r="I32" s="2" t="n"/>
      <c r="J32" s="2" t="n"/>
      <c r="K32" s="2" t="inlineStr">
        <is>
          <t>FALSE</t>
        </is>
      </c>
      <c r="L32" s="2" t="n"/>
      <c r="M32" s="2" t="n"/>
      <c r="N32" s="2" t="inlineStr">
        <is>
          <t>2009-01-01</t>
        </is>
      </c>
      <c r="O32" s="2" t="inlineStr">
        <is>
          <t>We were founded as an international membership association in December of 2009 with a charitable status registered in Hannover, Germany and have not changed our organizational structure.</t>
        </is>
      </c>
      <c r="P32" s="2" t="n"/>
      <c r="Q32" s="2" t="n"/>
      <c r="R32" s="2" t="inlineStr">
        <is>
          <t>Contributions</t>
        </is>
      </c>
      <c r="S32" s="2" t="n"/>
      <c r="T32" s="2" t="inlineStr">
        <is>
          <t>Not applicable</t>
        </is>
      </c>
      <c r="U32" s="2" t="n"/>
      <c r="V32" s="2" t="inlineStr">
        <is>
          <t>Actual system proven in operational environment</t>
        </is>
      </c>
      <c r="W32" s="2" t="inlineStr">
        <is>
          <t>Actively Maintained</t>
        </is>
      </c>
      <c r="X32" s="2" t="inlineStr">
        <is>
          <t>FALSE</t>
        </is>
      </c>
      <c r="Y32" s="2" t="n"/>
      <c r="Z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n"/>
      <c r="H33" s="2" t="inlineStr">
        <is>
          <t>Fiscal sponsorship (non-profit)</t>
        </is>
      </c>
      <c r="I33" s="2" t="n"/>
      <c r="J33" s="2" t="n"/>
      <c r="K33" s="2" t="inlineStr">
        <is>
          <t>FALSE</t>
        </is>
      </c>
      <c r="L33" s="2" t="n"/>
      <c r="M33" s="2" t="n"/>
      <c r="N33" s="2" t="inlineStr">
        <is>
          <t>2018-01-01</t>
        </is>
      </c>
      <c r="O33" s="2" t="inlineStr">
        <is>
          <t>https://ds-wizard.org/dsw-story</t>
        </is>
      </c>
      <c r="P33" s="2" t="inlineStr">
        <is>
          <t>Czech Technical University in Prague / ELIXIR-CZ
Codevence Solutions</t>
        </is>
      </c>
      <c r="Q33" s="2" t="n"/>
      <c r="R33" s="2" t="inlineStr">
        <is>
          <t>Contributions</t>
        </is>
      </c>
      <c r="S33" s="2" t="n"/>
      <c r="T33" s="2" t="inlineStr">
        <is>
          <t>Through third party vendor only</t>
        </is>
      </c>
      <c r="U33" s="2" t="inlineStr">
        <is>
          <t>https://ds-wizard.org/get-started#providers</t>
        </is>
      </c>
      <c r="V33" s="2" t="inlineStr">
        <is>
          <t>Actual system proven in operational environment</t>
        </is>
      </c>
      <c r="W33" s="2" t="inlineStr">
        <is>
          <t>Actively Maintained</t>
        </is>
      </c>
      <c r="X33" s="2" t="inlineStr">
        <is>
          <t>FALSE</t>
        </is>
      </c>
      <c r="Y33" s="2" t="n"/>
      <c r="Z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n"/>
      <c r="H34" s="2" t="inlineStr">
        <is>
          <t>Fiscal sponsorship (academic institution)</t>
        </is>
      </c>
      <c r="I34" s="2" t="n"/>
      <c r="J34" s="2" t="n"/>
      <c r="K34" s="2" t="inlineStr">
        <is>
          <t>FALSE</t>
        </is>
      </c>
      <c r="L34" s="2" t="n"/>
      <c r="M34" s="2" t="n"/>
      <c r="N34" s="2" t="inlineStr">
        <is>
          <t>2007-01-01</t>
        </is>
      </c>
      <c r="O34" s="2" t="inlineStr">
        <is>
          <t>The Dataverse Project is being developed at Harvard's Institute for Quantitative Social Science (IQSS), along with many collaborators and contributors worldwide. The Dataverse Project was built on our experience with our earlier Virtual Data Center (VDC) project, which spanned 1997-2006 as a collaboration between the Harvard-MIT Data Center (now part of IQSS) and the Harvard University Library. Precursors to the VDC date to 1987, comprising such entities as pre-web software to automatically transfer cataloging information by FTP to other sites across campus automatically at designated times, and before that to a stand-alone software guide to local data.</t>
        </is>
      </c>
      <c r="P34" s="2" t="n"/>
      <c r="Q34" s="2" t="n"/>
      <c r="R34" s="2" t="inlineStr">
        <is>
          <t>Other</t>
        </is>
      </c>
      <c r="S34" s="2" t="n"/>
      <c r="T34" s="2" t="inlineStr">
        <is>
          <t>Through third party vendor only</t>
        </is>
      </c>
      <c r="U34" s="2" t="n"/>
      <c r="V34" s="2" t="inlineStr">
        <is>
          <t>Actual system proven in operational environment</t>
        </is>
      </c>
      <c r="W34" s="2" t="inlineStr">
        <is>
          <t>Actively Maintained</t>
        </is>
      </c>
      <c r="X34" s="2" t="inlineStr">
        <is>
          <t>FALSE</t>
        </is>
      </c>
      <c r="Y34" s="2" t="n"/>
      <c r="Z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More membership</t>
        </is>
      </c>
      <c r="H35" s="2" t="inlineStr">
        <is>
          <t>Fiscal sponsorship (academic institution)</t>
        </is>
      </c>
      <c r="I35" s="2" t="n"/>
      <c r="J35" s="2" t="n"/>
      <c r="K35" s="2" t="inlineStr">
        <is>
          <t>FALSE</t>
        </is>
      </c>
      <c r="L35" s="2" t="inlineStr">
        <is>
          <t>1-5</t>
        </is>
      </c>
      <c r="M35" s="2" t="inlineStr">
        <is>
          <t>1-5</t>
        </is>
      </c>
      <c r="N35" s="2" t="inlineStr">
        <is>
          <t>2017-01-01</t>
        </is>
      </c>
      <c r="O35" s="2" t="inlineStr">
        <is>
          <t>- 2015-2018: The first phase was the DLCM project which allows to develop the prototype of the solution
- 2018-2020: The second phase with DLCM 2.0 allows to finalize the development of the solution with the backends (server part) and the user web portal (client part)
- 2019: first implementation of DLCM solution at University of Geneva with Yareta service
- 2021: second implementation of DLCM solution with the SaaS offer OLOS.swiss
- 2024: third implementation at ULB (Université Libre de Bruxelles)</t>
        </is>
      </c>
      <c r="P35" s="2" t="inlineStr">
        <is>
          <t>University of Geneva (https://www.unige.ch/)
HEG, HES-SO (https://www.hesge.ch/heg/en)
UNIFR (https://www.unifr.ch/home/en/)
BFH (https://www.bfh.ch/en/)
OLOS (https://olos.swiss/)</t>
        </is>
      </c>
      <c r="Q35" s="2" t="inlineStr">
        <is>
          <t>HEG (https://www.hesge.ch/heg/en)
UNIFR (https://www.unifr.ch/home/en/)
HES-SO (https://www.hes-so.ch)</t>
        </is>
      </c>
      <c r="R35" s="2" t="inlineStr">
        <is>
          <t>Program service revenue</t>
        </is>
      </c>
      <c r="S35" s="2" t="n"/>
      <c r="T35" s="2" t="inlineStr">
        <is>
          <t>Through third party vendor only</t>
        </is>
      </c>
      <c r="U35" s="2" t="inlineStr">
        <is>
          <t>https://olos.swiss/</t>
        </is>
      </c>
      <c r="V35" s="2" t="inlineStr">
        <is>
          <t>Actual system proven in operational environment</t>
        </is>
      </c>
      <c r="W35" s="2" t="inlineStr">
        <is>
          <t>Actively Maintained</t>
        </is>
      </c>
      <c r="X35" s="2" t="inlineStr">
        <is>
          <t>FALSE</t>
        </is>
      </c>
      <c r="Y35" s="2" t="n"/>
      <c r="Z35" s="2" t="n"/>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More membership</t>
        </is>
      </c>
      <c r="H36" s="2" t="inlineStr">
        <is>
          <t>Fiscal sponsorship (academic institution)</t>
        </is>
      </c>
      <c r="I36" s="2" t="n"/>
      <c r="J36" s="2" t="n"/>
      <c r="K36" s="2" t="inlineStr">
        <is>
          <t>FALSE</t>
        </is>
      </c>
      <c r="L36" s="2" t="inlineStr">
        <is>
          <t>1-5</t>
        </is>
      </c>
      <c r="M36" s="2" t="inlineStr">
        <is>
          <t>1-5</t>
        </is>
      </c>
      <c r="N36" s="2" t="inlineStr">
        <is>
          <t>2017-01-01</t>
        </is>
      </c>
      <c r="O36" s="2" t="inlineStr">
        <is>
          <t>- 2015-2018: The first phase was the DLCM project which allows to develop the prototype of the solution- 2018-2020: The second phase with DLCM 2.0 allows to finalize the development of the solution with the backends (server part) and the user web portal (client part)- 2019: first implementation of DLCM solution at University of Geneva with Yareta service- 2021: second implementation of DLCM solution with the SaaS offer OLOS.swiss- 2024: third implementation at ULB (Université Libre de Bruxelles)</t>
        </is>
      </c>
      <c r="P36" s="2" t="inlineStr">
        <is>
          <t>University of Geneva (https://www.unige.ch/)HEG, HES-SO (https://www.hesge.ch/heg/en)UNIFR (https://www.unifr.ch/home/en/)BFH (https://www.bfh.ch/en/)OLOS (https://olos.swiss/)</t>
        </is>
      </c>
      <c r="Q36" s="2" t="inlineStr">
        <is>
          <t>HEG (https://www.hesge.ch/heg/en)UNIFR (https://www.unifr.ch/home/en/)HES-SO (https://www.hes-so.ch)</t>
        </is>
      </c>
      <c r="R36" s="2" t="inlineStr">
        <is>
          <t>Program service revenue</t>
        </is>
      </c>
      <c r="S36" s="2" t="n"/>
      <c r="T36" s="2" t="inlineStr">
        <is>
          <t>Through third party vendor only</t>
        </is>
      </c>
      <c r="U36" s="2" t="inlineStr">
        <is>
          <t>https://olos.swiss/</t>
        </is>
      </c>
      <c r="V36" s="2" t="inlineStr">
        <is>
          <t>Actual system proven in operational environment</t>
        </is>
      </c>
      <c r="W36" s="2" t="inlineStr">
        <is>
          <t>Actively Maintained</t>
        </is>
      </c>
      <c r="X36" s="2" t="inlineStr">
        <is>
          <t>FALSE</t>
        </is>
      </c>
      <c r="Y36" s="2" t="n"/>
      <c r="Z36" s="2" t="n"/>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n"/>
      <c r="H37" s="2" t="inlineStr">
        <is>
          <t>Fiscal sponsorship (academic institution)</t>
        </is>
      </c>
      <c r="I37" s="2" t="n"/>
      <c r="J37" s="2" t="n"/>
      <c r="K37" s="2" t="inlineStr">
        <is>
          <t>FALSE</t>
        </is>
      </c>
      <c r="L37" s="2" t="inlineStr">
        <is>
          <t>1-5</t>
        </is>
      </c>
      <c r="M37" s="2" t="inlineStr">
        <is>
          <t>0</t>
        </is>
      </c>
      <c r="N37" s="2" t="inlineStr">
        <is>
          <t>2011-01-01</t>
        </is>
      </c>
      <c r="O37" s="2" t="inlineStr">
        <is>
          <t>[Please fill in]</t>
        </is>
      </c>
      <c r="P37" s="2" t="n"/>
      <c r="Q37" s="2" t="n"/>
      <c r="R37" s="2" t="inlineStr">
        <is>
          <t>Other</t>
        </is>
      </c>
      <c r="S37" s="2" t="inlineStr">
        <is>
          <t>Funded as a department within the University of California Office of the President  We also receive some grants for new development.</t>
        </is>
      </c>
      <c r="T37" s="2" t="inlineStr">
        <is>
          <t>Through solution provider only</t>
        </is>
      </c>
      <c r="U37" s="2" t="n"/>
      <c r="V37" s="2" t="inlineStr">
        <is>
          <t>Actual system proven in operational environment</t>
        </is>
      </c>
      <c r="W37" s="2" t="inlineStr">
        <is>
          <t>Actively Maintained</t>
        </is>
      </c>
      <c r="X37" s="2" t="inlineStr">
        <is>
          <t>FALSE</t>
        </is>
      </c>
      <c r="Y37" s="2" t="n"/>
      <c r="Z37" s="2" t="n"/>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&lt;p&gt;Developing enhanced support for diamond journals, including:&lt;/p&gt;
&lt;ul&gt;
&lt;li&gt; preservation, 
&lt;li&gt; enhanced visibility
&lt;li&gt; guidance and help for publishers and editors
&lt;/ul&gt;
&lt;p&gt;Global support for journal publishers and editors through:&lt;/p&gt;
&lt;ul&gt;
&lt;li&gt; an extended Ambassador program
&lt;li&gt; the appointment of regional co-ordinators
&lt;li&gt; new solutions for multilingual metadata and website
&lt;/ul&gt;
&lt;p&gt;Investment in our technical infrastructure to:&lt;/p&gt;
&lt;ul&gt;
&lt;li&gt; use machine learning to automate processes and enable our team to focus on high-value activities.
&lt;li&gt; develop our capabilities to ingest articles from journals instead of relying on journal staff to send content to us.
&lt;li&gt; strengthen DOAJ’s coverage of trusted journals significantly by supporting integrations and collaboration with global indexes, e.g. Redalyc, Scielo, Latindex, to enhance the visibility of trusted OA globally through library discovery systems and other tools.
&lt;/ul&gt;</t>
        </is>
      </c>
      <c r="H38" s="2" t="inlineStr">
        <is>
          <t>Non-profit organization</t>
        </is>
      </c>
      <c r="I38" s="2" t="inlineStr">
        <is>
          <t>Danish Foundation</t>
        </is>
      </c>
      <c r="J38" s="2" t="n"/>
      <c r="K38" s="2" t="inlineStr">
        <is>
          <t>FALSE</t>
        </is>
      </c>
      <c r="L38" s="2" t="n"/>
      <c r="M38" s="2" t="n"/>
      <c r="N38" s="2" t="inlineStr">
        <is>
          <t>2003-01-01</t>
        </is>
      </c>
      <c r="O38" s="2" t="inlineStr">
        <is>
          <t>&lt;p&gt;On 12th May 2003, DOAJ was launched by Lars Bjørnshauge. It was run as a service of Lund University Libraries.&lt;/p&gt;
&lt;p&gt;DOAJ grew over the years and in 2013, it moved to become an independent service managed by IS4OA CIC of which Lars is a director.&lt;/p&gt;
&lt;p&gt;In 2022, IS4OA created a Danish branch to ease an eventual transition of DOAJ out of post-Brexit UK. &lt;/p&gt;
&lt;p&gt; In 2025 the administration of DOAJ moved from Infrastructure Services for Open Access (C.I.C.) to DOAJ Fonden, which is a Foundation registered in Denmark. &lt;/p&gt;</t>
        </is>
      </c>
      <c r="P38" s="2" t="n"/>
      <c r="Q38" s="2" t="n"/>
      <c r="R38" s="2" t="inlineStr">
        <is>
          <t>Contributions</t>
        </is>
      </c>
      <c r="S38" s="2" t="n"/>
      <c r="T38" s="2" t="inlineStr">
        <is>
          <t>Not applicable</t>
        </is>
      </c>
      <c r="U38" s="2" t="n"/>
      <c r="V38" s="2" t="inlineStr">
        <is>
          <t>Actual system proven in operational environment</t>
        </is>
      </c>
      <c r="W38" s="2" t="inlineStr">
        <is>
          <t>Actively Maintained</t>
        </is>
      </c>
      <c r="X38" s="2" t="inlineStr">
        <is>
          <t>TRUE</t>
        </is>
      </c>
      <c r="Y38" s="2" t="n"/>
      <c r="Z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&lt;li&gt; Hiring of developers and designers to make improvements to the UX and accessibility.
&lt;li&gt; To further education and outreach initiatives.
&lt;li&gt; To improve the developer experience by improving the codebase and tests to grow the open source community around the project.</t>
        </is>
      </c>
      <c r="H39" s="2" t="inlineStr">
        <is>
          <t>Volunteer community</t>
        </is>
      </c>
      <c r="I39" s="2" t="n"/>
      <c r="J39" s="2" t="n"/>
      <c r="K39" s="2" t="inlineStr">
        <is>
          <t>FALSE</t>
        </is>
      </c>
      <c r="L39" s="2" t="n"/>
      <c r="M39" s="2" t="n"/>
      <c r="N39" s="2" t="inlineStr">
        <is>
          <t>2015-01-01</t>
        </is>
      </c>
      <c r="O39" s="2" t="n"/>
      <c r="P39" s="2" t="n"/>
      <c r="Q39" s="2" t="n"/>
      <c r="R39" s="2" t="inlineStr">
        <is>
          <t>Contributions</t>
        </is>
      </c>
      <c r="S39" s="2" t="n"/>
      <c r="T39" s="2" t="inlineStr">
        <is>
          <t>Unknown</t>
        </is>
      </c>
      <c r="U39" s="2" t="n"/>
      <c r="V39" s="2" t="inlineStr">
        <is>
          <t>Technology validated in relevant environment</t>
        </is>
      </c>
      <c r="W39" s="2" t="inlineStr">
        <is>
          <t>Actively Maintained</t>
        </is>
      </c>
      <c r="X39" s="2" t="inlineStr">
        <is>
          <t>FALSE</t>
        </is>
      </c>
      <c r="Y39" s="2" t="n"/>
      <c r="Z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n"/>
      <c r="H40" s="2" t="inlineStr">
        <is>
          <t>Non-profit organization</t>
        </is>
      </c>
      <c r="I40" s="2" t="n"/>
      <c r="J40" s="2" t="n"/>
      <c r="K40" s="2" t="inlineStr">
        <is>
          <t>FALSE</t>
        </is>
      </c>
      <c r="L40" s="2" t="n"/>
      <c r="M40" s="2" t="n"/>
      <c r="N40" s="2" t="inlineStr">
        <is>
          <t>2008-01-01</t>
        </is>
      </c>
      <c r="O40" s="2" t="inlineStr">
        <is>
          <t>https://datadryad.org/stash/about#origins</t>
        </is>
      </c>
      <c r="P40" s="2" t="n"/>
      <c r="Q40" s="2" t="n"/>
      <c r="R40" s="2" t="inlineStr">
        <is>
          <t>Program service revenue</t>
        </is>
      </c>
      <c r="S40" s="2" t="n"/>
      <c r="T40" s="2" t="inlineStr">
        <is>
          <t>Not applicable</t>
        </is>
      </c>
      <c r="U40" s="2" t="n"/>
      <c r="V40" s="2" t="inlineStr">
        <is>
          <t>Actual system proven in operational environment</t>
        </is>
      </c>
      <c r="W40" s="2" t="inlineStr">
        <is>
          <t>Actively Maintained</t>
        </is>
      </c>
      <c r="X40" s="2" t="inlineStr">
        <is>
          <t>FALSE</t>
        </is>
      </c>
      <c r="Y40" s="2" t="n"/>
      <c r="Z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DSpace software is financially supported by the community: membership dues, certified partners and service providers, and various fundraising efforts. Membership dollars and representation are critical to DSpace. More info on benefits and impact of membership is available at: 
&lt;a href="https://dspace.lyrasis.org/membership/" target="_blank"&gt;https://dspace.org/membership/&lt;/a&gt;.
Launched in March 2022, the DSpace Development Fund enables contributions to help support features prioritized by DSpace Leadership. While the best way to support DSpace is still through membership, the DSpace Development Fund provides an alternative path to supporting the critical development work and sustainability of DSpace. Learn more about the development fund and what has already been accomplished through it on this &lt;a href="https://wiki.lyrasis.org/display/DSPACE/Announcement%3A+DSpace+Development+Fund" target="_blank"&gt;wiki page&lt;/a&gt;.</t>
        </is>
      </c>
      <c r="H41" s="2" t="inlineStr">
        <is>
          <t>Other</t>
        </is>
      </c>
      <c r="I41" s="2" t="inlineStr">
        <is>
          <t xml:space="preserve">As an Organizational Home, Lyrasis provides many resources and services to help grow, support and amplify DSpace. Partnership with Lyrasis enables DSpace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DSpace, DSpace operates independently and has its own model to support individual sustainability. Membership to DSpace is separate from membership to Lyrasis. </t>
        </is>
      </c>
      <c r="J41" s="2" t="inlineStr">
        <is>
          <t>501(c)3</t>
        </is>
      </c>
      <c r="K41" s="2" t="inlineStr">
        <is>
          <t>FALSE</t>
        </is>
      </c>
      <c r="L41" s="2" t="inlineStr">
        <is>
          <t>1-5</t>
        </is>
      </c>
      <c r="M41" s="2" t="inlineStr">
        <is>
          <t>Unknown</t>
        </is>
      </c>
      <c r="N41" s="2" t="inlineStr">
        <is>
          <t>2002-01-01</t>
        </is>
      </c>
      <c r="O41" s="2" t="inlineStr">
        <is>
          <t>The first public version of DSpace was released in November 2002, a joint effort between developers from MIT and HP Labs. After the first user group meeting in March 2004, a group of interested institutions formed the DSpace Federation, determining the governance of future software development by adopting the Apache Foundation's community development model and establishing the DSpace Committer Group. In July 2007 HP and MIT jointly formed the DSpace Foundation, a not-for-profit organization providing leadership and support. In May 2009 collaboration projects and growing synergies between the DSpace Foundation and the Fedora Commons organization led them to join in the not-for-profit DuraSpace to pursue their common mission. DuraSpace and Lyrasis merged in July 2019. Currently Lyrasis provides guidance to the DSpace software and user community as the Organizational Home. The Governance and the DSpace working groups lead the community work and maintenance of the software.</t>
        </is>
      </c>
      <c r="P41" s="2" t="n"/>
      <c r="Q41" s="2" t="inlineStr">
        <is>
          <t>MIT, HP Labs</t>
        </is>
      </c>
      <c r="R41" s="2" t="inlineStr">
        <is>
          <t>Other</t>
        </is>
      </c>
      <c r="S41" s="2" t="inlineStr">
        <is>
          <t>Membership dues, certified partners and service providers.</t>
        </is>
      </c>
      <c r="T41" s="2" t="inlineStr">
        <is>
          <t>Through solution provider or third party vendor</t>
        </is>
      </c>
      <c r="U41" s="2" t="n"/>
      <c r="V41" s="2" t="inlineStr">
        <is>
          <t>Actual system proven in operational environment</t>
        </is>
      </c>
      <c r="W41" s="2" t="inlineStr">
        <is>
          <t>Actively Maintained</t>
        </is>
      </c>
      <c r="X41" s="2" t="inlineStr">
        <is>
          <t>TRUE</t>
        </is>
      </c>
      <c r="Y41" s="2" t="n"/>
      <c r="Z41" s="2" t="n"/>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n"/>
      <c r="H42" s="2" t="inlineStr">
        <is>
          <t>Fiscal sponsorship (non-profit)</t>
        </is>
      </c>
      <c r="I42" s="2" t="n"/>
      <c r="J42" s="2" t="n"/>
      <c r="K42" s="2" t="inlineStr">
        <is>
          <t>FALSE</t>
        </is>
      </c>
      <c r="L42" s="2" t="n"/>
      <c r="M42" s="2" t="n"/>
      <c r="N42" s="2" t="inlineStr">
        <is>
          <t>2009-01-01</t>
        </is>
      </c>
      <c r="O42" s="2" t="inlineStr">
        <is>
          <t>N/A</t>
        </is>
      </c>
      <c r="P42" s="2" t="inlineStr">
        <is>
          <t>N/A</t>
        </is>
      </c>
      <c r="Q42" s="2" t="n"/>
      <c r="R42" s="2" t="inlineStr">
        <is>
          <t>Program service revenue</t>
        </is>
      </c>
      <c r="S42" s="2" t="n"/>
      <c r="T42" s="2" t="inlineStr">
        <is>
          <t>Through solution provider only</t>
        </is>
      </c>
      <c r="U42" s="2" t="n"/>
      <c r="V42" s="2" t="inlineStr">
        <is>
          <t>Actual system proven in operational environment</t>
        </is>
      </c>
      <c r="W42" s="2" t="inlineStr">
        <is>
          <t>Actively Maintained</t>
        </is>
      </c>
      <c r="X42" s="2" t="inlineStr">
        <is>
          <t>FALSE</t>
        </is>
      </c>
      <c r="Y42" s="2" t="n"/>
      <c r="Z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 Developing new services (IT development)
- Supporting copy editing services for the journals
- Supporting the users
- Outreach and engagement
- Finding new funding sources</t>
        </is>
      </c>
      <c r="H43" s="2" t="inlineStr">
        <is>
          <t>Fiscal sponsorship (academic institution)</t>
        </is>
      </c>
      <c r="I43" s="2" t="n"/>
      <c r="J43" s="2" t="n"/>
      <c r="K43" s="2" t="inlineStr">
        <is>
          <t>FALSE</t>
        </is>
      </c>
      <c r="L43" s="2" t="inlineStr">
        <is>
          <t>1-5</t>
        </is>
      </c>
      <c r="M43" s="2" t="inlineStr">
        <is>
          <t>More than 20</t>
        </is>
      </c>
      <c r="N43" s="2" t="inlineStr">
        <is>
          <t>2013-01-01</t>
        </is>
      </c>
      <c r="O43" s="2" t="inlineStr">
        <is>
          <t>https://www.episciences.org/governance/
https://www.ccsd.cnrs.fr/en/governance/</t>
        </is>
      </c>
      <c r="P43" s="2" t="inlineStr">
        <is>
          <t>The financing of the CCSD is jointly ensured by its supervising bodies (CNRS, Inria, INRAE) ; the French Ministry of higher education and research (MESR)
Inria and Institut Fourier bring a specific support to Episciences by their contribution to the editorial support of the journals.
The IT infrastructure of Episciences is shared with HAL and Sciencesconf.
Long-term preservation of content published on Episciences is ensured by C.I.N.E.S. (Centre Informatique National de l’Enseignement Supérieur).</t>
        </is>
      </c>
      <c r="Q43" s="2" t="inlineStr">
        <is>
          <t>- CNRS (Research organism)
- Inria (Research organism)
- Institut Fourier  (Research unit)
- Jean-Pierre Demailly (Researcher)</t>
        </is>
      </c>
      <c r="R43" s="2" t="inlineStr">
        <is>
          <t>Contributions</t>
        </is>
      </c>
      <c r="S43" s="2" t="n"/>
      <c r="T43" s="2" t="inlineStr">
        <is>
          <t>Not applicable</t>
        </is>
      </c>
      <c r="U43" s="2" t="n"/>
      <c r="V43" s="2" t="inlineStr">
        <is>
          <t>Actual system proven in operational environment</t>
        </is>
      </c>
      <c r="W43" s="2" t="inlineStr">
        <is>
          <t>Actively Maintained</t>
        </is>
      </c>
      <c r="X43" s="2" t="inlineStr">
        <is>
          <t>TRUE</t>
        </is>
      </c>
      <c r="Y43" s="2" t="n"/>
      <c r="Z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n"/>
      <c r="H44" s="2" t="inlineStr">
        <is>
          <t>Fiscal sponsorship (academic institution)</t>
        </is>
      </c>
      <c r="I44" s="2" t="n"/>
      <c r="J44" s="2" t="n"/>
      <c r="K44" s="2" t="inlineStr">
        <is>
          <t>FALSE</t>
        </is>
      </c>
      <c r="L44" s="2" t="n"/>
      <c r="M44" s="2" t="n"/>
      <c r="N44" s="2" t="inlineStr">
        <is>
          <t>2000-01-01</t>
        </is>
      </c>
      <c r="O44" s="2" t="inlineStr">
        <is>
          <t>The software is open source. Primarily maintained and organised by EPrints Services, based in the University of Southampton.
Other community members contribute to either the core software or to extension components.</t>
        </is>
      </c>
      <c r="P44" s="2" t="inlineStr">
        <is>
          <t>ECS Partners Ltd</t>
        </is>
      </c>
      <c r="Q44" s="2" t="inlineStr">
        <is>
          <t>University of Southampton</t>
        </is>
      </c>
      <c r="R44" s="2" t="inlineStr">
        <is>
          <t>Program service revenue</t>
        </is>
      </c>
      <c r="S44" s="2" t="n"/>
      <c r="T44" s="2" t="inlineStr">
        <is>
          <t>Through solution provider only</t>
        </is>
      </c>
      <c r="U44" s="2" t="n"/>
      <c r="V44" s="2" t="inlineStr">
        <is>
          <t>Actual system proven in operational environment</t>
        </is>
      </c>
      <c r="W44" s="2" t="inlineStr">
        <is>
          <t>Actively Maintained</t>
        </is>
      </c>
      <c r="X44" s="2" t="inlineStr">
        <is>
          <t>FALSE</t>
        </is>
      </c>
      <c r="Y44" s="2" t="n"/>
      <c r="Z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n"/>
      <c r="H45" s="2" t="inlineStr">
        <is>
          <t>Fiscal sponsorship (academic institution)</t>
        </is>
      </c>
      <c r="I45" s="2" t="n"/>
      <c r="J45" s="2" t="n"/>
      <c r="K45" s="2" t="inlineStr">
        <is>
          <t>FALSE</t>
        </is>
      </c>
      <c r="L45" s="2" t="n"/>
      <c r="M45" s="2" t="n"/>
      <c r="N45" s="2" t="inlineStr">
        <is>
          <t>1998-01-01</t>
        </is>
      </c>
      <c r="O45" s="2" t="inlineStr">
        <is>
          <t>&lt;p&gt;1998: The original version of the Érudit platform is launched by Presses de l’Université de Montréal (PUM)&lt;/p&gt;
&lt;p&gt;2000: Creation of the Groupe interuniversitaire pour l’édition numérique (GIEN) to oversee Érudit. It is comprised of the Université de Montréal’s information and communication technologies department, the provincial scientific information network, the Presses de l’Université de Montréal, the Presses de l’Université Laval, the dissemination department of the research and creation branch of the Université du Québec à Montréal and the Université Laval library. &lt;/p&gt;
&lt;p&gt;2004: Creation of the Érudit consortium, in the form of a general partnership, whose partners are Université de Montréal, Université Laval and Université du Québec à Montréal.&lt;/p&gt;
&lt;p&gt;2013: 
Consolidation of the Dissertations section through an agreement signed with four Canadian Universities: UQAM, UQAT, UQTR, UQAC.&lt;/p&gt;
&lt;p&gt;2015: The Partnership in support of open access to scholarly journals is established between 107 Canadian journals and 53 university libraries, in collaboration with the CRKN.&lt;/p&gt;
&lt;p&gt;2018: Launch of Coalition Publica, an initiative of Érudit and PKP to bring together Canadian scholarly journal publishers, academic libraries and researchers.&lt;/p&gt;
&lt;p&gt;Complete timeline: &lt;a href="https://apropos.erudit.org/ligne-du-temps/?lang=en" target="_blank"&gt;https://apropos.erudit.org/ligne-du-temps/?lang=en&lt;/a&gt;&lt;/p&gt;</t>
        </is>
      </c>
      <c r="P45" s="2" t="n"/>
      <c r="Q45" s="2" t="n"/>
      <c r="R45" s="2" t="inlineStr">
        <is>
          <t>Program service revenue</t>
        </is>
      </c>
      <c r="S45" s="2" t="n"/>
      <c r="T45" s="2" t="inlineStr">
        <is>
          <t>Not applicable</t>
        </is>
      </c>
      <c r="U45" s="2" t="n"/>
      <c r="V45" s="2" t="inlineStr">
        <is>
          <t>Actual system proven in operational environment</t>
        </is>
      </c>
      <c r="W45" s="2" t="inlineStr">
        <is>
          <t>Actively Maintained</t>
        </is>
      </c>
      <c r="X45" s="2" t="inlineStr">
        <is>
          <t>FALSE</t>
        </is>
      </c>
      <c r="Y45" s="2" t="n"/>
      <c r="Z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Europe PMC is funded by 35 funders contributing to one grant and funder contributions are based on the annual research spend by the funding organisation (&lt;a href="https://europepmc.org/BecomeFunder" target="_blank"&gt;https://europepmc.org/BecomeFunder&lt;/a&gt;). The next grant renewal cycle is in 2026. Europe PMC is also supported by in-kind contributions from EMBL-EBI. Funding enables the infrastructure and maintenance of service to be continued and for new features and developments to be added to the roadmap to support the mission.</t>
        </is>
      </c>
      <c r="H46" s="2" t="inlineStr">
        <is>
          <t>Other</t>
        </is>
      </c>
      <c r="I46" s="2" t="n"/>
      <c r="J46" s="2" t="n"/>
      <c r="K46" s="2" t="inlineStr">
        <is>
          <t>FALSE</t>
        </is>
      </c>
      <c r="L46" s="2" t="inlineStr">
        <is>
          <t>11-20</t>
        </is>
      </c>
      <c r="M46" s="2" t="n"/>
      <c r="N46" s="2" t="inlineStr">
        <is>
          <t>2007-01-01</t>
        </is>
      </c>
      <c r="O46" s="2" t="inlineStr">
        <is>
          <t>The Europe PMC was originally launched as UKPMC in 2007 to provide a stable, permanent, and free-to-access online digital archive of the full-text, peer-reviewed research publications. UKPMC formed a part of a network of PMC International repositories with PubMed Central USA and PMC Canada. UKPMC was established by a consortium of UK biomedical research funding bodies to enable compliance with open access policies. UKPMC was developed by the University of Manchester (Mimas and the National Centre for Text Mining (NaCTeM)), the European Bioinformatics Institute (EMBl-EBI) and the British Library, in close collaboration with the NCBI. The UKPMC archive was supplemented by the CiteXplore citations database run by EMBL-EBI.
In November 2012 UKPMC was rebranded as Europe PubMed Central (Europe PMC) after three European funders joined UKPMC. In 2013 CiteXplore was subsumed under Europe PubMed Central. Since April 2016 EMBL-EBI is the sole organisation responsible for developing Europe PMC.</t>
        </is>
      </c>
      <c r="P46" s="2" t="n"/>
      <c r="Q46" s="2" t="n"/>
      <c r="R46" s="2" t="inlineStr">
        <is>
          <t>Contributions</t>
        </is>
      </c>
      <c r="S46" s="2" t="n"/>
      <c r="T46" s="2" t="inlineStr">
        <is>
          <t>Not applicable</t>
        </is>
      </c>
      <c r="U46" s="2" t="n"/>
      <c r="V46" s="2" t="inlineStr">
        <is>
          <t>Actual system proven in operational environment</t>
        </is>
      </c>
      <c r="W46" s="2" t="inlineStr">
        <is>
          <t>Actively Maintained</t>
        </is>
      </c>
      <c r="X46" s="2" t="inlineStr">
        <is>
          <t>FALSE</t>
        </is>
      </c>
      <c r="Y46" s="2" t="n"/>
      <c r="Z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n"/>
      <c r="H47" s="2" t="inlineStr">
        <is>
          <t>Commercial (for-profit)</t>
        </is>
      </c>
      <c r="I47" s="2" t="n"/>
      <c r="J47" s="2" t="n"/>
      <c r="K47" s="2" t="inlineStr">
        <is>
          <t>TRUE</t>
        </is>
      </c>
      <c r="L47" s="2" t="inlineStr">
        <is>
          <t>1-5</t>
        </is>
      </c>
      <c r="M47" s="2" t="n"/>
      <c r="N47" s="2" t="inlineStr">
        <is>
          <t>2021-01-01</t>
        </is>
      </c>
      <c r="O47" s="2" t="inlineStr">
        <is>
          <t>Founded in 2019 in Prague, Codevence began by developing tools and platforms that support FAIR data practices and Open Science. It soon expanded into research data stewardship, contributing to open-source solutions and helping institutions strengthen their data workflows.
Building on this expertise, Codevence created FAIR Wizard, an enterprise extension of the Data Stewardship Wizard that introduces automation, integrations, and analytical insight. The company also contributes to international initiatives, including the OSTrails project, which supports cross-infrastructure collaboration and FAIR-by-design research ecosystems.
Today, Codevence works with organisations across Europe, Africa, the United States, and Australia, including national bodies developing coordinated DMP solutions. It continues to advance responsible research data management through adaptable, governance-ready tools that improve the quality and long-term value of research outputs.</t>
        </is>
      </c>
      <c r="P47" s="2" t="inlineStr">
        <is>
          <t>Codevence Solutions s.r.o.</t>
        </is>
      </c>
      <c r="Q47" s="2" t="n"/>
      <c r="R47" s="2" t="inlineStr">
        <is>
          <t>Program service revenue</t>
        </is>
      </c>
      <c r="S47" s="2" t="n"/>
      <c r="T47" s="2" t="inlineStr">
        <is>
          <t>Through solution provider only</t>
        </is>
      </c>
      <c r="U47" s="2" t="n"/>
      <c r="V47" s="2" t="inlineStr">
        <is>
          <t>Actual system proven in operational environment</t>
        </is>
      </c>
      <c r="W47" s="2" t="inlineStr">
        <is>
          <t>Actively Maintained</t>
        </is>
      </c>
      <c r="X47" s="2" t="inlineStr">
        <is>
          <t>FALSE</t>
        </is>
      </c>
      <c r="Y47" s="2" t="n"/>
      <c r="Z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Fedora is funded entirely by membership contributions from institutions. This funding supports program staff who work to develop, teach, engage and support all active Fedora users. Membership represents the only source of unrestricted income for program initiatives and is the only method for which the program can continue to provide essential support for staff and operations. Without membership income, the program’s sustainability would be at risk, along with the preservation of the vital content contained within the repositories of our users.</t>
        </is>
      </c>
      <c r="H48" s="2" t="inlineStr">
        <is>
          <t>Other</t>
        </is>
      </c>
      <c r="I48" s="2" t="inlineStr">
        <is>
          <t>As an Organizational Home, Lyrasis provides many resources and services to help grow, support and amplify Fedora. Partnership with Lyrasis enables Fedora to focus on program-specific needs and priorities, free from the burden of building common types of infrastructure that are necessary for long term success and sustainability. Some of these services include, but are not limited to; fiscal services, internal IT support, human resources and other critical supportive infrastructure. While Lyrasis serves as the Organizational Home to Fedora, Fedora operates independently and has its own model to support individual sustainability. Membership to Fedora is separate from membership to Lyrasis.</t>
        </is>
      </c>
      <c r="J48" s="2" t="inlineStr">
        <is>
          <t>501(c)3</t>
        </is>
      </c>
      <c r="K48" s="2" t="inlineStr">
        <is>
          <t>FALSE</t>
        </is>
      </c>
      <c r="L48" s="2" t="inlineStr">
        <is>
          <t>1-5</t>
        </is>
      </c>
      <c r="M48" s="2" t="inlineStr">
        <is>
          <t>Unknown</t>
        </is>
      </c>
      <c r="N48" s="2" t="inlineStr">
        <is>
          <t>2001-01-01</t>
        </is>
      </c>
      <c r="O48" s="2" t="inlineStr">
        <is>
          <t>Originally conceptualized in 1997 as a repository architecture at Cornell University, FEDORA (Flexible, Extensive, Digital Object Repository Architecture) was first implemented at the University of Virginia as a prototype digital library system. From there, interest in the architecture’s application grew and in 2007 the non-profit organization Fedora Commons was established with funds received from the Gordon and Betty Moore Foundation. In 2009, DSpace Foundation and Fedora Commons joined together in a merger under the organizational name DuraSpace. And in 2019, Lyrasis and DuraSpace merged organizations and Fedora was added to an expanded portfolio of programs under the DuraSpace Community Supported Programs Division.</t>
        </is>
      </c>
      <c r="P48" s="2" t="n"/>
      <c r="Q48" s="2" t="n"/>
      <c r="R48" s="2" t="inlineStr">
        <is>
          <t>Other</t>
        </is>
      </c>
      <c r="S48" s="2" t="inlineStr">
        <is>
          <t>Member-supported</t>
        </is>
      </c>
      <c r="T48" s="2" t="inlineStr">
        <is>
          <t>Through third party vendor only</t>
        </is>
      </c>
      <c r="U48" s="2" t="n"/>
      <c r="V48" s="2" t="inlineStr">
        <is>
          <t>Actual system proven in operational environment</t>
        </is>
      </c>
      <c r="W48" s="2" t="inlineStr">
        <is>
          <t>Actively Maintained</t>
        </is>
      </c>
      <c r="X48" s="2" t="inlineStr">
        <is>
          <t>FALSE</t>
        </is>
      </c>
      <c r="Y48" s="2" t="n"/>
      <c r="Z48" s="2" t="n"/>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n"/>
      <c r="H49" s="2" t="inlineStr">
        <is>
          <t>Non-profit organization</t>
        </is>
      </c>
      <c r="I49" s="2" t="n"/>
      <c r="J49" s="2" t="inlineStr">
        <is>
          <t>Company limited by guarantee</t>
        </is>
      </c>
      <c r="K49" s="2" t="inlineStr">
        <is>
          <t>FALSE</t>
        </is>
      </c>
      <c r="L49" s="2" t="inlineStr">
        <is>
          <t>6-10</t>
        </is>
      </c>
      <c r="M49" s="2" t="n"/>
      <c r="N49" s="2" t="inlineStr">
        <is>
          <t>2010-01-01</t>
        </is>
      </c>
      <c r="O49"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49" s="2" t="inlineStr">
        <is>
          <t>Artefactual</t>
        </is>
      </c>
      <c r="Q49" s="2" t="inlineStr">
        <is>
          <t>British Library</t>
        </is>
      </c>
      <c r="R49" s="2" t="inlineStr">
        <is>
          <t>Other</t>
        </is>
      </c>
      <c r="S49" s="2" t="inlineStr">
        <is>
          <t>Membership subscription fees</t>
        </is>
      </c>
      <c r="T49" s="2" t="inlineStr">
        <is>
          <t>Not applicable</t>
        </is>
      </c>
      <c r="U49" s="2" t="n"/>
      <c r="V49" s="2" t="inlineStr">
        <is>
          <t>Actual system proven in operational environment</t>
        </is>
      </c>
      <c r="W49" s="2" t="inlineStr">
        <is>
          <t>Actively Maintained</t>
        </is>
      </c>
      <c r="X49" s="2" t="inlineStr">
        <is>
          <t>FALSE</t>
        </is>
      </c>
      <c r="Y49" s="2" t="n"/>
      <c r="Z49" s="2" t="n"/>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&lt;p&gt;&lt;b&gt;Discoverability:&lt;/b&gt; As steward of large collections of ebooks focused on disciplinary areas such as archaeology and performing arts, the Fulcrum team is eager to improve its full-text search capabilities - especially in ways that provide value to specific disciplines.&lt;/p&gt;
&lt;p&gt;&lt;b&gt;Accessibility:&lt;/b&gt; Accessibility is a concern for backlist collections on Fulcrum - the platform is built around EPUB3 but a lot of legacy content is in PDF form; the costs of conversion are substantial. Being a leader in accessible platforms as well as accessible content is an aspiration for Fulcrum.&lt;/p&gt;
&lt;p&gt;&lt;b&gt;Durability:&lt;/b&gt; Working with other platforms to ensure that the types of multimodal publications that are facilitated by services such as Fulcrum can be preserved in terms of their functionality as well as content is a priority, as the fragility of the digital cultural record and the mismatch between authors expectations of longevity and the reality of the stewardship promise that libraries and publishers are making is of concern.&lt;/p&gt;</t>
        </is>
      </c>
      <c r="H50" s="2" t="inlineStr">
        <is>
          <t>Fiscal sponsorship (academic institution)</t>
        </is>
      </c>
      <c r="I50" s="2" t="n"/>
      <c r="J50" s="2" t="n"/>
      <c r="K50" s="2" t="inlineStr">
        <is>
          <t>FALSE</t>
        </is>
      </c>
      <c r="L50" s="2" t="n"/>
      <c r="M50" s="2" t="n"/>
      <c r="N50" s="2" t="inlineStr">
        <is>
          <t>2015-01-01</t>
        </is>
      </c>
      <c r="O50" s="2" t="inlineStr">
        <is>
          <t>Fulcrum was established in 2015 with funding from the Andrew W. Mellon Foundation. After several rounds of development funding, the platform became self-sustaining in 2021.</t>
        </is>
      </c>
      <c r="P50" s="2" t="n"/>
      <c r="Q50" s="2" t="n"/>
      <c r="R50" s="2" t="inlineStr">
        <is>
          <t>Program service revenue</t>
        </is>
      </c>
      <c r="S50" s="2" t="n"/>
      <c r="T50" s="2" t="inlineStr">
        <is>
          <t>Through solution provider only</t>
        </is>
      </c>
      <c r="U50" s="2" t="n"/>
      <c r="V50" s="2" t="inlineStr">
        <is>
          <t>Actual system proven in operational environment</t>
        </is>
      </c>
      <c r="W50" s="2" t="inlineStr">
        <is>
          <t>Actively Maintained</t>
        </is>
      </c>
      <c r="X50" s="2" t="inlineStr">
        <is>
          <t>FALSE</t>
        </is>
      </c>
      <c r="Y50" s="2" t="n"/>
      <c r="Z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n"/>
      <c r="H51" s="2" t="inlineStr">
        <is>
          <t>Fiscal sponsorship (academic institution)</t>
        </is>
      </c>
      <c r="I51" s="2" t="n"/>
      <c r="J51" s="2" t="n"/>
      <c r="K51" s="2" t="inlineStr">
        <is>
          <t>FALSE</t>
        </is>
      </c>
      <c r="L51" s="2" t="inlineStr">
        <is>
          <t>More than 20</t>
        </is>
      </c>
      <c r="M51" s="2" t="inlineStr">
        <is>
          <t>More than 20</t>
        </is>
      </c>
      <c r="N51" s="2" t="inlineStr">
        <is>
          <t>2005-01-01</t>
        </is>
      </c>
      <c r="O51" s="2" t="inlineStr">
        <is>
          <t>Founded in 2005 Galaxy now serves 500,000 users.</t>
        </is>
      </c>
      <c r="P51" s="2" t="inlineStr">
        <is>
          <t>It's an open source project with many affiliations.</t>
        </is>
      </c>
      <c r="Q51" s="2" t="n"/>
      <c r="R51" s="2" t="inlineStr">
        <is>
          <t>Contributions</t>
        </is>
      </c>
      <c r="S51" s="2" t="n"/>
      <c r="T51" s="2" t="inlineStr">
        <is>
          <t>Through solution provider or third party vendor</t>
        </is>
      </c>
      <c r="U51" s="2" t="n"/>
      <c r="V51" s="2" t="inlineStr">
        <is>
          <t>Actual system proven in operational environment</t>
        </is>
      </c>
      <c r="W51" s="2" t="inlineStr">
        <is>
          <t>Actively Maintained</t>
        </is>
      </c>
      <c r="X51" s="2" t="inlineStr">
        <is>
          <t>FALSE</t>
        </is>
      </c>
      <c r="Y51" s="2" t="n"/>
      <c r="Z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We have ongoing funding needs to cover operational expenses, Open Geospatial Consortium "CITE" certification on the protocols implemented, and increasing expenses due to security vulnerability reporting and regulation in both Europe and the United States.
We have a sponsorship program, and yearly objectives, the above list represents ongoing expenses.</t>
        </is>
      </c>
      <c r="H52" s="2" t="inlineStr">
        <is>
          <t>Non-profit organization</t>
        </is>
      </c>
      <c r="I52" s="2" t="n"/>
      <c r="J52" s="2" t="n"/>
      <c r="K52" s="2" t="inlineStr">
        <is>
          <t>FALSE</t>
        </is>
      </c>
      <c r="L52" s="2" t="inlineStr">
        <is>
          <t>0</t>
        </is>
      </c>
      <c r="M52" s="2" t="inlineStr">
        <is>
          <t>More than 20</t>
        </is>
      </c>
      <c r="N52" s="2" t="inlineStr">
        <is>
          <t>2001-01-01</t>
        </is>
      </c>
      <c r="O52" s="2" t="inlineStr">
        <is>
          <t>https://docs.geoserver.org/latest/en/user/introduction/history.html</t>
        </is>
      </c>
      <c r="P52" s="2" t="inlineStr">
        <is>
          <t>https://www.osgeo.org
https://www.geosolutionsgroup.com/
https://www.afrigis.co.za/
https://www.geocat.net/
https://camptocamp.com/</t>
        </is>
      </c>
      <c r="Q52" s="2" t="inlineStr">
        <is>
          <t>The Open Planning Project (TOPP)</t>
        </is>
      </c>
      <c r="R52" s="2" t="inlineStr">
        <is>
          <t>Contributions</t>
        </is>
      </c>
      <c r="S52" s="2" t="n"/>
      <c r="T52" s="2" t="inlineStr">
        <is>
          <t>Through third party vendor only</t>
        </is>
      </c>
      <c r="U52" s="2" t="inlineStr">
        <is>
          <t>https://geoserver.org/support/</t>
        </is>
      </c>
      <c r="V52" s="2" t="inlineStr">
        <is>
          <t>Actual system proven in operational environment</t>
        </is>
      </c>
      <c r="W52" s="2" t="inlineStr">
        <is>
          <t>Actively Maintained</t>
        </is>
      </c>
      <c r="X52" s="2" t="inlineStr">
        <is>
          <t>FALSE</t>
        </is>
      </c>
      <c r="Y52" s="2" t="n"/>
      <c r="Z52" s="2" t="n"/>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Institutions, organizations, funders, and consortia can help advance Hyku via in-kind development of Hyku features; by becoming a Samvera Partner; through grant-funded activities; and by pledging funds or development time to contribute Hyku community development sprints.</t>
        </is>
      </c>
      <c r="H53" s="2" t="inlineStr">
        <is>
          <t>Fiscal sponsorship (non-profit)</t>
        </is>
      </c>
      <c r="I53" s="2" t="n"/>
      <c r="J53" s="2" t="inlineStr">
        <is>
          <t>501(c)6</t>
        </is>
      </c>
      <c r="K53" s="2" t="inlineStr">
        <is>
          <t>FALSE</t>
        </is>
      </c>
      <c r="L53" s="2" t="inlineStr">
        <is>
          <t>1-5</t>
        </is>
      </c>
      <c r="M53" s="2" t="inlineStr">
        <is>
          <t>1-5</t>
        </is>
      </c>
      <c r="N53" s="2" t="inlineStr">
        <is>
          <t>2015-01-01</t>
        </is>
      </c>
      <c r="O53" s="2" t="inlineStr">
        <is>
          <t>Hyku is a digital repository application for managing cultural heritage content, which began as the Hydra-in-a-Box project. Based on Hyrax, it offers an easy-to-install, easy-to-configure, feature-rich solution supporting next-generation web technologies. Hyku reduces barriers to effective asset management and preservation for collections and content types of many kinds, and is supported by a vibrant and ever-growing open source community.
Though initially developed as an institutional repository platform, Hyku has grown significantly since it's inception in 2015. To date, Hyku has been used to support OER resources, ETDs, digital collections, research data, and conference and event materials.</t>
        </is>
      </c>
      <c r="P53" s="2" t="n"/>
      <c r="Q53" s="2" t="n"/>
      <c r="R53" s="2" t="inlineStr">
        <is>
          <t>Contributions</t>
        </is>
      </c>
      <c r="S53" s="2" t="n"/>
      <c r="T53" s="2" t="inlineStr">
        <is>
          <t>Through third party vendor only</t>
        </is>
      </c>
      <c r="U53" s="2" t="inlineStr">
        <is>
          <t>See service providers at https://samvera.org/the-community/service-providers</t>
        </is>
      </c>
      <c r="V53" s="2" t="inlineStr">
        <is>
          <t>Actual system proven in operational environment</t>
        </is>
      </c>
      <c r="W53" s="2" t="inlineStr">
        <is>
          <t>Actively Maintained</t>
        </is>
      </c>
      <c r="X53" s="2" t="inlineStr">
        <is>
          <t>FALSE</t>
        </is>
      </c>
      <c r="Y53" s="2" t="n"/>
      <c r="Z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Institutions, organizations, funders, and consortia can help advance Hyrax via one-time or ongoing donations; in-kind development of Hyrax features from the roadmap; by becoming a Samvera Partner and paying annual dues in support of the community; through grant-funded activities; and by pledging funds or development time to contribute to Hyrax community maintenance or feature development sprints.</t>
        </is>
      </c>
      <c r="H54" s="2" t="inlineStr">
        <is>
          <t>Fiscal sponsorship (non-profit)</t>
        </is>
      </c>
      <c r="I54" s="2" t="n"/>
      <c r="J54" s="2" t="n"/>
      <c r="K54" s="2" t="inlineStr">
        <is>
          <t>FALSE</t>
        </is>
      </c>
      <c r="L54" s="2" t="inlineStr">
        <is>
          <t>1-5</t>
        </is>
      </c>
      <c r="M54" s="2" t="inlineStr">
        <is>
          <t>1-5</t>
        </is>
      </c>
      <c r="N54" s="2" t="inlineStr">
        <is>
          <t>2018-01-01</t>
        </is>
      </c>
      <c r="O54" s="2" t="inlineStr">
        <is>
          <t>Hyrax was originally created as part of Project Hydra, now known as the Samvera Community. Hyrax was created from earlier OSS repository components including Sufia and Curation Concerns.</t>
        </is>
      </c>
      <c r="P54" s="2" t="inlineStr">
        <is>
          <t>No affiliations</t>
        </is>
      </c>
      <c r="Q54" s="2" t="inlineStr">
        <is>
          <t>Stanford University
University of Hull
University of Virginia</t>
        </is>
      </c>
      <c r="R54" s="2" t="inlineStr">
        <is>
          <t>Contributions</t>
        </is>
      </c>
      <c r="S54" s="2" t="n"/>
      <c r="T54" s="2" t="inlineStr">
        <is>
          <t>Through third party vendor only</t>
        </is>
      </c>
      <c r="U54" s="2" t="inlineStr">
        <is>
          <t>https://samvera.org/the-community/service-providers</t>
        </is>
      </c>
      <c r="V54" s="2" t="inlineStr">
        <is>
          <t>Actual system proven in operational environment</t>
        </is>
      </c>
      <c r="W54" s="2" t="inlineStr">
        <is>
          <t>Actively Maintained</t>
        </is>
      </c>
      <c r="X54" s="2" t="inlineStr">
        <is>
          <t>FALSE</t>
        </is>
      </c>
      <c r="Y54" s="2" t="n"/>
      <c r="Z54" s="2" t="n"/>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&lt;p&gt;As the IIIF Consortium expands its operations and operations, we primarily are exploring funding opportunities around training/translation, and ttravel support for the volunteer specification editors and technical group co-chairs.&lt;/p&gt;
&lt;p&gt;We have a robust set of online and in-person training offerings, and we make all the &lt;a href="https://training.iiif.io/" target="_blank"&gt;training materials&lt;/a&gt; we use available openly so that anyone can make use of them at their own pace. We also offer a relatively low-cost paid online training option that features extensive instructor support, which has proven incredibly popular. However, we're reaching the limit of what our sole instructor can offer in a given year; likewise we're also eager to translate our existing training materials into a wide variety of languages including Spanish, Japanese, Portuguese, and French, among others, so that we can extend the reach of our open access training materials.&lt;/p&gt;
&lt;p&gt;We have also done important work toward addressing gender imbalances in structures like the IIIF Editorial Committee and the co-chairs of our Technical Specification Groups. With this, however, we are encountering an increasing need to financially support travel for the newer editors and co-chairs who tend to be less senior and have less financial support from their institutions to travel to Editor and TSG meetings—especially for meetings abroad. Though we have made important strides in making online meetings a primary means of IIIF business, there remains the fact that the writing of open standards and specifications is most efficiently done via focused in-person meetings. In order to foster a more diverse and sustainable Editorial Committee and set of technical group co-chairs, the IIIF Consortium is exploring funding options that would allow us to continue this important work without sacrificing the efficiency of in-person meetings to move the specifications forward.&lt;/p&gt;</t>
        </is>
      </c>
      <c r="H55" s="2" t="inlineStr">
        <is>
          <t>Fiscal sponsorship (non-profit)</t>
        </is>
      </c>
      <c r="I55" s="2" t="n"/>
      <c r="J55" s="2" t="n"/>
      <c r="K55" s="2" t="inlineStr">
        <is>
          <t>FALSE</t>
        </is>
      </c>
      <c r="L55" s="2" t="n"/>
      <c r="M55" s="2" t="n"/>
      <c r="N55" s="2" t="inlineStr">
        <is>
          <t>2011-01-01</t>
        </is>
      </c>
      <c r="O55" s="2" t="inlineStr">
        <is>
          <t>&lt;p&gt;The Image API was proposed in late 2011 as a collaboration between The British Library, Stanford University, the Bodleian Libraries (Oxford University), the Bibliothèque nationale de France, Nasjonalbiblioteket (National Library of Norway), Los Alamos National Laboratory Research Library, and Cornell University. Version 1.0 was published in 2012.
Version 1.0 of the Presentation API was published in 2013 and of the Search API in 2016. (from &lt;a href="https://en.wikipedia.org/wiki/International_Image_Interoperability_Framework" target="_blank"&gt;https://en.wikipedia.org/wiki/International_Image_Interoperability_Framework&lt;/a&gt;)
&lt;p&gt;Version 3.0 of the search and presentation APIs were published in 2020.&lt;/p&gt;
&lt;p&gt;The IIIF Consortium was founded in 2015 to support the work of the community, and provide governance structures: &lt;a href="https://iiif.io/community/consortium/" target="_blank"&gt; https://iiif.io/community/consortium/&lt;/a&gt;&lt;/p&gt;
&lt;p&gt;Started as a Consortium with 11 members, and has grown to 65 as of this year.&lt;/p&gt;</t>
        </is>
      </c>
      <c r="P55" s="2" t="n"/>
      <c r="Q55" s="2" t="n"/>
      <c r="R55" s="2" t="inlineStr">
        <is>
          <t>Contributions</t>
        </is>
      </c>
      <c r="S55" s="2" t="n"/>
      <c r="T55" s="2" t="inlineStr">
        <is>
          <t>Not applicable</t>
        </is>
      </c>
      <c r="U55" s="2" t="inlineStr">
        <is>
          <t>We don't formally vet or require particular levels of IIIF compliance, but we do feature community partners that we're aware of in a few different places.</t>
        </is>
      </c>
      <c r="V55" s="2" t="inlineStr">
        <is>
          <t>Actual system proven in operational environment</t>
        </is>
      </c>
      <c r="W55" s="2" t="inlineStr">
        <is>
          <t>Actively Maintained</t>
        </is>
      </c>
      <c r="X55" s="2" t="inlineStr">
        <is>
          <t>FALSE</t>
        </is>
      </c>
      <c r="Y55" s="2" t="n"/>
      <c r="Z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n"/>
      <c r="H56" s="2" t="inlineStr">
        <is>
          <t>Fiscal sponsorship (academic institution)</t>
        </is>
      </c>
      <c r="I56" s="2" t="n"/>
      <c r="J56" s="2" t="n"/>
      <c r="K56" s="2" t="inlineStr">
        <is>
          <t>FALSE</t>
        </is>
      </c>
      <c r="L56" s="2" t="n"/>
      <c r="M56" s="2" t="n"/>
      <c r="N56" s="2" t="inlineStr">
        <is>
          <t>2024-01-01</t>
        </is>
      </c>
      <c r="O56" s="2" t="inlineStr">
        <is>
          <t>Please provide a brief organizational history.</t>
        </is>
      </c>
      <c r="P56" s="2" t="inlineStr">
        <is>
          <t>ImpactU is created and coordinated by CoLaV at the Universidad de Antioquia, the Universidad del Valle, the Universidad Externado de Colombia and the Universidad Autonoma Latinoamericana. It is in the process of constituting a national consortium authorized by ASCUN which will democratize ownership between all the Colombian institutions interested in membership.</t>
        </is>
      </c>
      <c r="Q56" s="2" t="n"/>
      <c r="R56" s="2" t="inlineStr">
        <is>
          <t>Contributions</t>
        </is>
      </c>
      <c r="S56" s="2" t="n"/>
      <c r="T56" s="2" t="inlineStr">
        <is>
          <t>Through solution provider or third party vendor</t>
        </is>
      </c>
      <c r="U56" s="2" t="n"/>
      <c r="V56" s="2" t="inlineStr">
        <is>
          <t>Actual system proven in operational environment</t>
        </is>
      </c>
      <c r="W56" s="2" t="inlineStr">
        <is>
          <t>Actively Maintained</t>
        </is>
      </c>
      <c r="X56" s="2" t="inlineStr">
        <is>
          <t>FALSE</t>
        </is>
      </c>
      <c r="Y56" s="2" t="n"/>
      <c r="Z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n"/>
      <c r="H57" s="2" t="inlineStr">
        <is>
          <t>Non-profit organization</t>
        </is>
      </c>
      <c r="I57" s="2" t="n"/>
      <c r="J57" s="2" t="n"/>
      <c r="K57" s="2" t="inlineStr">
        <is>
          <t>FALSE</t>
        </is>
      </c>
      <c r="L57" s="2" t="inlineStr">
        <is>
          <t>1-5</t>
        </is>
      </c>
      <c r="M57" s="2" t="inlineStr">
        <is>
          <t>11-20</t>
        </is>
      </c>
      <c r="N57" s="2" t="inlineStr">
        <is>
          <t>2011-01-01</t>
        </is>
      </c>
      <c r="O57" s="2" t="inlineStr">
        <is>
          <t>The IGSN was developed as part of SESAR with the support of the National Science Foundation at the Lamont–Doherty Earth Observatory. The project was initiated and managed by the Geoinformatics for Geochemistry Program under the direction of Kerstin Lehnert to address data curation obstacles such as different samples that share the same name and samples that are renamed as they move between laboratories and thus generating analyses that are published under different aliases. As a result, metadata that ensures unique identification is often missing, and this causes irritation for future reuse of data from a sample or the sample itself. Sample databases, such as the SESAR database, are designed to address these issues.
https://en.wikipedia.org/wiki/International_Generic_Sample_Number</t>
        </is>
      </c>
      <c r="P57" s="2" t="inlineStr">
        <is>
          <t>DataCite e.V.
SESAR
GFZ Data Services
Kiel University IGSN Service
Lithodat Pty Ltd
Commonwealth Scientific and Industrial Research Organisation
Institut Français de Recherche pour l'Exploitation de la Mer</t>
        </is>
      </c>
      <c r="Q57" s="2" t="inlineStr">
        <is>
          <t>Lamont-Doherty Earth Observatory, Columbia University of New York
Helmholtz Centre Potsdam German Research Centre for Geosciences GFZ
Scripps Oceanographic Institution
City College New York
LacCore National Lacustrine Core Facility 
Commonwealth Scientific and Industrial Research Organisation
Oregon State University
Boise State University
Arizona State Geologic Survey
GEOMAR Helmholtz Centre for Ocean Research Kiel
European Geosciences Union</t>
        </is>
      </c>
      <c r="R57" s="2" t="inlineStr">
        <is>
          <t>Contributions</t>
        </is>
      </c>
      <c r="S57" s="2" t="n"/>
      <c r="T57" s="2" t="inlineStr">
        <is>
          <t>Through solution provider only</t>
        </is>
      </c>
      <c r="U57" s="2" t="inlineStr">
        <is>
          <t>https://ev.igsn.org/resources/igsn-agents-and-registration</t>
        </is>
      </c>
      <c r="V57" s="2" t="inlineStr">
        <is>
          <t>Actual system proven in operational environment</t>
        </is>
      </c>
      <c r="W57" s="2" t="inlineStr">
        <is>
          <t>Actively Maintained</t>
        </is>
      </c>
      <c r="X57" s="2" t="inlineStr">
        <is>
          <t>FALSE</t>
        </is>
      </c>
      <c r="Y57" s="2" t="n"/>
      <c r="Z57" s="2" t="n"/>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InvenioRDM is currently funded by the participating institutions and through grants to the participating. Primary funding needs is related to core maintenance activities such as improving the upgrade experience and system administration documentation.</t>
        </is>
      </c>
      <c r="H58" s="2" t="inlineStr">
        <is>
          <t>Volunteer community</t>
        </is>
      </c>
      <c r="I58" s="2" t="n"/>
      <c r="J58" s="2" t="n"/>
      <c r="K58" s="2" t="inlineStr">
        <is>
          <t>FALSE</t>
        </is>
      </c>
      <c r="L58" s="2" t="n"/>
      <c r="M58" s="2" t="n"/>
      <c r="N58" s="2" t="inlineStr">
        <is>
          <t>2018-01-01</t>
        </is>
      </c>
      <c r="O58" s="2" t="inlineStr">
        <is>
          <t>InvenioRDM has been an open source community since the beginning.</t>
        </is>
      </c>
      <c r="P58" s="2" t="n"/>
      <c r="Q58" s="2" t="n"/>
      <c r="R58" s="2" t="inlineStr">
        <is>
          <t>Contributions</t>
        </is>
      </c>
      <c r="S58" s="2" t="n"/>
      <c r="T58" s="2" t="inlineStr">
        <is>
          <t>No services available</t>
        </is>
      </c>
      <c r="U58" s="2" t="n"/>
      <c r="V58" s="2" t="inlineStr">
        <is>
          <t>System complete and qualified</t>
        </is>
      </c>
      <c r="W58" s="2" t="inlineStr">
        <is>
          <t>Actively Maintained</t>
        </is>
      </c>
      <c r="X58" s="2" t="inlineStr">
        <is>
          <t>FALSE</t>
        </is>
      </c>
      <c r="Y58" s="2" t="n"/>
      <c r="Z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The goal of long-term sustainability of the software within the University environment requires membership and support contracts.</t>
        </is>
      </c>
      <c r="H59" s="2" t="inlineStr">
        <is>
          <t>Fiscal sponsorship (academic institution)</t>
        </is>
      </c>
      <c r="I59" s="2" t="n"/>
      <c r="J59" s="2" t="n"/>
      <c r="K59" s="2" t="inlineStr">
        <is>
          <t>FALSE</t>
        </is>
      </c>
      <c r="L59" s="2" t="inlineStr">
        <is>
          <t>6-10</t>
        </is>
      </c>
      <c r="M59" s="2" t="inlineStr">
        <is>
          <t>0</t>
        </is>
      </c>
      <c r="N59" s="2" t="inlineStr">
        <is>
          <t>2006-01-01</t>
        </is>
      </c>
      <c r="O59" s="2" t="inlineStr">
        <is>
          <t>In 1995, the Data Intensive Computing Environments (DICE) group at the San Diego Supercomputer Center kicked off a data management project known as the Storage Resource Broker (SRB). The Storage Resource Broker demonstrated the promise of a logical distributed file system that presents users with a single global logical namespace.
The integrated Rule-Oriented Data System (iRODS), was created by the DICE group in 2006 to advance the concepts explored in SRB, but re-written from scratch, as open source software, around a highly-configurable Rule Engine. In 2008, the Renaissance Computing Institute (RENCI) at the University of North Carolina at Chapel Hill (UNC-CH) formed a dedicated iRODS software engineering team to explore enterprise-grade iRODS technology development. In 2013, RENCI founded the iRODS Consortium, to further the mission and sustainability of iRODS technology.</t>
        </is>
      </c>
      <c r="P59" s="2" t="inlineStr">
        <is>
          <t>Executive Board Members (Premier Level)</t>
        </is>
      </c>
      <c r="Q59" s="2" t="inlineStr">
        <is>
          <t>Reagan Moore
Arcot Rajasekar
San Diego Supercomputer Center (SDSC)
Charles Schmitt
Jason Coposky
Terrell Russell
Renaissance Computing Institute (RENCI)
University of North Carolina at Chapel Hill (UNC-Chapel Hill)</t>
        </is>
      </c>
      <c r="R59" s="2" t="inlineStr">
        <is>
          <t>Program service revenue</t>
        </is>
      </c>
      <c r="S59" s="2" t="n"/>
      <c r="T59" s="2" t="inlineStr">
        <is>
          <t>Through solution provider or third party vendor</t>
        </is>
      </c>
      <c r="U59" s="2" t="inlineStr">
        <is>
          <t>https://irods.org/general-support/</t>
        </is>
      </c>
      <c r="V59" s="2" t="inlineStr">
        <is>
          <t>Actual system proven in operational environment</t>
        </is>
      </c>
      <c r="W59" s="2" t="inlineStr">
        <is>
          <t>Actively Maintained</t>
        </is>
      </c>
      <c r="X59" s="2" t="inlineStr">
        <is>
          <t>FALSE</t>
        </is>
      </c>
      <c r="Y59" s="2" t="n"/>
      <c r="Z59" s="2" t="n"/>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In an environment of institutional paucity, it is harder to find high-tier memberships that fund the Foundation's work to foster and curate community development. Funding supports the Foundation's mission to maintain key systems, host events, and fund software development.</t>
        </is>
      </c>
      <c r="H60" s="2" t="inlineStr">
        <is>
          <t>Fiscal sponsorship (non-profit)</t>
        </is>
      </c>
      <c r="I60" s="2" t="n"/>
      <c r="J60" s="2" t="n"/>
      <c r="K60" s="2" t="inlineStr">
        <is>
          <t>FALSE</t>
        </is>
      </c>
      <c r="L60" s="2" t="n"/>
      <c r="M60" s="2" t="n"/>
      <c r="N60" s="2" t="inlineStr">
        <is>
          <t>2010-01-01</t>
        </is>
      </c>
      <c r="O60" s="2" t="inlineStr">
        <is>
          <t>Islandora was born at the University of Prince Edward Island. In 2010, UPEI received an Atlantic Innovation Fund grant to take their excellent, home-grown software to the world.</t>
        </is>
      </c>
      <c r="P60" s="2" t="n"/>
      <c r="Q60" s="2" t="n"/>
      <c r="R60" s="2" t="inlineStr">
        <is>
          <t>Contributions</t>
        </is>
      </c>
      <c r="S60" s="2" t="n"/>
      <c r="T60" s="2" t="inlineStr">
        <is>
          <t>Through third party vendor only</t>
        </is>
      </c>
      <c r="U60" s="2" t="n"/>
      <c r="V60" s="2" t="inlineStr">
        <is>
          <t>Actual system proven in operational environment</t>
        </is>
      </c>
      <c r="W60" s="2" t="inlineStr">
        <is>
          <t>Actively Maintained</t>
        </is>
      </c>
      <c r="X60" s="2" t="inlineStr">
        <is>
          <t>FALSE</t>
        </is>
      </c>
      <c r="Y60" s="2" t="n"/>
      <c r="Z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&lt;p&gt;Janeway is part funded by the Open Library of Humanities, Birkbeck, University of London and through commercial hosting agreements. Any additional funding will be used to continue the development of Janeway including:
&lt;ul&gt;
&lt;li&gt; Work on accessibility
&lt;li&gt; Internationalisation
&lt;li&gt; Expansion of Janeway to provide an easy to use Institutional Repository system
&lt;/ul&gt;
&lt;/p&gt;</t>
        </is>
      </c>
      <c r="H61" s="2" t="inlineStr">
        <is>
          <t>Fiscal sponsorship (academic institution)</t>
        </is>
      </c>
      <c r="I61" s="2" t="n"/>
      <c r="J61" s="2" t="n"/>
      <c r="K61" s="2" t="inlineStr">
        <is>
          <t>FALSE</t>
        </is>
      </c>
      <c r="L61" s="2" t="n"/>
      <c r="M61" s="2" t="n"/>
      <c r="N61" s="2" t="inlineStr">
        <is>
          <t>2017-01-01</t>
        </is>
      </c>
      <c r="O61" s="2" t="inlineStr">
        <is>
          <t>Janeway was founded by Martin Eve and Andy Byers at the Open Library of Humanities (OLH), a charity registered in the United Kingdom. As all staff were employed by Birkbeck, University of London and the charitable goals of both organisations were similiar it was decided that in 2021 OLH should merge with Birkbeck.</t>
        </is>
      </c>
      <c r="P61" s="2" t="n"/>
      <c r="Q61" s="2" t="n"/>
      <c r="R61" s="2" t="inlineStr">
        <is>
          <t>Program service revenue</t>
        </is>
      </c>
      <c r="S61" s="2" t="n"/>
      <c r="T61" s="2" t="inlineStr">
        <is>
          <t>Through solution provider only</t>
        </is>
      </c>
      <c r="U61" s="2" t="n"/>
      <c r="V61" s="2" t="inlineStr">
        <is>
          <t>Actual system proven in operational environment</t>
        </is>
      </c>
      <c r="W61" s="2" t="inlineStr">
        <is>
          <t>Actively Maintained</t>
        </is>
      </c>
      <c r="X61" s="2" t="inlineStr">
        <is>
          <t>FALSE</t>
        </is>
      </c>
      <c r="Y61" s="2" t="n"/>
      <c r="Z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We are grateful for donations of any size which go towards the cost of hosting, development effort, community building and the creation of documentation, user guides, and training materials.</t>
        </is>
      </c>
      <c r="H62" s="2" t="inlineStr">
        <is>
          <t>Non-profit organization</t>
        </is>
      </c>
      <c r="I62" s="2" t="n"/>
      <c r="J62" s="2" t="inlineStr">
        <is>
          <t>Foundation</t>
        </is>
      </c>
      <c r="K62" s="2" t="inlineStr">
        <is>
          <t>FALSE</t>
        </is>
      </c>
      <c r="L62" s="2" t="inlineStr">
        <is>
          <t>1-5</t>
        </is>
      </c>
      <c r="M62" s="2" t="inlineStr">
        <is>
          <t>0</t>
        </is>
      </c>
      <c r="N62" s="2" t="inlineStr">
        <is>
          <t>2006-01-01</t>
        </is>
      </c>
      <c r="O62" s="2" t="inlineStr">
        <is>
          <t>The OPF was established in 2010 to sustain the outcomes of an EU-funded research and development project called Planets. The project's goal was to create tools and services to ensure long-term access to digital cultural and scientific assets. The Foundation’s goal was then to build on the project’s collaborative, practical approach to advancing digital preservation. In 2014 the OPF changed its name from the Open Planets Foundation to the Open Preservation Foundation to reflect our evolution and relevance within a growing field. The OPF operates as an independent, not-for-profit membership organisation, welcoming digital preservation practitioners from around the world to our open-source community.</t>
        </is>
      </c>
      <c r="P62" s="2" t="inlineStr">
        <is>
          <t>&lt;a href="https://openpreservation.org/membership/meet-our-members/" target="_blank"&gt;OPF Membership&lt;/a&gt;</t>
        </is>
      </c>
      <c r="Q62" s="2" t="inlineStr">
        <is>
          <t>Harvard University Library https://library.harvard.edu/
JSTOR http://www.jstor.org/ now part of Ithaka https://www.ithaka.org/
Andrew M Mellon Foundation https://www.mellon.org/</t>
        </is>
      </c>
      <c r="R62" s="2" t="inlineStr">
        <is>
          <t>Contributions</t>
        </is>
      </c>
      <c r="S62" s="2" t="n"/>
      <c r="T62" s="2" t="inlineStr">
        <is>
          <t>No services available</t>
        </is>
      </c>
      <c r="U62" s="2" t="n"/>
      <c r="V62" s="2" t="inlineStr">
        <is>
          <t>Actual system proven in operational environment</t>
        </is>
      </c>
      <c r="W62" s="2" t="inlineStr">
        <is>
          <t>Actively Maintained</t>
        </is>
      </c>
      <c r="X62" s="2" t="inlineStr">
        <is>
          <t>FALSE</t>
        </is>
      </c>
      <c r="Y62" s="2" t="n"/>
      <c r="Z62" s="2" t="n"/>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LA Referencia’s operations have been financed exclusively with the annual contributions of the member countries, with occasional grant funding for innovation or the development of new functionalities. This budget supports the development and ongoing maintenance of the aggregation software in the central node and the country nodes. But if we think in the expansion of services, technological updating and consolidate a platform for the implementation of Open Science public policies, LA Referencia requires an additional funding source, otherwise may be in the risk of falling behind the current challenges.</t>
        </is>
      </c>
      <c r="H63" s="2" t="inlineStr">
        <is>
          <t>Non-profit organization</t>
        </is>
      </c>
      <c r="I63" s="2" t="n"/>
      <c r="J63" s="2" t="n"/>
      <c r="K63" s="2" t="inlineStr">
        <is>
          <t>FALSE</t>
        </is>
      </c>
      <c r="L63" s="2" t="n"/>
      <c r="M63" s="2" t="n"/>
      <c r="N63" s="2" t="inlineStr">
        <is>
          <t>2012-01-01</t>
        </is>
      </c>
      <c r="O63" s="2" t="inlineStr">
        <is>
          <t>&lt;p&gt;LA Referencia originated as a project coordinated by the Latin American Cooperation of Advanced Networks (RedCLARA) and funded by the Public Goods Fund of the Inter-American Development Bank (IDB) from 2010 to 2013. It involved the collaboration of scientific and technological institutions alongside a portion of the Network Research and Education Networks (NRENs) in the region.&lt;/p&gt;
&lt;p&gt;Initially, its focus was on establishing agreements and policies related to federated access, standardized policies, interoperability standards, and a technology pilot.&lt;/p&gt;
&lt;p&gt;In this context, LA Referencia emerged from the Cooperation Agreement signed in Buenos Aires in 2012. This agreement reflected the political determination to provide the scientific output of Latin America openly, emphasizing the regional public benefit of works financed with public funds.&lt;/p&gt;
&lt;p&gt;Following the conclusion of the IDB project in 2013, the network transitioned into a permanent initiative sustained by the national authorities in Science and Technology across the region, with the backing of RedCLARA. The primary goal remains the establishment of an open access strategy for scientific publications based on national policies and the development of services intended for the public good&lt;/p&gt;
&lt;a href="https://www.lareferencia.info/en/institutional/history" target="_blank"&gt;Source&lt;/a&gt;</t>
        </is>
      </c>
      <c r="P63" s="2" t="n"/>
      <c r="Q63" s="2" t="n"/>
      <c r="R63" s="2" t="inlineStr">
        <is>
          <t>Other</t>
        </is>
      </c>
      <c r="S63" s="2" t="n"/>
      <c r="T63" s="2" t="inlineStr">
        <is>
          <t>Not applicable</t>
        </is>
      </c>
      <c r="U63" s="2" t="n"/>
      <c r="V63" s="2" t="inlineStr">
        <is>
          <t>Actual system proven in operational environment</t>
        </is>
      </c>
      <c r="W63" s="2" t="inlineStr">
        <is>
          <t>Actively Maintained</t>
        </is>
      </c>
      <c r="X63" s="2" t="inlineStr">
        <is>
          <t>FALSE</t>
        </is>
      </c>
      <c r="Y63" s="2" t="n"/>
      <c r="Z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&lt;p&gt;Funding will enable us to develop new features that have been requested by our publishers, such as:&lt;/p&gt;
&lt;p&gt;&lt;strong&gt;OAI-PMH feed:&lt;/strong&gt; To help facilitate the inclusion of Manifold projects in library and agency collections, we are going to expose Manifold metadata via instance-specific OAI-PMH feeds.&lt;/p&gt;
&lt;p&gt;&lt;strong&gt;External authentication:&lt;/strong&gt; We will develop and document options for integrating Manifold with external login via LDAP, Oauth, or SAML. When configured with a university’s authentication management system, students will be able to log into Manifold using their existing school credentials. This will ease one of the major barriers to using Manifold in the classroom, which currently involves the creation of a new account or authentication through third-party services like Google or Twitter.&lt;/p&gt;
&lt;p&gt;&lt;strong&gt;Resources revisited:&lt;/strong&gt; We are going to revisit how resources display in the reader and add support for additional ways of embedding resources into texts.&lt;/p&gt;
&lt;p&gt;&lt;strong&gt;Code splitting:&lt;/strong&gt; When the Manifold client application is requested, Manifold currently returns a very large bundle that includes all code. Code splitting involves splitting this bundle into smaller bundles, which will reduce the time it takes for the initial render to take place. Reducing the bundle size will lead to improved performance, especially on low-bandwidth connections.&lt;/p&gt;
&lt;p&gt;We will also use funding to maintain the established Manifold codebase and support the growth of the Manifold user community&lt;/p&gt;</t>
        </is>
      </c>
      <c r="H64" s="2" t="inlineStr">
        <is>
          <t>Non-profit organization</t>
        </is>
      </c>
      <c r="I64" s="2" t="n"/>
      <c r="J64" s="2" t="n"/>
      <c r="K64" s="2" t="inlineStr">
        <is>
          <t>FALSE</t>
        </is>
      </c>
      <c r="L64" s="2" t="n"/>
      <c r="M64" s="2" t="n"/>
      <c r="N64" s="2" t="inlineStr">
        <is>
          <t>2018-01-01</t>
        </is>
      </c>
      <c r="O64" s="2" t="inlineStr">
        <is>
          <t>&lt;a href="https://manifoldapp.org/history" "target=_blank"&gt;Organizational history&lt;/a&gt;</t>
        </is>
      </c>
      <c r="P64" s="2" t="n"/>
      <c r="Q64" s="2" t="n"/>
      <c r="R64" s="2" t="inlineStr">
        <is>
          <t>Program service revenue</t>
        </is>
      </c>
      <c r="S64" s="2" t="n"/>
      <c r="T64" s="2" t="inlineStr">
        <is>
          <t>Through third party vendor only</t>
        </is>
      </c>
      <c r="U64" s="2" t="n"/>
      <c r="V64" s="2" t="inlineStr">
        <is>
          <t>Actual system proven in operational environment</t>
        </is>
      </c>
      <c r="W64" s="2" t="inlineStr">
        <is>
          <t>Actively Maintained</t>
        </is>
      </c>
      <c r="X64" s="2" t="inlineStr">
        <is>
          <t>FALSE</t>
        </is>
      </c>
      <c r="Y64" s="2" t="n"/>
      <c r="Z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The Chan Zuckerberg Initiative and Cold Spring Harbor Laboratory provide support for the operation of the servers at their current scale. Diversifying and extending this base of support will enable (1) vigorous promotion and advocacy for the use of preprints in underserved disciplines and research communities worldwide that will increase the volume of preprints; (2) integration with more journals to provide authors with more choices for manuscript transfer; (3) the development of automated tools to assist manuscript screening at scale; (4) the application of technologies that enhance the accessibility of preprints among broader audiences; (5) the adoption of new and improved technologies that enable the servers to operate more cost-effectively as they continue to grow.</t>
        </is>
      </c>
      <c r="H65" s="2" t="inlineStr">
        <is>
          <t>Fiscal sponsorship (non-profit)</t>
        </is>
      </c>
      <c r="I65" s="2" t="n"/>
      <c r="J65" s="2" t="n"/>
      <c r="K65" s="2" t="inlineStr">
        <is>
          <t>FALSE</t>
        </is>
      </c>
      <c r="L65" s="2" t="n"/>
      <c r="M65" s="2" t="n"/>
      <c r="N65" s="2" t="inlineStr">
        <is>
          <t>2019-01-01</t>
        </is>
      </c>
      <c r="O65" s="2" t="inlineStr">
        <is>
          <t>No change</t>
        </is>
      </c>
      <c r="P65" s="2" t="n"/>
      <c r="Q65" s="2" t="n"/>
      <c r="R65" s="2" t="inlineStr">
        <is>
          <t>Contributions</t>
        </is>
      </c>
      <c r="S65" s="2" t="n"/>
      <c r="T65" s="2" t="inlineStr">
        <is>
          <t>Through solution provider or third party vendor</t>
        </is>
      </c>
      <c r="U65" s="2" t="n"/>
      <c r="V65" s="2" t="inlineStr">
        <is>
          <t>Actual system proven in operational environment</t>
        </is>
      </c>
      <c r="W65" s="2" t="inlineStr">
        <is>
          <t>Actively Maintained</t>
        </is>
      </c>
      <c r="X65" s="2" t="inlineStr">
        <is>
          <t>FALSE</t>
        </is>
      </c>
      <c r="Y65" s="2" t="n"/>
      <c r="Z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Members of the METS editorial board are reliant on in-kind support from their home institutions through travel and time to support the work of the METS editorial board.</t>
        </is>
      </c>
      <c r="H66" s="2" t="inlineStr">
        <is>
          <t>Volunteer community</t>
        </is>
      </c>
      <c r="I66" s="2" t="n"/>
      <c r="J66" s="2" t="n"/>
      <c r="K66" s="2" t="inlineStr">
        <is>
          <t>FALSE</t>
        </is>
      </c>
      <c r="L66" s="2" t="inlineStr">
        <is>
          <t>0</t>
        </is>
      </c>
      <c r="M66" s="2" t="inlineStr">
        <is>
          <t>1-5</t>
        </is>
      </c>
      <c r="N66" s="2" t="inlineStr">
        <is>
          <t>2001-01-01</t>
        </is>
      </c>
      <c r="O66" s="2" t="inlineStr">
        <is>
          <t>The METS XML schema was created in 2001 under the sponsorship of the Digital Library Federation (DLF). The METS schema and documentation is hosted by the Library of Congress. METS is governed by the METS Editorial Board, which functions as an independent community group.</t>
        </is>
      </c>
      <c r="P66" s="2" t="inlineStr">
        <is>
          <t>Library of Congress provides hosting support for the METS schema; the METS editorial board functions as an independent community group.</t>
        </is>
      </c>
      <c r="Q66" s="2" t="n"/>
      <c r="R66" s="2" t="inlineStr">
        <is>
          <t>Other</t>
        </is>
      </c>
      <c r="S66" s="2" t="inlineStr">
        <is>
          <t>No direct funding</t>
        </is>
      </c>
      <c r="T66" s="2" t="inlineStr">
        <is>
          <t>Not applicable</t>
        </is>
      </c>
      <c r="U66" s="2" t="n"/>
      <c r="V66" s="2" t="inlineStr">
        <is>
          <t>Actual system proven in operational environment</t>
        </is>
      </c>
      <c r="W66" s="2" t="inlineStr">
        <is>
          <t>Actively Maintained</t>
        </is>
      </c>
      <c r="X66" s="2" t="inlineStr">
        <is>
          <t>FALSE</t>
        </is>
      </c>
      <c r="Y66" s="2" t="n"/>
      <c r="Z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n"/>
      <c r="H67" s="2" t="inlineStr">
        <is>
          <t>Volunteer community</t>
        </is>
      </c>
      <c r="I67" s="2" t="n"/>
      <c r="J67" s="2" t="n"/>
      <c r="K67" s="2" t="inlineStr">
        <is>
          <t>FALSE</t>
        </is>
      </c>
      <c r="L67" s="2" t="n"/>
      <c r="M67" s="2" t="n"/>
      <c r="N67" s="2" t="inlineStr">
        <is>
          <t>2013-01-01</t>
        </is>
      </c>
      <c r="O67" s="2" t="inlineStr">
        <is>
          <t>Founded at Stanford University Libraries, DLSS (Digital Library Systems + Services), but developers and contributors from MANY institutions have contributed to make Mirador what it is today.</t>
        </is>
      </c>
      <c r="P67" s="2" t="n"/>
      <c r="Q67" s="2" t="n"/>
      <c r="R67" s="2" t="inlineStr">
        <is>
          <t>Other</t>
        </is>
      </c>
      <c r="S67" s="2" t="n"/>
      <c r="T67" s="2" t="inlineStr">
        <is>
          <t>Not applicable</t>
        </is>
      </c>
      <c r="U67" s="2" t="n"/>
      <c r="V67" s="2" t="inlineStr">
        <is>
          <t>Actual system proven in operational environment</t>
        </is>
      </c>
      <c r="W67" s="2" t="inlineStr">
        <is>
          <t>Actively Maintained</t>
        </is>
      </c>
      <c r="X67" s="2" t="inlineStr">
        <is>
          <t>FALSE</t>
        </is>
      </c>
      <c r="Y67" s="2" t="n"/>
      <c r="Z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n"/>
      <c r="H68" s="2" t="inlineStr">
        <is>
          <t>Fiscal sponsorship (academic institution)</t>
        </is>
      </c>
      <c r="I68" s="2" t="n"/>
      <c r="J68" s="2" t="n"/>
      <c r="K68" s="2" t="inlineStr">
        <is>
          <t>FALSE</t>
        </is>
      </c>
      <c r="L68" s="2" t="n"/>
      <c r="M68" s="2" t="n"/>
      <c r="N68" s="2" t="inlineStr">
        <is>
          <t>2007-01-01</t>
        </is>
      </c>
      <c r="O68" s="2" t="inlineStr">
        <is>
          <t>In 2007, Warumungu community members collaborated with Kim Christen and Craig Dietrich to produce the Mukurtu Wumpurrarni-kari Archive. In 2010, Kim Christen received a $50,000 Digital Startup Grant for Mukurtu, followed by a $319,000 implementation grant in 2013 that lead to the alpha, beta and then the 1.0 release of Mukurtu CMS. After releasing Mukurtu CMS 2.0, based on Drupal, 7 the team at the Center for Digital Scholarship and Curation has led the technical and organizational direction of Mukurtu CMS with support from the Insititute of Museum and Library Services, the National Endowment for the Humanities, National Science Foundation and the Andrew W. Mellon Foundation</t>
        </is>
      </c>
      <c r="P68" s="2" t="n"/>
      <c r="Q68" s="2" t="n"/>
      <c r="R68" s="2" t="inlineStr">
        <is>
          <t>Contributions</t>
        </is>
      </c>
      <c r="S68" s="2" t="n"/>
      <c r="T68" s="2" t="inlineStr">
        <is>
          <t>Through third party vendor only</t>
        </is>
      </c>
      <c r="U68" s="2" t="n"/>
      <c r="V68" s="2" t="inlineStr">
        <is>
          <t>Actual system proven in operational environment</t>
        </is>
      </c>
      <c r="W68" s="2" t="inlineStr">
        <is>
          <t>Actively Maintained</t>
        </is>
      </c>
      <c r="X68" s="2" t="inlineStr">
        <is>
          <t>FALSE</t>
        </is>
      </c>
      <c r="Y68" s="2" t="n"/>
      <c r="Z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n"/>
      <c r="H69" s="2" t="inlineStr">
        <is>
          <t>Volunteer community</t>
        </is>
      </c>
      <c r="I69" s="2" t="n"/>
      <c r="J69" s="2" t="n"/>
      <c r="K69" s="2" t="inlineStr">
        <is>
          <t>FALSE</t>
        </is>
      </c>
      <c r="L69" s="2" t="inlineStr">
        <is>
          <t>1-5</t>
        </is>
      </c>
      <c r="M69" s="2" t="inlineStr">
        <is>
          <t>6-10</t>
        </is>
      </c>
      <c r="N69" s="2" t="inlineStr">
        <is>
          <t>2001-01-01</t>
        </is>
      </c>
      <c r="O69" s="2" t="inlineStr">
        <is>
          <t>The project participants are people who work at german universities, computer centers and libraries an other german institutions.</t>
        </is>
      </c>
      <c r="P69" s="2" t="inlineStr">
        <is>
          <t xml:space="preserve"> Regional Computer Center, Hamburg University</t>
        </is>
      </c>
      <c r="Q69" s="2" t="n"/>
      <c r="R69" s="2" t="inlineStr">
        <is>
          <t>Contributions</t>
        </is>
      </c>
      <c r="S69" s="2" t="n"/>
      <c r="T69" s="2" t="inlineStr">
        <is>
          <t>Through solution provider only</t>
        </is>
      </c>
      <c r="U69" s="2" t="n"/>
      <c r="V69" s="2" t="inlineStr">
        <is>
          <t>Actual system proven in operational environment</t>
        </is>
      </c>
      <c r="W69" s="2" t="inlineStr">
        <is>
          <t>Actively Maintained</t>
        </is>
      </c>
      <c r="X69" s="2" t="inlineStr">
        <is>
          <t>FALSE</t>
        </is>
      </c>
      <c r="Y69" s="2" t="n"/>
      <c r="Z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Sustainable funding for full-time project roles.</t>
        </is>
      </c>
      <c r="H70" s="2" t="inlineStr">
        <is>
          <t>Fiscal sponsorship (non-profit)</t>
        </is>
      </c>
      <c r="I70" s="2" t="n"/>
      <c r="J70" s="2" t="n"/>
      <c r="K70" s="2" t="inlineStr">
        <is>
          <t>FALSE</t>
        </is>
      </c>
      <c r="L70" s="2" t="inlineStr">
        <is>
          <t>1-5</t>
        </is>
      </c>
      <c r="M70" s="2" t="inlineStr">
        <is>
          <t>6-10</t>
        </is>
      </c>
      <c r="N70" s="2" t="inlineStr">
        <is>
          <t>2005-01-01</t>
        </is>
      </c>
      <c r="O70" s="2" t="inlineStr">
        <is>
          <t>https://www.nature.com/articles/s41586-020-2649-2</t>
        </is>
      </c>
      <c r="P70" s="2" t="inlineStr">
        <is>
          <t>NumFOCUS; UC Berkeley; Quansight; NVIDIA</t>
        </is>
      </c>
      <c r="Q70" s="2" t="inlineStr">
        <is>
          <t>Travis Oliphant</t>
        </is>
      </c>
      <c r="R70" s="2" t="inlineStr">
        <is>
          <t>Contributions</t>
        </is>
      </c>
      <c r="S70" s="2" t="inlineStr">
        <is>
          <t>Grants, in-kind contributions</t>
        </is>
      </c>
      <c r="T70" s="2" t="inlineStr">
        <is>
          <t>Not applicable</t>
        </is>
      </c>
      <c r="U70" s="2" t="n"/>
      <c r="V70" s="2" t="inlineStr">
        <is>
          <t>Actual system proven in operational environment</t>
        </is>
      </c>
      <c r="W70" s="2" t="inlineStr">
        <is>
          <t>Actively Maintained</t>
        </is>
      </c>
      <c r="X70" s="2" t="inlineStr">
        <is>
          <t>FALSE</t>
        </is>
      </c>
      <c r="Y70" s="2" t="n"/>
      <c r="Z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We'd welcome additional funding for OA.Report to support:
* Developing more analyses to help organizations understand how open their research is, and what impact that has.
* Developing more actions to help organizations increase how much of their research is Open.
* Investment in "long term" solutions to the challenges OA.Report solves (e.g. supporting the adoption of Grant DOIs).</t>
        </is>
      </c>
      <c r="H71" s="2" t="inlineStr">
        <is>
          <t>Fiscal sponsorship (non-profit)</t>
        </is>
      </c>
      <c r="I71" s="2" t="n"/>
      <c r="J71" s="2" t="n"/>
      <c r="K71" s="2" t="inlineStr">
        <is>
          <t>FALSE</t>
        </is>
      </c>
      <c r="L71" s="2" t="inlineStr">
        <is>
          <t>6-10</t>
        </is>
      </c>
      <c r="M71" s="2" t="inlineStr">
        <is>
          <t>0</t>
        </is>
      </c>
      <c r="N71" s="2" t="inlineStr">
        <is>
          <t>2020-01-01</t>
        </is>
      </c>
      <c r="O71" s="2" t="inlineStr">
        <is>
          <t>https://oa.works/about/history/</t>
        </is>
      </c>
      <c r="P71" s="2" t="inlineStr">
        <is>
          <t>Code for Science &amp; Society (fiscal sponsor of OA.Works)</t>
        </is>
      </c>
      <c r="Q71" s="2" t="inlineStr">
        <is>
          <t>Joseph McArthur
David Carroll</t>
        </is>
      </c>
      <c r="R71" s="2" t="inlineStr">
        <is>
          <t>Contributions</t>
        </is>
      </c>
      <c r="S71" s="2" t="n"/>
      <c r="T71" s="2" t="inlineStr">
        <is>
          <t>Through solution provider only</t>
        </is>
      </c>
      <c r="U71" s="2" t="n"/>
      <c r="V71" s="2" t="inlineStr">
        <is>
          <t>Actual system proven in operational environment</t>
        </is>
      </c>
      <c r="W71" s="2" t="inlineStr">
        <is>
          <t>Actively Maintained</t>
        </is>
      </c>
      <c r="X71" s="2" t="inlineStr">
        <is>
          <t>FALSE</t>
        </is>
      </c>
      <c r="Y71" s="2" t="n"/>
      <c r="Z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&lt;p&gt;The OA Switchboard operates on a self-sustaining economic/business model, whereby the operational and development cost are supported by service fees (with transparent pricing) for participating funders, institutions and publishers. We charge fees for development and maintenance of the infrastructure, and for participants to exchange information and communicate. Pricing is transparent and we keep fees as low as possible to offer an affordable solution.
We can keep OA Switchboard participants’ fees low, because we’re open source, tightly managed for costs, and the load is shared between funders, institutions and publishers. There is an annual fixed (tiered) subscription fee.&lt;/p&gt;
&lt;p&gt;Grants and donations are used to fund specific initiatives, like the current &lt;a href="https://www.oaswitchboard.org/oabookspilot" target="_blank"&gt;OA Books pilot&lt;/a&gt;.&lt;/p&gt;</t>
        </is>
      </c>
      <c r="H72" s="2" t="inlineStr">
        <is>
          <t>Non-profit organization</t>
        </is>
      </c>
      <c r="I72" s="2" t="n"/>
      <c r="J72" s="2" t="inlineStr">
        <is>
          <t>Stichting van openbaar nut (SON)</t>
        </is>
      </c>
      <c r="K72" s="2" t="inlineStr">
        <is>
          <t>FALSE</t>
        </is>
      </c>
      <c r="L72" s="2" t="n"/>
      <c r="M72" s="2" t="n"/>
      <c r="N72" s="2" t="inlineStr">
        <is>
          <t>2021-01-01</t>
        </is>
      </c>
      <c r="O72" s="2" t="inlineStr">
        <is>
          <t>&lt;p&gt;The OA Switchboard is a mission-driven, community led initiative designed to simplify the sharing of information between stakeholders about open access publications throughout the whole publication journey.&lt;/p&gt;
&lt;p&gt;Following an initial meeting of key stakeholders in 2018, and throughout 2020, OASPA ran the foundational work as a project, with the aim of preparing the groundwork for the OA Switchboard to go live as an operational solution. It delivered a Minimum Viable Product (MVP) and a proposal for a sustainable governance and funding model.&lt;/p&gt;
&lt;p&gt;Following, in October 2020, Stichting (‘foundation’) OA Switchboard was founded. It consists of both a mission-driven community and a practical tool, currently supporting two use cases. The technical solution is a central metadata exchange hub, that provides a standardised messaging protocol and shared infrastructure. It is built by and for the people who use it, is leveraged with existing PIDs, and has been live since 1 January 2021. (&lt;a href="https://www.uksg.org/newsletter/uksg-enews-539/update-oa-switchboard" target="_blank"&gt;Source&lt;/a&gt;)&lt;/p&gt;</t>
        </is>
      </c>
      <c r="P72" s="2" t="n"/>
      <c r="Q72" s="2" t="n"/>
      <c r="R72" s="2" t="inlineStr">
        <is>
          <t>Other</t>
        </is>
      </c>
      <c r="S72" s="2" t="n"/>
      <c r="T72" s="2" t="inlineStr">
        <is>
          <t>Not applicable</t>
        </is>
      </c>
      <c r="U72" s="2" t="n"/>
      <c r="V72" s="2" t="inlineStr">
        <is>
          <t>Actual system proven in operational environment</t>
        </is>
      </c>
      <c r="W72" s="2" t="inlineStr">
        <is>
          <t>Actively Maintained</t>
        </is>
      </c>
      <c r="X72" s="2" t="inlineStr">
        <is>
          <t>FALSE</t>
        </is>
      </c>
      <c r="Y72" s="2" t="n"/>
      <c r="Z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Omeka has been independent and sustainable since 2016, through proceeds from responsibly priced hosting, support, training, and custom development services.</t>
        </is>
      </c>
      <c r="H73" s="2" t="inlineStr">
        <is>
          <t>Non-profit organization</t>
        </is>
      </c>
      <c r="I73" s="2" t="n"/>
      <c r="J73" s="2" t="n"/>
      <c r="K73" s="2" t="inlineStr">
        <is>
          <t>FALSE</t>
        </is>
      </c>
      <c r="L73" s="2" t="n"/>
      <c r="M73" s="2" t="n"/>
      <c r="N73" s="2" t="inlineStr">
        <is>
          <t>2008-01-01</t>
        </is>
      </c>
      <c r="O73" s="2" t="inlineStr">
        <is>
          <t>Omeka was created at the Roy Rosenzweig Center for History and New Media at George Mason University. The nonprofit Digital Scholar was founded in 2009 to develop and operate the business models for Omeka and Zotero. Digital Scholar is a non-stock corporation that operates following 501c3 guidelines.</t>
        </is>
      </c>
      <c r="P73" s="2" t="n"/>
      <c r="Q73" s="2" t="n"/>
      <c r="R73" s="2" t="inlineStr">
        <is>
          <t>Program service revenue</t>
        </is>
      </c>
      <c r="S73" s="2" t="n"/>
      <c r="T73" s="2" t="inlineStr">
        <is>
          <t>Through solution provider only</t>
        </is>
      </c>
      <c r="U73" s="2" t="n"/>
      <c r="V73" s="2" t="inlineStr">
        <is>
          <t>Actual system proven in operational environment</t>
        </is>
      </c>
      <c r="W73" s="2" t="inlineStr">
        <is>
          <t>Actively Maintained</t>
        </is>
      </c>
      <c r="X73" s="2" t="inlineStr">
        <is>
          <t>FALSE</t>
        </is>
      </c>
      <c r="Y73" s="2" t="n"/>
      <c r="Z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n"/>
      <c r="H74" s="2" t="inlineStr">
        <is>
          <t>Non-profit organization</t>
        </is>
      </c>
      <c r="I74" s="2" t="n"/>
      <c r="J74" s="2" t="n"/>
      <c r="K74" s="2" t="inlineStr">
        <is>
          <t>FALSE</t>
        </is>
      </c>
      <c r="L74" s="2" t="n"/>
      <c r="M74" s="2" t="n"/>
      <c r="N74" s="2" t="inlineStr">
        <is>
          <t>2018-01-01</t>
        </is>
      </c>
      <c r="O74" s="2" t="inlineStr">
        <is>
          <t>For nearly two decades, OpenAIRE has been collaborating closely with the European Commission to advance and promote Open Science principles on a global scale. These principles are founded in the belief that the free flow of knowledge is not only essential for advancing scientific discovery, but also crucial for our societies to thrive.
The popularity and adoption of Open Science has increased the availability of scientific and scholarly content. Scientific publications have traditionally been the main focus of Open Access, but datasets, protocols, methodologies, software, and workflows are becoming more openly available and accessible. Linking these heterogeneous research objects in a semantic manner is critical in order to provide a wealth of information that researchers can use to accelerate scientific discovery and collaboration, as well as to help research executives assess and comprehend the R&amp;I landscape. The OpenAIRE Graph exists to provide such a context.</t>
        </is>
      </c>
      <c r="P74" s="2" t="inlineStr">
        <is>
          <t>Athena Research Centre (ARC)
The National Research Council of Italy Institute of Information Science and Technologies (ISTI-CNR)
Interdisciplinary Centre for Mathematical and Computational Modelling at University of Warsaw (ICM)</t>
        </is>
      </c>
      <c r="Q74" s="2" t="n"/>
      <c r="R74" s="2" t="inlineStr">
        <is>
          <t>Program service revenue</t>
        </is>
      </c>
      <c r="S74" s="2" t="n"/>
      <c r="T74" s="2" t="inlineStr">
        <is>
          <t>Not applicable</t>
        </is>
      </c>
      <c r="U74" s="2" t="n"/>
      <c r="V74" s="2" t="inlineStr">
        <is>
          <t>Actual system proven in operational environment</t>
        </is>
      </c>
      <c r="W74" s="2" t="inlineStr">
        <is>
          <t>Actively Maintained</t>
        </is>
      </c>
      <c r="X74" s="2" t="inlineStr">
        <is>
          <t>FALSE</t>
        </is>
      </c>
      <c r="Y74" s="2" t="n"/>
      <c r="Z74" s="2" t="n"/>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n"/>
      <c r="H75" s="2" t="inlineStr">
        <is>
          <t>Non-profit organization</t>
        </is>
      </c>
      <c r="I75" s="2" t="n"/>
      <c r="J75" s="2" t="n"/>
      <c r="K75" s="2" t="inlineStr">
        <is>
          <t>FALSE</t>
        </is>
      </c>
      <c r="L75" s="2" t="n"/>
      <c r="M75" s="2" t="n"/>
      <c r="N75" s="2" t="inlineStr">
        <is>
          <t>2021-01-01</t>
        </is>
      </c>
      <c r="O75" s="2" t="n"/>
      <c r="P75" s="2" t="n"/>
      <c r="Q75" s="2" t="n"/>
      <c r="R75" s="2" t="inlineStr">
        <is>
          <t>Contributions</t>
        </is>
      </c>
      <c r="S75" s="2" t="n"/>
      <c r="T75" s="2" t="inlineStr">
        <is>
          <t>Not applicable</t>
        </is>
      </c>
      <c r="U75" s="2" t="n"/>
      <c r="V75" s="2" t="inlineStr">
        <is>
          <t>Actual system proven in operational environment</t>
        </is>
      </c>
      <c r="W75" s="2" t="inlineStr">
        <is>
          <t>Actively Maintained</t>
        </is>
      </c>
      <c r="X75" s="2" t="inlineStr">
        <is>
          <t>FALSE</t>
        </is>
      </c>
      <c r="Y75" s="2" t="n"/>
      <c r="Z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n"/>
      <c r="H76" s="2" t="inlineStr">
        <is>
          <t>Fiscal sponsorship (academic institution)</t>
        </is>
      </c>
      <c r="I76" s="2" t="n"/>
      <c r="J76" s="2" t="n"/>
      <c r="K76" s="2" t="inlineStr">
        <is>
          <t>FALSE</t>
        </is>
      </c>
      <c r="L76" s="2" t="inlineStr">
        <is>
          <t>1-5</t>
        </is>
      </c>
      <c r="M76" s="2" t="inlineStr">
        <is>
          <t>0</t>
        </is>
      </c>
      <c r="N76" s="2" t="inlineStr">
        <is>
          <t>2014-01-01</t>
        </is>
      </c>
      <c r="O76" s="2" t="inlineStr">
        <is>
          <t>https://openapc.net/history/</t>
        </is>
      </c>
      <c r="P76" s="2" t="inlineStr">
        <is>
          <t>OpenAPC is located at Bielefeld University Library. The project was set up in collaboration with the DINI working group Electronic Publishing. Since 2021 it is part of OpenAIRE Nexus.</t>
        </is>
      </c>
      <c r="Q76" s="2" t="n"/>
      <c r="R76" s="2" t="inlineStr">
        <is>
          <t>Other</t>
        </is>
      </c>
      <c r="S76" s="2" t="inlineStr">
        <is>
          <t>Public Funding (University Library)</t>
        </is>
      </c>
      <c r="T76" s="2" t="inlineStr">
        <is>
          <t>Not applicable</t>
        </is>
      </c>
      <c r="U76" s="2" t="n"/>
      <c r="V76" s="2" t="inlineStr">
        <is>
          <t>Actual system proven in operational environment</t>
        </is>
      </c>
      <c r="W76" s="2" t="inlineStr">
        <is>
          <t>Actively Maintained</t>
        </is>
      </c>
      <c r="X76" s="2" t="inlineStr">
        <is>
          <t>FALSE</t>
        </is>
      </c>
      <c r="Y76" s="2" t="n"/>
      <c r="Z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External financial support is required from the stakeholder community to support OpenCitations and enable it to expand its delivery of high-quality comprehensive open bibliographic and citation metadata. Community support is necessary to make it possible for OpenCitations to move from being a 'sustainable infrastructure' (in POSI terms) to being a financially sustained infrastructure upon which the global scholarly community can rely for open bibliographic and citation metadata for many years to come.</t>
        </is>
      </c>
      <c r="H77" s="2" t="inlineStr">
        <is>
          <t>Fiscal sponsorship (academic institution)</t>
        </is>
      </c>
      <c r="I77" s="2" t="n"/>
      <c r="J77" s="2" t="n"/>
      <c r="K77" s="2" t="inlineStr">
        <is>
          <t>FALSE</t>
        </is>
      </c>
      <c r="L77" s="2" t="inlineStr">
        <is>
          <t>6-10</t>
        </is>
      </c>
      <c r="M77" s="2" t="inlineStr">
        <is>
          <t>1-5</t>
        </is>
      </c>
      <c r="N77" s="2" t="inlineStr">
        <is>
          <t>2010-01-01</t>
        </is>
      </c>
      <c r="O77" s="2" t="inlineStr">
        <is>
          <t>OpenCitations started in 2010 as a one-year project funded by JISC with David Shotton as director, with Silvio Peroni (UNIBO) joining as a co-director in 2015. The project aimed to publish open bibliographic citation information in RDF and to make citation links as easy to traverse as Web links by releasing the OpenCitations Corpus (OCC), which was initially populated with the citations from journal articles within the Open Access Subset of PubMed Central. During the first ten years of its existence, OpenCitations’ research operations were supplemented by three grants from Jisc, the Sloan Foundation and the Wellcome Trust, resulting in the development of a number of citation indexes using the data openly available in third-party bibliographic databases. After the selection from SCOSS (2019), OpenCitations has grown in a globally-known and community-based open infrastructure managed by the Research Centre for Open Scholarly Metadata of the University of Bologna.</t>
        </is>
      </c>
      <c r="P77" s="2" t="inlineStr">
        <is>
          <t xml:space="preserve">Research Centre for Open Scholarly Metadata, University of Bologna 
</t>
        </is>
      </c>
      <c r="Q77" s="2" t="inlineStr">
        <is>
          <t xml:space="preserve">JISC, University of Oxford, University of Bologna
</t>
        </is>
      </c>
      <c r="R77" s="2" t="inlineStr">
        <is>
          <t>Contributions</t>
        </is>
      </c>
      <c r="S77" s="2" t="n"/>
      <c r="T77" s="2" t="inlineStr">
        <is>
          <t>Not applicable</t>
        </is>
      </c>
      <c r="U77" s="2" t="n"/>
      <c r="V77" s="2" t="inlineStr">
        <is>
          <t>Actual system proven in operational environment</t>
        </is>
      </c>
      <c r="W77" s="2" t="inlineStr">
        <is>
          <t>Actively Maintained</t>
        </is>
      </c>
      <c r="X77" s="2" t="inlineStr">
        <is>
          <t>TRUE</t>
        </is>
      </c>
      <c r="Y77" s="2" t="n"/>
      <c r="Z77" s="2" t="n"/>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n"/>
      <c r="H78" s="2" t="inlineStr">
        <is>
          <t>Fiscal sponsorship (academic institution)</t>
        </is>
      </c>
      <c r="I78" s="2" t="n"/>
      <c r="J78" s="2" t="n"/>
      <c r="K78" s="2" t="inlineStr">
        <is>
          <t>FALSE</t>
        </is>
      </c>
      <c r="L78" s="2" t="n"/>
      <c r="M78" s="2" t="n"/>
      <c r="N78" s="2" t="inlineStr">
        <is>
          <t>2023-01-01</t>
        </is>
      </c>
      <c r="O78" s="2" t="inlineStr">
        <is>
          <t>https://www.opencost.de/en/project/</t>
        </is>
      </c>
      <c r="P78" s="2" t="inlineStr">
        <is>
          <t>Bielefeld University Library, the German Electron Synchrotron DESY (Hamburg) and University Library of Regensburg</t>
        </is>
      </c>
      <c r="Q78" s="2" t="inlineStr">
        <is>
          <t>The openCost project was launched by the project partners Bielefeld University Library, the German Electron Synchrotron DESY (Hamburg) and University Library of Regensburg</t>
        </is>
      </c>
      <c r="R78" s="2" t="inlineStr">
        <is>
          <t>Other</t>
        </is>
      </c>
      <c r="S78" s="2" t="inlineStr">
        <is>
          <t>German Research Foundation (DFG)</t>
        </is>
      </c>
      <c r="T78" s="2" t="inlineStr">
        <is>
          <t>Not applicable</t>
        </is>
      </c>
      <c r="U78" s="2" t="n"/>
      <c r="V78" s="2" t="inlineStr">
        <is>
          <t>Actual system proven in operational environment</t>
        </is>
      </c>
      <c r="W78" s="2" t="inlineStr">
        <is>
          <t>Actively Maintained</t>
        </is>
      </c>
      <c r="X78" s="2" t="inlineStr">
        <is>
          <t>FALSE</t>
        </is>
      </c>
      <c r="Y78" s="2" t="n"/>
      <c r="Z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While the tool itself is stable, it is at a pivotal moment. Funding will help with integrations and expand its utility across the data ecosystem, as well as the development of integrations with standards-based infrastructures (e.g., Frictionless Data, open-data portals, metadata pipelines) and the expansion of multilingual training assets and in-app learning tools to improve user adoption in low-resource contexts. Support will also allow us to generalise ODE’s design principles—simplicity, lightweight deployment, offline capability—to new complementary tools addressing other stages of the data lifecycle. Finally, additional resources could accelerate the formalisation of open governance, contributor pathways and inclusive community processes, which are now developed as the limited resources we have access to permit, but are fundamental for ensuring long-term sustainability and a stewarship reflecting our values.</t>
        </is>
      </c>
      <c r="H79" s="2" t="inlineStr">
        <is>
          <t>Non-profit organization</t>
        </is>
      </c>
      <c r="I79" s="2" t="n"/>
      <c r="J79" s="2" t="inlineStr">
        <is>
          <t>Company limited by guarantee</t>
        </is>
      </c>
      <c r="K79" s="2" t="inlineStr">
        <is>
          <t>FALSE</t>
        </is>
      </c>
      <c r="L79" s="2" t="inlineStr">
        <is>
          <t>11-20</t>
        </is>
      </c>
      <c r="M79" s="2" t="inlineStr">
        <is>
          <t>More than 20</t>
        </is>
      </c>
      <c r="N79" s="2" t="inlineStr">
        <is>
          <t>2023-01-01</t>
        </is>
      </c>
      <c r="O79" s="2" t="inlineStr">
        <is>
          <t>The Open Knowledge Foundation created the Open Data Editor (ODE). Initial development began around 2021–2023, with a beta release that aimed to help users detect errors in tabular datasets. However, early versions were overly complex and challenging for intended users to adopt. After recognising that the design process relied too heavily on technical assumptions and too little on the lived realities of journalists, researchers and public-sector workers, OKFN rebuilt ODE collaboratively with real communities. This redesign focused on clarity, simplicity, local-first privacy, and genuinely accessible language. Through extensive pilot projects across multiple countries, the tool evolved into a lightweight, stable and intuitive desktop application used by audiences working with large and messy datasets.</t>
        </is>
      </c>
      <c r="P79" s="2" t="inlineStr">
        <is>
          <t>Digital Public Goods Alliance, Open Knowledge Brazil, Open Knowledge Nepal, Escuela de Datos help disseminate the tool.</t>
        </is>
      </c>
      <c r="Q79" s="2" t="inlineStr">
        <is>
          <t>ODE was a collective effort of the Open Knowledge Team, the Open Knowledge Foundation was created by Rufus Pollock.</t>
        </is>
      </c>
      <c r="R79" s="2" t="inlineStr">
        <is>
          <t>Program service revenue</t>
        </is>
      </c>
      <c r="S79" s="2" t="n"/>
      <c r="T79" s="2" t="inlineStr">
        <is>
          <t>Not applicable</t>
        </is>
      </c>
      <c r="U79" s="2" t="n"/>
      <c r="V79" s="2" t="inlineStr">
        <is>
          <t>Actual system proven in operational environment</t>
        </is>
      </c>
      <c r="W79" s="2" t="inlineStr">
        <is>
          <t>Actively Maintained</t>
        </is>
      </c>
      <c r="X79" s="2" t="inlineStr">
        <is>
          <t>FALSE</t>
        </is>
      </c>
      <c r="Y79" s="2" t="n"/>
      <c r="Z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&lt;p&gt;OpenEdition needs funding to 
&lt;ul&gt;
&lt;li&gt; strengthen its efforts to develop and support open access via the Freemium programme: &lt;a href="https://www.openedition.org/14043?lang=en" target="_blank"&gt;https://www.openedition.org/14043?lang=en&lt;/a&gt;&lt;/li&gt;
&lt;li&gt;develop the involvement of its communities by recruiting dedicated staff&lt;/li&gt; 
&lt;li&gt;consolidate its technical infrastructure through new IT developments&lt;/li&gt;
&lt;/ul&gt;
&lt;/p&gt;</t>
        </is>
      </c>
      <c r="H80" s="2" t="inlineStr">
        <is>
          <t>Fiscal sponsorship (academic institution)</t>
        </is>
      </c>
      <c r="I80" s="2" t="n"/>
      <c r="J80" s="2" t="n"/>
      <c r="K80" s="2" t="inlineStr">
        <is>
          <t>FALSE</t>
        </is>
      </c>
      <c r="L80" s="2" t="n"/>
      <c r="M80" s="2" t="n"/>
      <c r="N80" s="2" t="n"/>
      <c r="O80" s="2" t="inlineStr">
        <is>
          <t>&lt;li&gt;Between 1999 and 2007 the Revues.org project was launched at the University of Avignon, and then in Marseille, at the premises of the EHESS.&lt;/li&gt;
&lt;li&gt;Over the period 2007–2017 the project expanded at pace and gained a legal structure as a CNRS joint service unit (UMS). It was called the “Centre for Open Electronic Publishing” (Cleo) until 2017.&lt;/li&gt;
&lt;li&gt;Since 2013 the OpenEdition project has been strengthened by funding from the Equipex programme and the internationalization of the platforms, grouped into a single OpenEdition portal.&lt;/li&gt;
&lt;p&gt;In 2018 the Revues.org platform became OpenEdition Journals, and the Cleo was renamed OpenEdition Center.&lt;/p&gt;
&lt;a href="https://www.openedition.org/19220?lang=en" target="_blank"&gt;https://www.openedition.org/19220?lang=en&lt;/a&gt;</t>
        </is>
      </c>
      <c r="P80" s="2" t="n"/>
      <c r="Q80" s="2" t="n"/>
      <c r="R80" s="2" t="inlineStr">
        <is>
          <t>Other</t>
        </is>
      </c>
      <c r="S80" s="2" t="n"/>
      <c r="T80" s="2" t="inlineStr">
        <is>
          <t>Not applicable</t>
        </is>
      </c>
      <c r="U80" s="2" t="n"/>
      <c r="V80" s="2" t="inlineStr">
        <is>
          <t>Actual system proven in operational environment</t>
        </is>
      </c>
      <c r="W80" s="2" t="inlineStr">
        <is>
          <t>Unknown</t>
        </is>
      </c>
      <c r="X80" s="2" t="inlineStr">
        <is>
          <t>FALSE</t>
        </is>
      </c>
      <c r="Y80" s="2" t="n"/>
      <c r="Z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With such a massive global community of users, PKP carries a tremendous responsibility to continue to enhance the functionality and user experience of OJS, and increase interoperability with other open infrastructures.</t>
        </is>
      </c>
      <c r="H81" s="2" t="inlineStr">
        <is>
          <t>Fiscal sponsorship (academic institution)</t>
        </is>
      </c>
      <c r="I81" s="2" t="n"/>
      <c r="J81" s="2" t="n"/>
      <c r="K81" s="2" t="inlineStr">
        <is>
          <t>FALSE</t>
        </is>
      </c>
      <c r="L81" s="2" t="n"/>
      <c r="M81" s="2" t="n"/>
      <c r="N81" s="2" t="inlineStr">
        <is>
          <t>2002-01-01</t>
        </is>
      </c>
      <c r="O81"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1" s="2" t="n"/>
      <c r="Q81" s="2" t="n"/>
      <c r="R81" s="2" t="inlineStr">
        <is>
          <t>Program service revenue</t>
        </is>
      </c>
      <c r="S81" s="2" t="n"/>
      <c r="T81" s="2" t="inlineStr">
        <is>
          <t>Through solution provider or third party vendor</t>
        </is>
      </c>
      <c r="U81" s="2" t="n"/>
      <c r="V81" s="2" t="inlineStr">
        <is>
          <t>Actual system proven in operational environment</t>
        </is>
      </c>
      <c r="W81" s="2" t="inlineStr">
        <is>
          <t>Actively Maintained</t>
        </is>
      </c>
      <c r="X81" s="2" t="inlineStr">
        <is>
          <t>FALSE</t>
        </is>
      </c>
      <c r="Y81" s="2" t="n"/>
      <c r="Z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With such a massive global community of users, PKP carries a tremendous responsibility to continue to enhance the functionality and user experience of OMP, and increase interoperability with other open infrastructures.</t>
        </is>
      </c>
      <c r="H82" s="2" t="inlineStr">
        <is>
          <t>Fiscal sponsorship (academic institution)</t>
        </is>
      </c>
      <c r="I82" s="2" t="n"/>
      <c r="J82" s="2" t="n"/>
      <c r="K82" s="2" t="inlineStr">
        <is>
          <t>FALSE</t>
        </is>
      </c>
      <c r="L82" s="2" t="n"/>
      <c r="M82" s="2" t="n"/>
      <c r="N82" s="2" t="inlineStr">
        <is>
          <t>2012-01-01</t>
        </is>
      </c>
      <c r="O82"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2" s="2" t="n"/>
      <c r="Q82" s="2" t="n"/>
      <c r="R82" s="2" t="inlineStr">
        <is>
          <t>Program service revenue</t>
        </is>
      </c>
      <c r="S82" s="2" t="n"/>
      <c r="T82" s="2" t="inlineStr">
        <is>
          <t>Through solution provider or third party vendor</t>
        </is>
      </c>
      <c r="U82" s="2" t="n"/>
      <c r="V82" s="2" t="inlineStr">
        <is>
          <t>Actual system proven in operational environment</t>
        </is>
      </c>
      <c r="W82" s="2" t="inlineStr">
        <is>
          <t>Actively Maintained</t>
        </is>
      </c>
      <c r="X82" s="2" t="inlineStr">
        <is>
          <t>FALSE</t>
        </is>
      </c>
      <c r="Y82" s="2" t="n"/>
      <c r="Z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With such a massive global community of users, PKP carries a tremendous responsibility to continue to enhance the functionality and user experience of OMP, and increase interoperability with other open infrastructures.</t>
        </is>
      </c>
      <c r="H83" s="2" t="inlineStr">
        <is>
          <t>Fiscal sponsorship (academic institution)</t>
        </is>
      </c>
      <c r="I83" s="2" t="n"/>
      <c r="J83" s="2" t="n"/>
      <c r="K83" s="2" t="inlineStr">
        <is>
          <t>FALSE</t>
        </is>
      </c>
      <c r="L83" s="2" t="n"/>
      <c r="M83" s="2" t="n"/>
      <c r="N83" s="2" t="inlineStr">
        <is>
          <t>2020-01-01</t>
        </is>
      </c>
      <c r="O83" s="2" t="inlineStr">
        <is>
          <t>PKP was founded in 1998 by John Willinsky, then a professor in the Faculty of Education at the University of British Columbia. SFU University Library became the operational home for PKP in 2005. In 2022, PKP became a Core Facility of Simon Fraser University. &lt;a href="https://pkp.sfu.ca/about/timeline/" target="_blank"&gt;Complete timeline&lt;/a&gt;.</t>
        </is>
      </c>
      <c r="P83" s="2" t="n"/>
      <c r="Q83" s="2" t="n"/>
      <c r="R83" s="2" t="inlineStr">
        <is>
          <t>Program service revenue</t>
        </is>
      </c>
      <c r="S83" s="2" t="n"/>
      <c r="T83" s="2" t="inlineStr">
        <is>
          <t>Through solution provider or third party vendor</t>
        </is>
      </c>
      <c r="U83" s="2" t="n"/>
      <c r="V83" s="2" t="inlineStr">
        <is>
          <t>Actual system proven in operational environment</t>
        </is>
      </c>
      <c r="W83" s="2" t="inlineStr">
        <is>
          <t>Actively Maintained</t>
        </is>
      </c>
      <c r="X83" s="2" t="inlineStr">
        <is>
          <t>FALSE</t>
        </is>
      </c>
      <c r="Y83" s="2" t="n"/>
      <c r="Z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Note: This portion below on financials is skipped due to Openverse being a sub-project of the WordPress Foundation. Openverse does not itself have financials to report.</t>
        </is>
      </c>
      <c r="H84" s="2" t="inlineStr">
        <is>
          <t>Fiscal sponsorship (non-profit)</t>
        </is>
      </c>
      <c r="I84" s="2" t="n"/>
      <c r="J84" s="2" t="n"/>
      <c r="K84" s="2" t="inlineStr">
        <is>
          <t>FALSE</t>
        </is>
      </c>
      <c r="L84" s="2" t="inlineStr">
        <is>
          <t>6-10</t>
        </is>
      </c>
      <c r="M84" s="2" t="inlineStr">
        <is>
          <t>Unknown</t>
        </is>
      </c>
      <c r="N84" s="2" t="inlineStr">
        <is>
          <t>2018-01-01</t>
        </is>
      </c>
      <c r="O84" s="2" t="inlineStr">
        <is>
          <t>Openverse is the successor to CC Search which was launched by Creative Commons in 2019, and migrated to being part of the WordPress project in 2021. You can read more about this transition in the official announcements from Creative Commons and WordPress. We remain committed to our goal of tackling discoverability and accessibility of open access media.
https://creativecommons.org/2021/05/03/cc-search-to-join-wordpress/
Since joining WordPress, Openverse has a greater number of sponsored FTE contributors, has added a new media type (audio), and several new media sources. Openverse has overhauled its user experience to make it more approachable and accessible.</t>
        </is>
      </c>
      <c r="P84" s="2" t="inlineStr">
        <is>
          <t>Openverse is part of the WordPress open source project: https://wordpress.org/</t>
        </is>
      </c>
      <c r="Q84" s="2" t="n"/>
      <c r="R84" s="2" t="inlineStr">
        <is>
          <t>Other</t>
        </is>
      </c>
      <c r="S84" s="2" t="inlineStr">
        <is>
          <t>Infrastructure costs are donated by an individual, and core contributor working hours are donated by Automattic as part of its Five for the Future pledge to the WordPress Foundation.</t>
        </is>
      </c>
      <c r="T84" s="2" t="inlineStr">
        <is>
          <t>Not applicable</t>
        </is>
      </c>
      <c r="U84" s="2" t="n"/>
      <c r="V84" s="2" t="inlineStr">
        <is>
          <t>Actual system proven in operational environment</t>
        </is>
      </c>
      <c r="W84" s="2" t="inlineStr">
        <is>
          <t>Actively Maintained</t>
        </is>
      </c>
      <c r="X84" s="2" t="inlineStr">
        <is>
          <t>FALSE</t>
        </is>
      </c>
      <c r="Y84" s="2" t="n"/>
      <c r="Z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n"/>
      <c r="H85" s="2" t="inlineStr">
        <is>
          <t>Fiscal sponsorship (academic institution)</t>
        </is>
      </c>
      <c r="I85" s="2" t="n"/>
      <c r="J85" s="2" t="n"/>
      <c r="K85" s="2" t="inlineStr">
        <is>
          <t>FALSE</t>
        </is>
      </c>
      <c r="L85" s="2" t="n"/>
      <c r="M85" s="2" t="n"/>
      <c r="N85" s="2" t="inlineStr">
        <is>
          <t>2005-01-01</t>
        </is>
      </c>
      <c r="O85" s="2" t="inlineStr">
        <is>
          <t>&lt;p&gt;In the first half of the 20th century, Brazil began to build up and maintain a scientific and technological infrastructure, with the creation of universities and science and research institutes. After the Second World War, the flow of information worldwide increased and the organization of scientific information became increasingly important for development. In this context, the newly created United Nations Educational, Scientific and Cultural Organization (UNESCO) sought to stimulate bibliographic organization worldwide. &lt;/p&gt;
&lt;p&gt;In the early 1950s, UNESCO, the Getúlio Vargas Foundation (FGV) and the CNPq began preparations for the creation of a bibliographic center in Brazil with the aim of boosting national scientific and technological activities. Librarians Lydia Sambaquy and Jannice Monte-Mor visited the main libraries and documentation centers in Europe and the United States to look for organizational models. &lt;/p&gt;
&lt;p&gt;In 1954, with the support of the Brazilian government, the Brazilian Institute of Librarianship and Documentation (IBBD) was created and set up in Rio de Janeiro, which became part of the CNPq's organizational structure. Among its objectives, the institute sought to promote bibliographic and documentation services, establish exchanges with international technical-scientific documentation institutions and develop training and further training courses in Library Science and Documentation.&lt;/p&gt; 
&lt;p&gt;Its first president was Lydia Sambaquy, who was IBBD's director for 11 years. In 1956, IBBD started the Scientific Documentation Course. At the specialization level, the course was a pioneering postgraduate course in the field of bibliography and documentation in Brazil and Latin America, and opened up a new field of professional action. The institute sought to provide scientific and technological information to researchers who requested it and guided librarians from different regions of Brazil in providing scientific information services to the academic community. &lt;/p&gt;
&lt;p&gt;"The founding of Ibict at that time was very important because there was a huge volume of information and it was dispersed and disorganized. The IBBD began to organize scientific knowledge by area and was fundamental to the scientific and technological development of that time. It helped Brazil to be seen as a country that was at the forefront of the field, at the forefront of this issue. And vanguardism became the keynote of Ibict," says Cecília Leite. &lt;/p&gt;
&lt;p&gt;Soon the IBDD would also stand out for its innovation. The first copying machine from Xerox do Brasil, a company founded in 1965, was installed at the IBBD in December 1966. In 1968, the IBBD was the first body in Latin America to have automated information systems, as well as automating its traditional services. In that year, the institute launched the first Brazilian Bibliography formed by an automated process. For some historical thinkers in the field of information in Brazil, this event was a founding milestone of Information Science in the country.&lt;/p&gt;
&lt;p&gt;The 1970s were marked by a reorganization of science and technology activities in the country, with the strengthening of public policies for scientific and technological development. In the field of information, the advent of computers and electronics changed paradigms and opened up new possibilities. &lt;/p&gt;
&lt;p&gt;In 1970, librarians Célia Ribeiro Zaher and Hagar Espanha Gomes, then president and vice-president of IBBD, created the first Master's course in Information Science in South America, in an agreement with the Federal University of Rio de Janeiro (UFRJ), opening doors to the field of information science studies and the training of professionals in the area. Two years later, the IBBD created the journal Ciência da Informação, the first scientific journal in the field in Brazil. &lt;/p&gt;
&lt;p&gt;In 1976, the IBBD was renamed Ibict and in 1980, the institute moved its headquarters from Rio de Janeiro to Brasília. In 1985, the Ministry of Science and Technology (MCT) was created and in 2000, Ibict became subordinate to the ministry. Ibict was then consolidated as the body that would coordinate science and technology information activities in Brazil, with services aimed at the academic community, the research sector, the productive sector and the government.&lt;/p&gt;</t>
        </is>
      </c>
      <c r="P85" s="2" t="n"/>
      <c r="Q85" s="2" t="n"/>
      <c r="R85" s="2" t="inlineStr">
        <is>
          <t>Program service revenue</t>
        </is>
      </c>
      <c r="S85" s="2" t="n"/>
      <c r="T85" s="2" t="inlineStr">
        <is>
          <t>Not applicable</t>
        </is>
      </c>
      <c r="U85" s="2" t="n"/>
      <c r="V85" s="2" t="inlineStr">
        <is>
          <t>Actual system proven in operational environment</t>
        </is>
      </c>
      <c r="W85" s="2" t="inlineStr">
        <is>
          <t>Actively Maintained</t>
        </is>
      </c>
      <c r="X85" s="2" t="inlineStr">
        <is>
          <t>FALSE</t>
        </is>
      </c>
      <c r="Y85" s="2" t="n"/>
      <c r="Z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COS is a non-profit seeking to advance a broad mission to increase the openness, integrity, and reproducibility of research through the free and open source tool OSF for researchers. To support our ability to maintain and improve OSF for the diverse global and disciplinary communities of research you can &lt;a href="https://www.cos.io/support-cos"&gt;donate here&lt;/a&gt;.</t>
        </is>
      </c>
      <c r="H86" s="2" t="inlineStr">
        <is>
          <t>Non-profit organization</t>
        </is>
      </c>
      <c r="I86" s="2" t="n"/>
      <c r="J86" s="2" t="n"/>
      <c r="K86" s="2" t="inlineStr">
        <is>
          <t>FALSE</t>
        </is>
      </c>
      <c r="L86" s="2" t="n"/>
      <c r="M86" s="2" t="n"/>
      <c r="N86" s="2" t="inlineStr">
        <is>
          <t>2012-01-01</t>
        </is>
      </c>
      <c r="O86" s="2" t="inlineStr">
        <is>
          <t>The Open Science Framework was launched in 2012 as part of a graduate student project. The COS launched in 2013 with the support of the Laura and John Arnold Foundation to build and sustain OSF. &lt;a href="https://www.cos.io/timeline" target="_blank"&gt;See history here.&lt;/a&gt;</t>
        </is>
      </c>
      <c r="P86" s="2" t="n"/>
      <c r="Q86" s="2" t="n"/>
      <c r="R86" s="2" t="inlineStr">
        <is>
          <t>Contributions</t>
        </is>
      </c>
      <c r="S86" s="2" t="n"/>
      <c r="T86" s="2" t="inlineStr">
        <is>
          <t>Through solution provider only</t>
        </is>
      </c>
      <c r="U86" s="2" t="inlineStr">
        <is>
          <t>OSF is a centrally hosted service on GCP and we offer hosted solutions as a service provider for communities, funders, and institutions.</t>
        </is>
      </c>
      <c r="V86" s="2" t="inlineStr">
        <is>
          <t>Actual system proven in operational environment</t>
        </is>
      </c>
      <c r="W86" s="2" t="inlineStr">
        <is>
          <t>Actively Maintained</t>
        </is>
      </c>
      <c r="X86" s="2" t="inlineStr">
        <is>
          <t>FALSE</t>
        </is>
      </c>
      <c r="Y86" s="2" t="n"/>
      <c r="Z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Right now the editorial board is leaning into their institutions' professional development and travel funding to ensure they can meet and focus on doing the work to advance the specification - oftentimes doing this by coordinating meetings around shared conferences. Any funding that would be provided to the community would help to fund the editorial group's travel - either to conferences to promote OCFL or to meetings so improvements can be made to the specification.</t>
        </is>
      </c>
      <c r="H87" s="2" t="inlineStr">
        <is>
          <t>Volunteer community</t>
        </is>
      </c>
      <c r="I87" s="2" t="n"/>
      <c r="J87" s="2" t="n"/>
      <c r="K87" s="2" t="inlineStr">
        <is>
          <t>FALSE</t>
        </is>
      </c>
      <c r="L87" s="2" t="n"/>
      <c r="M87" s="2" t="n"/>
      <c r="N87" s="2" t="inlineStr">
        <is>
          <t>2017-01-01</t>
        </is>
      </c>
      <c r="O87" s="2" t="inlineStr">
        <is>
          <t>&lt;a href="https://ocfl.io/history/v1/content/" target="_blank"&gt;OCFL history&lt;/a&gt;</t>
        </is>
      </c>
      <c r="P87" s="2" t="n"/>
      <c r="Q87" s="2" t="n"/>
      <c r="R87" s="2" t="inlineStr">
        <is>
          <t>Other</t>
        </is>
      </c>
      <c r="S87" s="2" t="n"/>
      <c r="T87" s="2" t="inlineStr">
        <is>
          <t>Not applicable</t>
        </is>
      </c>
      <c r="U87" s="2" t="n"/>
      <c r="V87" s="2" t="inlineStr">
        <is>
          <t>Actual system proven in operational environment</t>
        </is>
      </c>
      <c r="W87" s="2" t="inlineStr">
        <is>
          <t>Actively Maintained</t>
        </is>
      </c>
      <c r="X87" s="2" t="inlineStr">
        <is>
          <t>FALSE</t>
        </is>
      </c>
      <c r="Y87" s="2" t="n"/>
      <c r="Z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&lt;p&gt;The funding will be used to
&lt;ul&gt;
&lt;li&gt;develop back-office functionalities for PCI sites
&lt;li&gt;Perform a complete revamp of the PCI websites
&lt;li&gt;communicate about PCI
&lt;li&gt;secure an operating and investment budget for the coming years
&lt;/ul&gt;
&lt;/p&gt;</t>
        </is>
      </c>
      <c r="H88" s="2" t="inlineStr">
        <is>
          <t>Non-profit organization</t>
        </is>
      </c>
      <c r="I88" s="2" t="n"/>
      <c r="J88" s="2" t="n"/>
      <c r="K88" s="2" t="inlineStr">
        <is>
          <t>FALSE</t>
        </is>
      </c>
      <c r="L88" s="2" t="n"/>
      <c r="M88" s="2" t="n"/>
      <c r="N88" s="2" t="inlineStr">
        <is>
          <t>2016-01-01</t>
        </is>
      </c>
      <c r="O88" s="2" t="inlineStr">
        <is>
          <t>Peer Community in was founded in 2016 as a non-profit organization under the French law. Founding members Denis Bourguet, Benoit Facon and Thomas Guillemaud are researchers at the Institut national de la recherche agronomique (INRAE). The organization is an «association loi de 1901» administratively based in Nice. (from &lt;a href="https://en.wikipedia.org/wiki/Peer_Community_in" target="_blank"&gt;https://en.wikipedia.org/wiki/Peer_Community_in&lt;/a&gt;)</t>
        </is>
      </c>
      <c r="P88" s="2" t="n"/>
      <c r="Q88" s="2" t="n"/>
      <c r="R88" s="2" t="inlineStr">
        <is>
          <t>Contributions</t>
        </is>
      </c>
      <c r="S88" s="2" t="n"/>
      <c r="T88" s="2" t="inlineStr">
        <is>
          <t>Not applicable</t>
        </is>
      </c>
      <c r="U88" s="2" t="n"/>
      <c r="V88" s="2" t="inlineStr">
        <is>
          <t>Actual system proven in operational environment</t>
        </is>
      </c>
      <c r="W88" s="2" t="inlineStr">
        <is>
          <t>Actively Maintained</t>
        </is>
      </c>
      <c r="X88" s="2" t="inlineStr">
        <is>
          <t>FALSE</t>
        </is>
      </c>
      <c r="Y88" s="2" t="n"/>
      <c r="Z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Additional funding would help to extend the functionality of the service and expand awareness about the benefits of its use.</t>
        </is>
      </c>
      <c r="H89" s="2" t="inlineStr">
        <is>
          <t>Fiscal sponsorship (academic institution)</t>
        </is>
      </c>
      <c r="I89" s="2" t="n"/>
      <c r="J89" s="2" t="n"/>
      <c r="K89" s="2" t="inlineStr">
        <is>
          <t>FALSE</t>
        </is>
      </c>
      <c r="L89" s="2" t="inlineStr">
        <is>
          <t>More than 20</t>
        </is>
      </c>
      <c r="M89" s="2" t="n"/>
      <c r="N89" s="2" t="inlineStr">
        <is>
          <t>2014-01-01</t>
        </is>
      </c>
      <c r="O89" s="2" t="inlineStr">
        <is>
          <t>PKP was founded in 1998 by John Willinsky, then a professor in the Faculty of Education at the University of British Columbia. SFU University Library became the operational home for PKP in 2005. In 2022, PKP became a Core Facility of Simon Fraser University. Complete timeline: https://pkp.sfu.ca/about/timeline/</t>
        </is>
      </c>
      <c r="P89" s="2" t="inlineStr">
        <is>
          <t>See OJS for affiliations.</t>
        </is>
      </c>
      <c r="Q89" s="2" t="n"/>
      <c r="R89" s="2" t="inlineStr">
        <is>
          <t>Program service revenue</t>
        </is>
      </c>
      <c r="S89" s="2" t="n"/>
      <c r="T89" s="2" t="inlineStr">
        <is>
          <t>Not applicable</t>
        </is>
      </c>
      <c r="U89" s="2" t="n"/>
      <c r="V89" s="2" t="inlineStr">
        <is>
          <t>Actual system proven in operational environment</t>
        </is>
      </c>
      <c r="W89" s="2" t="inlineStr">
        <is>
          <t>Actively Maintained</t>
        </is>
      </c>
      <c r="X89" s="2" t="inlineStr">
        <is>
          <t>TRUE</t>
        </is>
      </c>
      <c r="Y89" s="2" t="n"/>
      <c r="Z89" s="2" t="n"/>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&lt;p&gt;Investing in PREreview supports a community dedicated to transforming scholarly evaluation through openness, equity, and collaboration. Founded in 2017 by three early-career women scientists, PREreview operated with grants and volunteer leadership for its first three years, with only one full-time director. With support from the Chan-Zuckerberg Initiative and, more recently, the Bill &amp; Melinda Gates Foundation, we’ve expanded to include four more full-time team members.&lt;/p&gt;
&lt;p&gt;As our team grows, so does our impact. We seek support from philanthropies, institutions, and governments to scale our mission globally. Over the next 2-3 years, we aim to further develop around three pillars: 1) inclusive, accessible training in open peer review, 2) our interoperable review authoring platform, and 3) “clubs”—decentralized, community-driven hubs for peer review of preprints and open research objects.&lt;/p&gt;</t>
        </is>
      </c>
      <c r="H90" s="2" t="inlineStr">
        <is>
          <t>Fiscal sponsorship (non-profit)</t>
        </is>
      </c>
      <c r="I90" s="2" t="n"/>
      <c r="J90" s="2" t="n"/>
      <c r="K90" s="2" t="inlineStr">
        <is>
          <t>FALSE</t>
        </is>
      </c>
      <c r="L90" s="2" t="inlineStr">
        <is>
          <t>1-5</t>
        </is>
      </c>
      <c r="M90" s="2" t="n"/>
      <c r="N90" s="2" t="inlineStr">
        <is>
          <t>2017-01-01</t>
        </is>
      </c>
      <c r="O90" s="2" t="inlineStr">
        <is>
          <t>&lt;p&gt;Founded in 2017 by three early-career women scientists, PREreview began as a volunteer-led open science project with shared leadership. Our first funding, a $2,500 Mozilla mini-grant, supported in-person preprint review events in 2018. In 2019, Daniela Saderi became the full-time director as a Mozilla Fellow, and PREreview joined Code for Science and Society as a fiscally sponsored project to uphold our non-profit values. Initial funding from Sloan and Mozilla enabled PREreview.org’s prototype, with Wellcome Trust support further enhancing it.&lt;/p&gt;
&lt;p&gt;From 2020-2022, we partnered with eLife to expand peer-review training, fostering open preprint evaluation. A 2022 Chan-Zuckerberg Initiative grant facilitated the third iteration of PREreview.org, introducing accessible tools for community engagement. In 2024, a 3-year Gates Foundation grant further supports our mission to advance open, equitable peer-review practices.&lt;/p&gt;</t>
        </is>
      </c>
      <c r="P90" s="2" t="n"/>
      <c r="Q90" s="2" t="n"/>
      <c r="R90" s="2" t="inlineStr">
        <is>
          <t>Contributions | Program service revenue</t>
        </is>
      </c>
      <c r="S90" s="2" t="n"/>
      <c r="T90" s="2" t="inlineStr">
        <is>
          <t>Not applicable</t>
        </is>
      </c>
      <c r="U90" s="2" t="n"/>
      <c r="V90" s="2" t="inlineStr">
        <is>
          <t>Actual system proven in operational environment</t>
        </is>
      </c>
      <c r="W90" s="2" t="inlineStr">
        <is>
          <t>Actively Maintained</t>
        </is>
      </c>
      <c r="X90" s="2" t="inlineStr">
        <is>
          <t>FALSE</t>
        </is>
      </c>
      <c r="Y90" s="2" t="n"/>
      <c r="Z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Pressbooks funds itself almost exclusively through software as a service (SaaS) fees charged to client institutions. We do occasionally work with clients on grant based projects to deliver new feature sets or improvements that align with our priorities; in these cases the partner client usually receives the grant, and we act as a technology partner/provider. If you have an idea for extending Pressbooks and are interested in this kind of partnership please let us know!</t>
        </is>
      </c>
      <c r="H91" s="2" t="inlineStr">
        <is>
          <t>Commercial (for-profit)</t>
        </is>
      </c>
      <c r="I91" s="2" t="n"/>
      <c r="J91" s="2" t="n"/>
      <c r="K91" s="2" t="inlineStr">
        <is>
          <t>FALSE</t>
        </is>
      </c>
      <c r="L91" s="2" t="n"/>
      <c r="M91" s="2" t="n"/>
      <c r="N91" s="2" t="inlineStr">
        <is>
          <t>2011-01-01</t>
        </is>
      </c>
      <c r="O91" s="2" t="inlineStr">
        <is>
          <t>Pressbooks is developed by Book Oven, Inc., a Montréal-based company founded in 2011 by Hugh McGuire (who also founded the free public domain audio book platform LibriVox in 2005). Originally aimed at self-publishing authors, in 2017 Pressbooks shifted its focus to work with universities on academic and textbook publishing. (&lt;a href="https://en.wikipedia.org/wiki/Pressbooks"&gt;paraphrased reference&lt;/a&gt;.</t>
        </is>
      </c>
      <c r="P91" s="2" t="n"/>
      <c r="Q91" s="2" t="n"/>
      <c r="R91" s="2" t="inlineStr">
        <is>
          <t>Program service revenue</t>
        </is>
      </c>
      <c r="S91" s="2" t="n"/>
      <c r="T91" s="2" t="inlineStr">
        <is>
          <t>Through solution provider only</t>
        </is>
      </c>
      <c r="U91" s="2" t="n"/>
      <c r="V91" s="2" t="inlineStr">
        <is>
          <t>Actual system proven in operational environment</t>
        </is>
      </c>
      <c r="W91" s="2" t="inlineStr">
        <is>
          <t>Actively Maintained</t>
        </is>
      </c>
      <c r="X91" s="2" t="inlineStr">
        <is>
          <t>FALSE</t>
        </is>
      </c>
      <c r="Y91" s="2" t="n"/>
      <c r="Z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The PASS application was originally created at Johns Hopkins University and has transitioned to an open source community supported by the Eclipse Foundation. The move to the Eclipse Foundation allows the project to benefit from sound open source processes, defined governance models, and broader community growth opportunities. Funding is necessary for the procurement of staffing resources to support the development and operation of the open source community.</t>
        </is>
      </c>
      <c r="H92" s="2" t="inlineStr">
        <is>
          <t>Non-profit organization</t>
        </is>
      </c>
      <c r="I92" s="2" t="n"/>
      <c r="J92" s="2" t="n"/>
      <c r="K92" s="2" t="inlineStr">
        <is>
          <t>FALSE</t>
        </is>
      </c>
      <c r="L92" s="2" t="n"/>
      <c r="M92" s="2" t="n"/>
      <c r="N92" s="2" t="inlineStr">
        <is>
          <t>2018-01-01</t>
        </is>
      </c>
      <c r="O92" s="2" t="inlineStr">
        <is>
          <t>The PASS project began development at Johns Hopkins University in 2017. It was launched as a service in 2018 in support of the JHU open access policy. In 2022, PASS transitioned to the stewardship of the Eclipse Foundation and embarked on a system-wide re-architecture. In 2023, the formal process of developing an open source community began and the newly developed system was deployed into production for the first time, paving the way for expanded features and collaboration.</t>
        </is>
      </c>
      <c r="P92" s="2" t="n"/>
      <c r="Q92" s="2" t="n"/>
      <c r="R92" s="2" t="inlineStr">
        <is>
          <t>Contributions</t>
        </is>
      </c>
      <c r="S92" s="2" t="n"/>
      <c r="T92" s="2" t="inlineStr">
        <is>
          <t>No services available</t>
        </is>
      </c>
      <c r="U92" s="2" t="n"/>
      <c r="V92" s="2" t="inlineStr">
        <is>
          <t>Actual system proven in operational environment</t>
        </is>
      </c>
      <c r="W92" s="2" t="inlineStr">
        <is>
          <t>Actively Maintained</t>
        </is>
      </c>
      <c r="X92" s="2" t="inlineStr">
        <is>
          <t>FALSE</t>
        </is>
      </c>
      <c r="Y92" s="2" t="n"/>
      <c r="Z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Typically, open source projects rely on a blend of grants and donations to keep their lights on. Grant funding remains an essential resource for us in supporting the development of new tooling and datasets. However, there is plenty of other work that we do on PUDL that needs more consistent funding, but that doesn't neatly fit into traditional RFPs or client-specific projects.
We need long-term operational funding to support ongoing maintenance and development of PUDL, including:
- Monthly archives of all our raw input datasets.
- Quarterly versioned data releases.
- Computing resources for continuous integration testing and nightly data builds.
- Maintenance of software dependencies, documentation, and example notebooks.
- Distribution of PUDL data to the AWS Open Data Registry, Zenodo, Kaggle, and web interface.
- Immediate support for bugs and data quality issues
- Incremental adaptation of the PUDL infrastructure.</t>
        </is>
      </c>
      <c r="H93" s="2" t="inlineStr">
        <is>
          <t>Other</t>
        </is>
      </c>
      <c r="I93" s="2" t="inlineStr">
        <is>
          <t>Worker-owned co-operative</t>
        </is>
      </c>
      <c r="J93" s="2" t="n"/>
      <c r="K93" s="2" t="inlineStr">
        <is>
          <t>TRUE</t>
        </is>
      </c>
      <c r="L93" s="2" t="inlineStr">
        <is>
          <t>6-10</t>
        </is>
      </c>
      <c r="M93" s="2" t="inlineStr">
        <is>
          <t>0</t>
        </is>
      </c>
      <c r="N93" s="2" t="inlineStr">
        <is>
          <t>2017-01-01</t>
        </is>
      </c>
      <c r="O93" s="2" t="inlineStr">
        <is>
          <t>Electric utilities report a huge amount of information to the US government and other public agencies. This includes yearly, monthly, and even hourly data about fuel burned, electricity generated, operating expenses, power plant usage patterns and emissions. Unfortunately, much of this data is not released in well documented, ready-to-use, machine readable formats. Data from different agencies tends not to be standardized or easily used in tandem. Several commercial data services clean, package, and re-sell this this data, but at prices which are too high to be accessible to many smaller stakeholders.
PUDL's founders were working to make the case for early retirement of non-economic coal plants in Colorado, and they saw the need for analysis-ready data that public interest advocates could use. In 2017, PUDL grew out of their early data cleaning efforts.
We created Catalyst Cooperative to help more people bring data and analysis to the fight for clean energy and a stable climate, and to provide an organizational home for PUDL. To this day, PUDL remains a core part of the organization's work, but we also collaborate with researchers, policy makers, climate advocates, journalists, non-profits and mission-aligned business to address data analysis and data engineering challenges. PUDL development is supported by foundations such as the Alfred P. Sloan Foundation and the Mozilla Foundation, as well as by organizations such as RMI and GridLab.</t>
        </is>
      </c>
      <c r="P93" s="2" t="inlineStr">
        <is>
          <t>RMI
GridLab</t>
        </is>
      </c>
      <c r="Q93" s="2" t="inlineStr">
        <is>
          <t>Christina Gosnell
Zane Selvans
Steve Winter
RMI
Rocky Mountain Farmers Union
Boulder Housing Coalition</t>
        </is>
      </c>
      <c r="R93" s="2" t="inlineStr">
        <is>
          <t>Other</t>
        </is>
      </c>
      <c r="S93" s="2" t="inlineStr">
        <is>
          <t>50% grant-funded, 50% client contracting</t>
        </is>
      </c>
      <c r="T93" s="2" t="inlineStr">
        <is>
          <t>No services available</t>
        </is>
      </c>
      <c r="U93" s="2" t="n"/>
      <c r="V93" s="2" t="inlineStr">
        <is>
          <t>Actual system proven in operational environment</t>
        </is>
      </c>
      <c r="W93" s="2" t="inlineStr">
        <is>
          <t>Actively Maintained</t>
        </is>
      </c>
      <c r="X93" s="2" t="inlineStr">
        <is>
          <t>FALSE</t>
        </is>
      </c>
      <c r="Y93" s="2" t="n"/>
      <c r="Z93" s="2" t="n"/>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Investing in PubPub means improving the open publishing experiences and capabilities of all who use the platform each day. PubPub is free and available for all to use, and we immediately make new or improved features available across the platform for all communities. This means that even when we partner with a specific group(s) or user(s) to further develop the platform, the thousands of other communities using PubPub immediately also benefit from that investment of time and money. The ripple effects of investing in open infrastructure are exciting and hard to calculate!</t>
        </is>
      </c>
      <c r="H94" s="2" t="inlineStr">
        <is>
          <t>Non-profit organization</t>
        </is>
      </c>
      <c r="I94" s="2" t="n"/>
      <c r="J94" s="2" t="n"/>
      <c r="K94" s="2" t="inlineStr">
        <is>
          <t>FALSE</t>
        </is>
      </c>
      <c r="L94" s="2" t="n"/>
      <c r="M94" s="2" t="n"/>
      <c r="N94" s="2" t="inlineStr">
        <is>
          <t>2018-01-01</t>
        </is>
      </c>
      <c r="O94" s="2" t="inlineStr">
        <is>
          <t>&lt;p&gt;Founded in 2018 as a partnership between the MIT Press and the MIT Media Lab, Knowledge Futures was created to build sustainable tools and technologies for libraries, presses, museums, activist organizations, researchers, and others whose knowledge work seeks to serve collective understanding and the public. What began as a handful of grad students working on publishing tools grew to an organization focused on addressing the systemic challenges faced by public-oriented groups beholden to infrastructure that is designed with misaligned incentives and unjust power dynamics.&lt;/p&gt;
&lt;p&gt;In September 2019 we formally organized as an independent 501c3 nonprofit.&lt;/p&gt;
&lt;a href="https://www.knowledgefutures.org/about" target="_blank"&gt;Learn more about Knowledge Futures.&lt;/a&gt;</t>
        </is>
      </c>
      <c r="P94" s="2" t="n"/>
      <c r="Q94" s="2" t="n"/>
      <c r="R94" s="2" t="inlineStr">
        <is>
          <t>Contributions</t>
        </is>
      </c>
      <c r="S94" s="2" t="n"/>
      <c r="T94" s="2" t="inlineStr">
        <is>
          <t>Through solution provider only</t>
        </is>
      </c>
      <c r="U94" s="2" t="n"/>
      <c r="V94" s="2" t="inlineStr">
        <is>
          <t>System complete and qualified</t>
        </is>
      </c>
      <c r="W94" s="2" t="inlineStr">
        <is>
          <t>Actively Maintained</t>
        </is>
      </c>
      <c r="X94" s="2" t="inlineStr">
        <is>
          <t>FALSE</t>
        </is>
      </c>
      <c r="Y94" s="2" t="n"/>
      <c r="Z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Improving features.
Marketing and dissemination.
Community building.
Users support.</t>
        </is>
      </c>
      <c r="H95" s="2" t="inlineStr">
        <is>
          <t>Commercial (for-profit)</t>
        </is>
      </c>
      <c r="I95" s="2" t="n"/>
      <c r="J95" s="2" t="n"/>
      <c r="K95" s="2" t="inlineStr">
        <is>
          <t>FALSE</t>
        </is>
      </c>
      <c r="L95" s="2" t="inlineStr">
        <is>
          <t>More than 20</t>
        </is>
      </c>
      <c r="M95" s="2" t="inlineStr">
        <is>
          <t>0</t>
        </is>
      </c>
      <c r="N95" s="2" t="inlineStr">
        <is>
          <t>2012-01-01</t>
        </is>
      </c>
      <c r="O95" s="2" t="inlineStr">
        <is>
          <t>Pundit was created by Net7. Its development originated from Net7’s involvement in the EU-funded project SEMLIB in 2011, leading to its first official release in 2012. Between 2015 and 2019, it served as a core component of StoM, another EU-funded project, where major efforts focused on improving usability and user experience. In 2021, a completely refactored, modern version of Pundit was released within the EU project TRIPLE, marking a major technological renewal. Additional milestones are documented in the official release notes.
Net7 is an IT company based in Pisa, Italy, specialised in Web and Data Science technologies and active in Digital Humanities, Open Access, Semantic Web, and Data Processing. The company is increasingly investing in Artificial Intelligence, Machine Learning and Text Analysis, exploring their integration with Semantic Web technologies. Net7 has extensive experience in Italian and EU-funded research projects as both participant and coordinator.</t>
        </is>
      </c>
      <c r="P95" s="2" t="inlineStr">
        <is>
          <t>No affiliations</t>
        </is>
      </c>
      <c r="Q95" s="2" t="inlineStr">
        <is>
          <t>Net7 srl</t>
        </is>
      </c>
      <c r="R95" s="2" t="inlineStr">
        <is>
          <t>Contributions</t>
        </is>
      </c>
      <c r="S95" s="2" t="n"/>
      <c r="T95" s="2" t="inlineStr">
        <is>
          <t>Through solution provider only</t>
        </is>
      </c>
      <c r="U95" s="2" t="n"/>
      <c r="V95" s="2" t="inlineStr">
        <is>
          <t>Actual system proven in operational environment</t>
        </is>
      </c>
      <c r="W95" s="2" t="inlineStr">
        <is>
          <t>Actively Maintained</t>
        </is>
      </c>
      <c r="X95" s="2" t="inlineStr">
        <is>
          <t>FALSE</t>
        </is>
      </c>
      <c r="Y95" s="2" t="n"/>
      <c r="Z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We need funding support for:
* community engagement - staff time devoted to supporting our growing community of practice
* peer review: we run open peer review of scientific software. This takes human resource time and has infrastructure costs. 
* development of training materials: we have been developing materials that make it easier for scientists to package and share code and contribute to open source.</t>
        </is>
      </c>
      <c r="H96" s="2" t="inlineStr">
        <is>
          <t>Fiscal sponsorship (non-profit)</t>
        </is>
      </c>
      <c r="I96" s="2" t="n"/>
      <c r="J96" s="2" t="n"/>
      <c r="K96" s="2" t="inlineStr">
        <is>
          <t>FALSE</t>
        </is>
      </c>
      <c r="L96" s="2" t="inlineStr">
        <is>
          <t>1-5</t>
        </is>
      </c>
      <c r="M96" s="2" t="inlineStr">
        <is>
          <t>More than 20</t>
        </is>
      </c>
      <c r="N96" s="2" t="inlineStr">
        <is>
          <t>2018-01-01</t>
        </is>
      </c>
      <c r="O96" s="2" t="inlineStr">
        <is>
          <t>https://www.pyopensci.org/blog/what-pyopensci-accomplished-with-two-years-of-funding.html#a-brief-history-of-pyopensci</t>
        </is>
      </c>
      <c r="P96" s="2" t="inlineStr">
        <is>
          <t>Community Initiatives is our Fiscal sponsor</t>
        </is>
      </c>
      <c r="Q96" s="2" t="inlineStr">
        <is>
          <t>Leah Wasser</t>
        </is>
      </c>
      <c r="R96" s="2" t="inlineStr">
        <is>
          <t>Contributions</t>
        </is>
      </c>
      <c r="S96" s="2" t="n"/>
      <c r="T96" s="2" t="inlineStr">
        <is>
          <t>Not applicable</t>
        </is>
      </c>
      <c r="U96" s="2" t="n"/>
      <c r="V96" s="2" t="inlineStr">
        <is>
          <t>Actual system proven in operational environment</t>
        </is>
      </c>
      <c r="W96" s="2" t="inlineStr">
        <is>
          <t>Actively Maintained</t>
        </is>
      </c>
      <c r="X96" s="2" t="inlineStr">
        <is>
          <t>FALSE</t>
        </is>
      </c>
      <c r="Y96" s="2" t="n"/>
      <c r="Z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n"/>
      <c r="H97" s="2" t="inlineStr">
        <is>
          <t>Fiscal sponsorship (academic institution)</t>
        </is>
      </c>
      <c r="I97" s="2" t="n"/>
      <c r="J97" s="2" t="n"/>
      <c r="K97" s="2" t="inlineStr">
        <is>
          <t>FALSE</t>
        </is>
      </c>
      <c r="L97" s="2" t="inlineStr">
        <is>
          <t>11-20</t>
        </is>
      </c>
      <c r="M97" s="2" t="inlineStr">
        <is>
          <t>1-5</t>
        </is>
      </c>
      <c r="N97" s="2" t="inlineStr">
        <is>
          <t>2018-01-01</t>
        </is>
      </c>
      <c r="O97" s="2" t="inlineStr">
        <is>
          <t>The Renku project was initiated in 2017 at the founding of the Swiss Data Science Center, to serve as a technological counterpart to the data science services provided by the Center.</t>
        </is>
      </c>
      <c r="P97" s="2" t="inlineStr">
        <is>
          <t>The Renku platform at renkulab.io (“Renku”) is managed jointly by the Ecole Polytechnique Fédérale de Lausanne (« EPFL ») and the Eidgenössische Technische Hochschule Zürich (« ETHZ »), Rämistrasse 101, 8092 Zürich, Switzerland.</t>
        </is>
      </c>
      <c r="Q97" s="2" t="n"/>
      <c r="R97" s="2" t="inlineStr">
        <is>
          <t>Contributions</t>
        </is>
      </c>
      <c r="S97" s="2" t="n"/>
      <c r="T97" s="2" t="inlineStr">
        <is>
          <t>Through solution provider or third party vendor</t>
        </is>
      </c>
      <c r="U97" s="2" t="n"/>
      <c r="V97" s="2" t="inlineStr">
        <is>
          <t>Actual system proven in operational environment</t>
        </is>
      </c>
      <c r="W97" s="2" t="inlineStr">
        <is>
          <t>Actively Maintained</t>
        </is>
      </c>
      <c r="X97" s="2" t="inlineStr">
        <is>
          <t>FALSE</t>
        </is>
      </c>
      <c r="Y97" s="2" t="n"/>
      <c r="Z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Long term, we may need to find a way to replace volunteers once they age out.</t>
        </is>
      </c>
      <c r="H98" s="2" t="inlineStr">
        <is>
          <t>Volunteer community</t>
        </is>
      </c>
      <c r="I98" s="2" t="n"/>
      <c r="J98" s="2" t="n"/>
      <c r="K98" s="2" t="inlineStr">
        <is>
          <t>FALSE</t>
        </is>
      </c>
      <c r="L98" s="2" t="inlineStr">
        <is>
          <t>0</t>
        </is>
      </c>
      <c r="M98" s="2" t="n"/>
      <c r="N98" s="2" t="inlineStr">
        <is>
          <t>1997-01-01</t>
        </is>
      </c>
      <c r="O98" s="2" t="inlineStr">
        <is>
          <t>https://ideas.repec.org/history.html</t>
        </is>
      </c>
      <c r="P98" s="2" t="inlineStr">
        <is>
          <t>Since 2010‒10‒01, RePEc has been an independent project of the Open Library Society.</t>
        </is>
      </c>
      <c r="Q98" s="2" t="inlineStr">
        <is>
          <t>Thomas Krichel, idea and concept
Present at founding meeting: José Manuel Barrueco Cruz, Sune Karlsson, Thomas Krichel, Thomas Place, and Corry Stuyts</t>
        </is>
      </c>
      <c r="R98" s="2" t="inlineStr">
        <is>
          <t>Other</t>
        </is>
      </c>
      <c r="S98" s="2" t="inlineStr">
        <is>
          <t>RePEc is largely run by volunteers on donated or shared hardware. Various small projects have been covered by small grants.</t>
        </is>
      </c>
      <c r="T98" s="2" t="inlineStr">
        <is>
          <t>Not applicable</t>
        </is>
      </c>
      <c r="U98" s="2" t="n"/>
      <c r="V98" s="2" t="inlineStr">
        <is>
          <t>Actual system proven in operational environment</t>
        </is>
      </c>
      <c r="W98" s="2" t="inlineStr">
        <is>
          <t>Minimally Maintained</t>
        </is>
      </c>
      <c r="X98" s="2" t="inlineStr">
        <is>
          <t>FALSE</t>
        </is>
      </c>
      <c r="Y98" s="2" t="n"/>
      <c r="Z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ROR receives ongoing financial support from stakeholder organizations. The ROR supporters program strengthens community investment and helps to offset operating costs and fund time-limited projects.See https://ror.org/community/#supporters .</t>
        </is>
      </c>
      <c r="H99" s="2" t="inlineStr">
        <is>
          <t>Other</t>
        </is>
      </c>
      <c r="I99" s="2" t="inlineStr">
        <is>
          <t xml:space="preserve">ROR is operated as a collaborative initiative by California Digital Library, Crossref, and DataCite. The three ROR governing organizations collectively assume and share responsibility for ROR governance, operations, resourcing, and decision-making. These responsibilities are defined in a Memorandum of Agreement (MOA). See https://ror.org/about/#governance. </t>
        </is>
      </c>
      <c r="J99" s="2" t="n"/>
      <c r="K99" s="2" t="inlineStr">
        <is>
          <t>FALSE</t>
        </is>
      </c>
      <c r="L99" s="2" t="n"/>
      <c r="M99" s="2" t="n"/>
      <c r="N99" s="2" t="inlineStr">
        <is>
          <t>2019-01-01</t>
        </is>
      </c>
      <c r="O99" s="2" t="inlineStr">
        <is>
          <t>&lt;a href="https://ror.org/about/history" target="_blank"&gt;https://ror.org/about/history&lt;/a&gt;</t>
        </is>
      </c>
      <c r="P99" s="2" t="n"/>
      <c r="Q99" s="2" t="n"/>
      <c r="R99" s="2" t="inlineStr">
        <is>
          <t>Other</t>
        </is>
      </c>
      <c r="S99" s="2" t="inlineStr">
        <is>
          <t>ROR's core operating expenses are supported by its three operating organizations. ROR receives additional ad hoc contributions from stakeholder organizations and these funds are used to accelerate and scale ROR's activities.</t>
        </is>
      </c>
      <c r="T99" s="2" t="inlineStr">
        <is>
          <t>Not applicable</t>
        </is>
      </c>
      <c r="U99" s="2" t="n"/>
      <c r="V99" s="2" t="inlineStr">
        <is>
          <t>Actual system proven in operational environment</t>
        </is>
      </c>
      <c r="W99" s="2" t="inlineStr">
        <is>
          <t>Actively Maintained</t>
        </is>
      </c>
      <c r="X99" s="2" t="inlineStr">
        <is>
          <t>TRUE</t>
        </is>
      </c>
      <c r="Y99" s="2" t="n"/>
      <c r="Z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Support the operating costs for Rogue Scholar (DOI registrations with Crossref, archiving with Internet Archive, server infrastructure) to allow Rogue Scholar to scale.</t>
        </is>
      </c>
      <c r="H100" s="2" t="inlineStr">
        <is>
          <t>Commercial (for-profit)</t>
        </is>
      </c>
      <c r="I100" s="2" t="n"/>
      <c r="J100" s="2" t="n"/>
      <c r="K100" s="2" t="inlineStr">
        <is>
          <t>FALSE</t>
        </is>
      </c>
      <c r="L100" s="2" t="n"/>
      <c r="M100" s="2" t="n"/>
      <c r="N100" s="2" t="inlineStr">
        <is>
          <t>2023-01-01</t>
        </is>
      </c>
      <c r="O100" s="2" t="inlineStr">
        <is>
          <t>The Rogue Scholar is available with limited functionality since April 1, 2023, and full functionality (DOI and metadata registration, archiving of full-text content, and full-text search) since July 1, 2023.</t>
        </is>
      </c>
      <c r="P100" s="2" t="n"/>
      <c r="Q100" s="2" t="n"/>
      <c r="R100" s="2" t="inlineStr">
        <is>
          <t>Contributions</t>
        </is>
      </c>
      <c r="S100" s="2" t="n"/>
      <c r="T100" s="2" t="inlineStr">
        <is>
          <t>Not applicable</t>
        </is>
      </c>
      <c r="U100" s="2" t="n"/>
      <c r="V100" s="2" t="inlineStr">
        <is>
          <t>Actual system proven in operational environment</t>
        </is>
      </c>
      <c r="W100" s="2" t="inlineStr">
        <is>
          <t>Actively Maintained</t>
        </is>
      </c>
      <c r="X100" s="2" t="inlineStr">
        <is>
          <t>FALSE</t>
        </is>
      </c>
      <c r="Y100" s="2" t="n"/>
      <c r="Z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Research Space is open to engage and collaborate with research organisations and research infrastructure initiatives to develop open research ecosystems.</t>
        </is>
      </c>
      <c r="H101" s="2" t="inlineStr">
        <is>
          <t>Commercial (for-profit)</t>
        </is>
      </c>
      <c r="I101" s="2" t="n"/>
      <c r="J101" s="2" t="n"/>
      <c r="K101" s="2" t="inlineStr">
        <is>
          <t>TRUE</t>
        </is>
      </c>
      <c r="L101" s="2" t="inlineStr">
        <is>
          <t>11-20</t>
        </is>
      </c>
      <c r="M101" s="2" t="inlineStr">
        <is>
          <t>0</t>
        </is>
      </c>
      <c r="N101" s="2" t="inlineStr">
        <is>
          <t>2017-01-01</t>
        </is>
      </c>
      <c r="O101" s="2" t="inlineStr">
        <is>
          <t>https://www.researchspace.com/about</t>
        </is>
      </c>
      <c r="P101" s="2" t="inlineStr">
        <is>
          <t>No affiliations</t>
        </is>
      </c>
      <c r="Q101" s="2" t="inlineStr">
        <is>
          <t>Rory Macneil
Nigel Goddard
Note:  Rory and Nigel are the two board directors.  In the link provided to 'List of board members' above, which is the only public link available, two other names are listed.  Those people have the right to file information about the company but are not directors.</t>
        </is>
      </c>
      <c r="R101" s="2" t="inlineStr">
        <is>
          <t>Program service revenue</t>
        </is>
      </c>
      <c r="S101" s="2" t="n"/>
      <c r="T101" s="2" t="inlineStr">
        <is>
          <t>Through solution provider only</t>
        </is>
      </c>
      <c r="U101" s="2" t="n"/>
      <c r="V101" s="2" t="inlineStr">
        <is>
          <t>Actual system proven in operational environment</t>
        </is>
      </c>
      <c r="W101" s="2" t="inlineStr">
        <is>
          <t>Actively Maintained</t>
        </is>
      </c>
      <c r="X101" s="2" t="inlineStr">
        <is>
          <t>FALSE</t>
        </is>
      </c>
      <c r="Y101" s="2" t="n"/>
      <c r="Z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Sciety requires £1m per year in baseline funding with additional funding for accelerating functionality and specific project funding.</t>
        </is>
      </c>
      <c r="H102" s="2" t="inlineStr">
        <is>
          <t>Non-profit organization</t>
        </is>
      </c>
      <c r="I102" s="2" t="n"/>
      <c r="J102" s="2" t="inlineStr">
        <is>
          <t>501(c)3</t>
        </is>
      </c>
      <c r="K102" s="2" t="inlineStr">
        <is>
          <t>FALSE</t>
        </is>
      </c>
      <c r="L102" s="2" t="inlineStr">
        <is>
          <t>1-5</t>
        </is>
      </c>
      <c r="M102" s="2" t="inlineStr">
        <is>
          <t>0</t>
        </is>
      </c>
      <c r="N102" s="2" t="inlineStr">
        <is>
          <t>2020-01-01</t>
        </is>
      </c>
      <c r="O102" s="2" t="inlineStr">
        <is>
          <t>https://elifesciences.org/inside-elife/daf1b699/elife-latest-announcing-a-new-technology-direction</t>
        </is>
      </c>
      <c r="P102" s="2" t="inlineStr">
        <is>
          <t>Howard Hughes Medical Institute, Wellcome Trust</t>
        </is>
      </c>
      <c r="Q102" s="2" t="inlineStr">
        <is>
          <t>Howard Hughes Medical Institute, Wellcome Trust, eLife Sciences</t>
        </is>
      </c>
      <c r="R102" s="2" t="inlineStr">
        <is>
          <t>Contributions</t>
        </is>
      </c>
      <c r="S102" s="2" t="n"/>
      <c r="T102" s="2" t="inlineStr">
        <is>
          <t>Not applicable</t>
        </is>
      </c>
      <c r="U102" s="2" t="n"/>
      <c r="V102" s="2" t="inlineStr">
        <is>
          <t>Actual system proven in operational environment</t>
        </is>
      </c>
      <c r="W102" s="2" t="inlineStr">
        <is>
          <t>Actively Maintained</t>
        </is>
      </c>
      <c r="X102" s="2" t="inlineStr">
        <is>
          <t>FALSE</t>
        </is>
      </c>
      <c r="Y102" s="2" t="n"/>
      <c r="Z102" s="2" t="n"/>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Investment is essential for Sage Bionetworks to advance our mission of open science and radical collaboration. Securing additional funding will enhance our data-sharing platforms, enabling more efficient access to biomedical data, accelerating discoveries, and promoting innovative health solutions. As a 501(c)3 organization we rely on governmental support and collaborative partnerships and investment to break down silos in science and technology, paving the way for optimal human health through open science.</t>
        </is>
      </c>
      <c r="H103" s="2" t="inlineStr">
        <is>
          <t>Non-profit organization</t>
        </is>
      </c>
      <c r="I103" s="2" t="n"/>
      <c r="J103" s="2" t="inlineStr">
        <is>
          <t>501(c)3</t>
        </is>
      </c>
      <c r="K103" s="2" t="inlineStr">
        <is>
          <t>FALSE</t>
        </is>
      </c>
      <c r="L103" s="2" t="inlineStr">
        <is>
          <t>More than 20</t>
        </is>
      </c>
      <c r="M103" s="2" t="inlineStr">
        <is>
          <t>0</t>
        </is>
      </c>
      <c r="N103" s="2" t="inlineStr">
        <is>
          <t>2013-01-01</t>
        </is>
      </c>
      <c r="O103" s="2" t="inlineStr">
        <is>
          <t>https://en.wikipedia.org/wiki/Sage_Bionetworks</t>
        </is>
      </c>
      <c r="P103" s="2" t="inlineStr">
        <is>
          <t>No Affiliations</t>
        </is>
      </c>
      <c r="Q103" s="2" t="inlineStr">
        <is>
          <t xml:space="preserve">Stephen H. Friend MD, PhD
Eric Schadt, PhD
</t>
        </is>
      </c>
      <c r="R103" s="2" t="inlineStr">
        <is>
          <t>Contributions</t>
        </is>
      </c>
      <c r="S103" s="2" t="n"/>
      <c r="T103" s="2" t="inlineStr">
        <is>
          <t>Through solution provider only</t>
        </is>
      </c>
      <c r="U103" s="2" t="n"/>
      <c r="V103" s="2" t="inlineStr">
        <is>
          <t>Actual system proven in operational environment</t>
        </is>
      </c>
      <c r="W103" s="2" t="inlineStr">
        <is>
          <t>Actively Maintained</t>
        </is>
      </c>
      <c r="X103" s="2" t="inlineStr">
        <is>
          <t>FALSE</t>
        </is>
      </c>
      <c r="Y103" s="2" t="n"/>
      <c r="Z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As mentioned above, I (Peter Suber) am now looking for a nonprofit organization to take over both TagTeam and the Open Access Tracking Project.
https://docs.google.com/document/d/1hexI0i0L4lWN2rqGLUr364kbKIU3HPIXbml4Juhe57w/edit 
Ideally the org would pay for the further development of TagTeam and hire a community manager for OATP. I'm willing to help it apply for grants for that purpose. But now that I'm semi-retired, I don't want to take the lead to apply for those grants myself.</t>
        </is>
      </c>
      <c r="H104" s="2" t="inlineStr">
        <is>
          <t>Volunteer community</t>
        </is>
      </c>
      <c r="I104" s="2" t="n"/>
      <c r="J104" s="2" t="n"/>
      <c r="K104" s="2" t="inlineStr">
        <is>
          <t>FALSE</t>
        </is>
      </c>
      <c r="L104" s="2" t="inlineStr">
        <is>
          <t>0</t>
        </is>
      </c>
      <c r="M104" s="2" t="inlineStr">
        <is>
          <t>More than 20</t>
        </is>
      </c>
      <c r="N104" s="2" t="inlineStr">
        <is>
          <t>2011-01-01</t>
        </is>
      </c>
      <c r="O104" s="2" t="inlineStr">
        <is>
          <t>TagTeam was initially developed (2011) to meet the needs of the Open Access Tracking Project (OATP). But it's now a general-purpose tool for open, tag-based research projects on any topic. OATP is now just one of many hubs in TagTeam.
TagTeam has been funded by the Arcadia Fund (2011-2016) and the Laura and John Arnold Foundation (2016-2018).
The founder (Peter Suber) is now looking for a nonprofit organization to take over both TagTeam and the Open Access Tracking Project.
https://docs.google.com/document/d/1hexI0i0L4lWN2rqGLUr364kbKIU3HPIXbml4Juhe57w/edit</t>
        </is>
      </c>
      <c r="P104" s="2" t="inlineStr">
        <is>
          <t xml:space="preserve">Berkman Klein Center for Internet &amp; Society </t>
        </is>
      </c>
      <c r="Q104" s="2" t="inlineStr">
        <is>
          <t>Peter Suber</t>
        </is>
      </c>
      <c r="R104" s="2" t="inlineStr">
        <is>
          <t>Other</t>
        </is>
      </c>
      <c r="S104" s="2" t="inlineStr">
        <is>
          <t>Foundation grants</t>
        </is>
      </c>
      <c r="T104" s="2" t="inlineStr">
        <is>
          <t>Not applicable</t>
        </is>
      </c>
      <c r="U104" s="2" t="n"/>
      <c r="V104" s="2" t="inlineStr">
        <is>
          <t>Actual system proven in operational environment</t>
        </is>
      </c>
      <c r="W104" s="2" t="inlineStr">
        <is>
          <t>Minimally Maintained</t>
        </is>
      </c>
      <c r="X104" s="2" t="inlineStr">
        <is>
          <t>FALSE</t>
        </is>
      </c>
      <c r="Y104" s="2" t="n"/>
      <c r="Z104" s="2" t="n"/>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n"/>
      <c r="H105" s="2" t="inlineStr">
        <is>
          <t>Non-profit organization</t>
        </is>
      </c>
      <c r="I105" s="2" t="n"/>
      <c r="J105" s="2" t="inlineStr">
        <is>
          <t>Community interest company (CIC)</t>
        </is>
      </c>
      <c r="K105" s="2" t="inlineStr">
        <is>
          <t>FALSE</t>
        </is>
      </c>
      <c r="L105" s="2" t="inlineStr">
        <is>
          <t>1-5</t>
        </is>
      </c>
      <c r="M105" s="2" t="inlineStr">
        <is>
          <t>0</t>
        </is>
      </c>
      <c r="N105" s="2" t="inlineStr">
        <is>
          <t>2020-01-01</t>
        </is>
      </c>
      <c r="O105" s="2" t="inlineStr">
        <is>
          <t>Thoth emerged out of the collaborative efforts of the Community-led Open Publication Infrastructures for Monographs (COPIM) project. Thoth's founding members comprise the Open Book Collective, ScholarLed, Open Book Publishers, and punctum books.
Together with nearly two dozen partners from the academic and open publishing world Thoth is a key stakeholder in the Copim Open Book Futures project funded by the Research England Development Fund/UKRI and Arcadia.
Thoth Open Metadata is increasingly integrated with other platforms such as the Open Book Collective, PKP’s Open Monographs Press (OMP), and the Internet Archive (the latter via the Thoth Open Archiving Network). Moreover, Thoth actively engages with like-minded open infrastructures to foster partnerships to enable small-to-medium-sized publishers to participate in the wider book supply chain. Thoth also is a Crossref Sponsor and a member of OPERAS, OAPEN, and OASPA.
https://thoth.pub/about/partners</t>
        </is>
      </c>
      <c r="P105" s="2" t="inlineStr">
        <is>
          <t>Community-led Open Publication Infrastructures for Monographs (COPIM)
Copim Open Book Futures
Open Book Collective</t>
        </is>
      </c>
      <c r="Q105" s="2" t="n"/>
      <c r="R105" s="2" t="inlineStr">
        <is>
          <t>Contributions</t>
        </is>
      </c>
      <c r="S105" s="2" t="n"/>
      <c r="T105" s="2" t="inlineStr">
        <is>
          <t>Through solution provider only</t>
        </is>
      </c>
      <c r="U105" s="2" t="n"/>
      <c r="V105" s="2" t="inlineStr">
        <is>
          <t>Actual system proven in operational environment</t>
        </is>
      </c>
      <c r="W105" s="2" t="inlineStr">
        <is>
          <t>Actively Maintained</t>
        </is>
      </c>
      <c r="X105" s="2" t="inlineStr">
        <is>
          <t>FALSE</t>
        </is>
      </c>
      <c r="Y105" s="2" t="n"/>
      <c r="Z105" s="2" t="n"/>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n"/>
      <c r="H106" s="2" t="inlineStr">
        <is>
          <t>Fiscal sponsorship (non-profit)</t>
        </is>
      </c>
      <c r="I106" s="2" t="n"/>
      <c r="J106" s="2" t="n"/>
      <c r="K106" s="2" t="inlineStr">
        <is>
          <t>FALSE</t>
        </is>
      </c>
      <c r="L106" s="2" t="n"/>
      <c r="M106" s="2" t="n"/>
      <c r="N106" s="2" t="inlineStr">
        <is>
          <t>2017-01-01</t>
        </is>
      </c>
      <c r="O106" s="2" t="inlineStr">
        <is>
          <t>Tropy was initially launched in 2017 from the Roy Rosenzweig Center for History and New Media at George Mason University with research funding from the Mellon Foundation. Since 2024 the corporation Digital Scholar has continued to develop Tropy independently. Digital Scholar is a non-stock corporation that follows 501c3 guidelines in its operations.</t>
        </is>
      </c>
      <c r="P106" s="2" t="inlineStr">
        <is>
          <t>None.</t>
        </is>
      </c>
      <c r="Q106" s="2" t="n"/>
      <c r="R106" s="2" t="inlineStr">
        <is>
          <t>Program service revenue</t>
        </is>
      </c>
      <c r="S106" s="2" t="n"/>
      <c r="T106" s="2" t="inlineStr">
        <is>
          <t>Not applicable</t>
        </is>
      </c>
      <c r="U106" s="2" t="n"/>
      <c r="V106" s="2" t="inlineStr">
        <is>
          <t>Actual system proven in operational environment</t>
        </is>
      </c>
      <c r="W106" s="2" t="inlineStr">
        <is>
          <t>Actively Maintained</t>
        </is>
      </c>
      <c r="X106" s="2" t="inlineStr">
        <is>
          <t>FALSE</t>
        </is>
      </c>
      <c r="Y106" s="2" t="n"/>
      <c r="Z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We are fairly self sufficient but extra funding would allow us dedicated development staff, these are currently on a best effort basis.</t>
        </is>
      </c>
      <c r="H107" s="2" t="inlineStr">
        <is>
          <t>Non-profit organization</t>
        </is>
      </c>
      <c r="I107" s="2" t="n"/>
      <c r="J107" s="2" t="inlineStr">
        <is>
          <t>Autonomous non-commercial organization</t>
        </is>
      </c>
      <c r="K107" s="2" t="inlineStr">
        <is>
          <t>FALSE</t>
        </is>
      </c>
      <c r="L107" s="2" t="inlineStr">
        <is>
          <t>1-5</t>
        </is>
      </c>
      <c r="M107" s="2" t="inlineStr">
        <is>
          <t>0</t>
        </is>
      </c>
      <c r="N107" s="2" t="inlineStr">
        <is>
          <t>2017-01-01</t>
        </is>
      </c>
      <c r="O107" s="2" t="inlineStr">
        <is>
          <t>Initially funded by PREFORMA, an EU pre-procurement project in 2014. The veraPDF consortium was initially established by the Open Preservation Foundation in collaboration with the PDF Association. Dual Labs, a PDF development company based in Minsk, Belarus was also a founding member, brought in to work with the ISO technical committee resolving specification ambiguities, and carrying out the development work with OPF.
The first full release of veraPDF covered only PDF/A-1 to PDF/A-3 validation when funding concluded in 2017. Since then the consortium has continued to release software regularly, at least once a year, adding new PDF specifications as they are released.
veraPDF is accompanied by an extensive corpus of test PDFs that aim to check each PDF/A and PDF/UA specification clause. This corpus is now used throughout the industry, including by Adobe, to test the functionality of PDF/A and PDF/UA validation software.
veraPDF is also used by many open source software projects to test the quality of PDF/A and PDF/UA documents produced by OpenOffice, LibreOffice and LaTex.</t>
        </is>
      </c>
      <c r="P107" s="2" t="inlineStr">
        <is>
          <t>Open Preservation Foundation
PDF Association
Dual Labs</t>
        </is>
      </c>
      <c r="Q107" s="2" t="inlineStr">
        <is>
          <t>Open Preservation Foundation
PDF Association</t>
        </is>
      </c>
      <c r="R107" s="2" t="inlineStr">
        <is>
          <t>Contributions</t>
        </is>
      </c>
      <c r="S107" s="2" t="n"/>
      <c r="T107" s="2" t="inlineStr">
        <is>
          <t>Not applicable</t>
        </is>
      </c>
      <c r="U107" s="2" t="n"/>
      <c r="V107" s="2" t="inlineStr">
        <is>
          <t>Actual system proven in operational environment</t>
        </is>
      </c>
      <c r="W107" s="2" t="inlineStr">
        <is>
          <t>Actively Maintained</t>
        </is>
      </c>
      <c r="X107" s="2" t="inlineStr">
        <is>
          <t>FALSE</t>
        </is>
      </c>
      <c r="Y107" s="2" t="n"/>
      <c r="Z107" s="2" t="n"/>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n"/>
      <c r="H108" s="2" t="inlineStr">
        <is>
          <t>Non-profit organization</t>
        </is>
      </c>
      <c r="I108" s="2" t="n"/>
      <c r="J108" s="2" t="inlineStr">
        <is>
          <t>Company limited by guarantee</t>
        </is>
      </c>
      <c r="K108" s="2" t="inlineStr">
        <is>
          <t>FALSE</t>
        </is>
      </c>
      <c r="L108" s="2" t="inlineStr">
        <is>
          <t>6-10</t>
        </is>
      </c>
      <c r="M108" s="2" t="n"/>
      <c r="N108" s="2" t="inlineStr">
        <is>
          <t>2023-01-01</t>
        </is>
      </c>
      <c r="O108" s="2" t="inlineStr">
        <is>
          <t>The OPF was established in 2010 to sustain the outcomes of an EU-funded R&amp;D project called Planets. The Foundation’s goal was to build on the project’s collaborative, practical approach to digital preservation.
In 2014 the OPF changed its name from the Open Planets Foundation to the Open Preservation Foundation to reflect evolution and relevance within a growing field. The OPF is an independent, not-for-profit membership organisation, welcoming digital preservation practitioners from around the world to our community.
Collaboration and sustainability remain at the heart of what we do, serving our members and the community by providing practical digital preservation solutions and facilitating best practices.
We work to enable shared solutions for digital preservation, leading collaborative efforts to create and develop sustainable, open-source software, resources and standards. This enables organisations to evaluate and process digital content while documenting and mitigating risk.</t>
        </is>
      </c>
      <c r="P108" s="2" t="inlineStr">
        <is>
          <t>Artefactual</t>
        </is>
      </c>
      <c r="Q108" s="2" t="inlineStr">
        <is>
          <t>British Library</t>
        </is>
      </c>
      <c r="R108" s="2" t="inlineStr">
        <is>
          <t>Other</t>
        </is>
      </c>
      <c r="S108" s="2" t="inlineStr">
        <is>
          <t>Membership subscription fees</t>
        </is>
      </c>
      <c r="T108" s="2" t="inlineStr">
        <is>
          <t>Not applicable</t>
        </is>
      </c>
      <c r="U108" s="2" t="n"/>
      <c r="V108" s="2" t="inlineStr">
        <is>
          <t>Actual system proven in operational environment</t>
        </is>
      </c>
      <c r="W108" s="2" t="inlineStr">
        <is>
          <t>Actively Maintained</t>
        </is>
      </c>
      <c r="X108" s="2" t="inlineStr">
        <is>
          <t>FALSE</t>
        </is>
      </c>
      <c r="Y108" s="2" t="n"/>
      <c r="Z108" s="2" t="n"/>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n"/>
      <c r="H109" s="2" t="inlineStr">
        <is>
          <t>Non-profit organization</t>
        </is>
      </c>
      <c r="I109" s="2" t="n"/>
      <c r="J109" s="2" t="n"/>
      <c r="K109" s="2" t="inlineStr">
        <is>
          <t>FALSE</t>
        </is>
      </c>
      <c r="L109" s="2" t="inlineStr">
        <is>
          <t>1-5</t>
        </is>
      </c>
      <c r="M109" s="2" t="inlineStr">
        <is>
          <t>Unknown</t>
        </is>
      </c>
      <c r="N109" s="2" t="inlineStr">
        <is>
          <t>2008-01-01</t>
        </is>
      </c>
      <c r="O109" s="2" t="inlineStr">
        <is>
          <t>https://texasdigitallibrary.atlassian.net/wiki/spaces/VUG/pages/732561434/Vireo+Version+History</t>
        </is>
      </c>
      <c r="P109" s="2" t="inlineStr">
        <is>
          <t>Texas Digital Library
Vireo User Group Steering Committee</t>
        </is>
      </c>
      <c r="Q109" s="2" t="inlineStr">
        <is>
          <t>The Texas Digital Library, in close collaboration with Texas A&amp;M University, provided initial development of Vireo and released it under an open source license in 2010.</t>
        </is>
      </c>
      <c r="R109" s="2" t="inlineStr">
        <is>
          <t>Program service revenue</t>
        </is>
      </c>
      <c r="S109" s="2" t="n"/>
      <c r="T109" s="2" t="inlineStr">
        <is>
          <t>Through solution provider only</t>
        </is>
      </c>
      <c r="U109" s="2" t="n"/>
      <c r="V109" s="2" t="inlineStr">
        <is>
          <t>Actual system proven in operational environment</t>
        </is>
      </c>
      <c r="W109" s="2" t="inlineStr">
        <is>
          <t>Actively Maintained</t>
        </is>
      </c>
      <c r="X109" s="2" t="inlineStr">
        <is>
          <t>FALSE</t>
        </is>
      </c>
      <c r="Y109" s="2" t="n"/>
      <c r="Z109" s="2" t="n"/>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Membership represents the main source of unrestricted income for program initiatives and provides essential support for our staff and operations. It is through the support and collaboration of our members that we are able to advance the program to meet the evolving needs of our community. Your financial support and engagement is critical to keep our program strong.
While the best way to support VIVO and ensure its sustainability is through membership, contributing to the Development Fund provides an alternative path to help accelerate the development work on its roadmap.</t>
        </is>
      </c>
      <c r="H110" s="2" t="inlineStr">
        <is>
          <t>Fiscal sponsorship (non-profit)</t>
        </is>
      </c>
      <c r="I110" s="2" t="n"/>
      <c r="J110" s="2" t="n"/>
      <c r="K110" s="2" t="inlineStr">
        <is>
          <t>FALSE</t>
        </is>
      </c>
      <c r="L110" s="2" t="inlineStr">
        <is>
          <t>1-5</t>
        </is>
      </c>
      <c r="M110" s="2" t="inlineStr">
        <is>
          <t>Unknown</t>
        </is>
      </c>
      <c r="N110" s="2" t="inlineStr">
        <is>
          <t>2009-01-01</t>
        </is>
      </c>
      <c r="O110" s="2" t="inlineStr">
        <is>
          <t>VIVO is in its seventeenth year as an open source platform for representing research and scholarship. 
The VIVO Annual Reports provide an overview of the activities for each year. https://vivoweb.org/annual-reports/ .</t>
        </is>
      </c>
      <c r="P110" s="2" t="inlineStr">
        <is>
          <t>Lyrasis serves as the organizational home for VIVO.
Multiple research institutions and universities across the world are involved in the governance of VIVO.</t>
        </is>
      </c>
      <c r="Q110" s="2" t="inlineStr">
        <is>
          <t xml:space="preserve">University of Florida
Cornell University
Indiana University-Bloomington
Weill Cornell
Washington University of St. Louis
Scripps Research Institute
Ponce Health Sciences University
</t>
        </is>
      </c>
      <c r="R110" s="2" t="inlineStr">
        <is>
          <t>Contributions</t>
        </is>
      </c>
      <c r="S110" s="2" t="n"/>
      <c r="T110" s="2" t="inlineStr">
        <is>
          <t>Through solution provider or third party vendor</t>
        </is>
      </c>
      <c r="U110" s="2" t="inlineStr">
        <is>
          <t>https://vivoweb.org/service-providers/</t>
        </is>
      </c>
      <c r="V110" s="2" t="inlineStr">
        <is>
          <t>Actual system proven in operational environment</t>
        </is>
      </c>
      <c r="W110" s="2" t="inlineStr">
        <is>
          <t>Actively Maintained</t>
        </is>
      </c>
      <c r="X110" s="2" t="inlineStr">
        <is>
          <t>FALSE</t>
        </is>
      </c>
      <c r="Y110" s="2" t="n"/>
      <c r="Z110" s="2" t="n"/>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At present, the project is entirely volunteer-managed, and it has a long history of successfully growing without a dedicated budget. However, since joining the OLF, fundraising has been more of a focus for the project. Obtaining sufficient funds to support dedicated project staff would help to ensure sustainability in case of future shifting of individual or organizational priorities.</t>
        </is>
      </c>
      <c r="H111" s="2" t="inlineStr">
        <is>
          <t>Non-profit organization</t>
        </is>
      </c>
      <c r="I111" s="2" t="n"/>
      <c r="J111" s="2" t="n"/>
      <c r="K111" s="2" t="inlineStr">
        <is>
          <t>FALSE</t>
        </is>
      </c>
      <c r="L111" s="2" t="n"/>
      <c r="M111" s="2" t="n"/>
      <c r="N111" s="2" t="inlineStr">
        <is>
          <t>2007-01-01</t>
        </is>
      </c>
      <c r="O111" s="2" t="inlineStr">
        <is>
          <t>The first VuFind® alpha release was published in 2007, with the stable 1.0 release arriving in 2010. The software was significantly rearchitected for release 2.0 in 2013, and has grown organically since then. The project was incubated at Villanova University's Falvey Library, but moved into the Open Library Foundation in 2022.</t>
        </is>
      </c>
      <c r="P111" s="2" t="n"/>
      <c r="Q111" s="2" t="n"/>
      <c r="R111" s="2" t="inlineStr">
        <is>
          <t>Contributions</t>
        </is>
      </c>
      <c r="S111" s="2" t="n"/>
      <c r="T111" s="2" t="inlineStr">
        <is>
          <t>Through solution provider or third party vendor</t>
        </is>
      </c>
      <c r="U111" s="2" t="n"/>
      <c r="V111" s="2" t="inlineStr">
        <is>
          <t>Actual system proven in operational environment</t>
        </is>
      </c>
      <c r="W111" s="2" t="inlineStr">
        <is>
          <t>Actively Maintained</t>
        </is>
      </c>
      <c r="X111" s="2" t="inlineStr">
        <is>
          <t>FALSE</t>
        </is>
      </c>
      <c r="Y111" s="2" t="n"/>
      <c r="Z111" s="2" t="n"/>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n"/>
      <c r="H112" s="2" t="inlineStr">
        <is>
          <t>Fiscal sponsorship (academic institution)</t>
        </is>
      </c>
      <c r="I112" s="2" t="n"/>
      <c r="J112" s="2" t="n"/>
      <c r="K112" s="2" t="inlineStr">
        <is>
          <t>FALSE</t>
        </is>
      </c>
      <c r="L112" s="2" t="n"/>
      <c r="M112" s="2" t="n"/>
      <c r="N112" s="2" t="inlineStr">
        <is>
          <t>2013-01-01</t>
        </is>
      </c>
      <c r="O112" s="2" t="inlineStr">
        <is>
          <t>Zenodo was launched on May 8, 2013, as the successor of the OpenAIRE Orphan Records Repository to let researchers in any subject area comply with any open science deposit requirement absent an institutional repository. It was relaunched as Zenodo in 2015 to provide a place for researchers to deposit datasets. (from &lt;a href="https://en.wikipedia.org/wiki/Zenodo" target="_blank"&gt;https://en.wikipedia.org/wiki/Zenodo&lt;/a&gt;)</t>
        </is>
      </c>
      <c r="P112" s="2" t="n"/>
      <c r="Q112" s="2" t="n"/>
      <c r="R112" s="2" t="inlineStr">
        <is>
          <t>Contributions</t>
        </is>
      </c>
      <c r="S112" s="2" t="n"/>
      <c r="T112" s="2" t="inlineStr">
        <is>
          <t>Not applicable</t>
        </is>
      </c>
      <c r="U112" s="2" t="n"/>
      <c r="V112" s="2" t="inlineStr">
        <is>
          <t>Actual system proven in operational environment</t>
        </is>
      </c>
      <c r="W112" s="2" t="inlineStr">
        <is>
          <t>Actively Maintained</t>
        </is>
      </c>
      <c r="X112" s="2" t="inlineStr">
        <is>
          <t>FALSE</t>
        </is>
      </c>
      <c r="Y112" s="2" t="n"/>
      <c r="Z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Zotero has been independent and sustainable since 2013, through proceeds from responsibly-priced add-on services.</t>
        </is>
      </c>
      <c r="H113" s="2" t="inlineStr">
        <is>
          <t>Fiscal sponsorship (non-profit)</t>
        </is>
      </c>
      <c r="I113" s="2" t="n"/>
      <c r="J113" s="2" t="n"/>
      <c r="K113" s="2" t="inlineStr">
        <is>
          <t>FALSE</t>
        </is>
      </c>
      <c r="L113" s="2" t="n"/>
      <c r="M113" s="2" t="n"/>
      <c r="N113" s="2" t="inlineStr">
        <is>
          <t>2006-01-01</t>
        </is>
      </c>
      <c r="O113" s="2" t="inlineStr">
        <is>
          <t>Zotero was initially launched in 2006 from the Roy Rosenzweig Center for History and New Media at George Mason University. In 2009 the nonprofit corporation Digital Scholar was founded to operate Zotero's business model and to continue developing Zotero's platforms and services independently. Digital Scholar is a non-stock corporation that follows 501c3 guidelines in its operations.</t>
        </is>
      </c>
      <c r="P113" s="2" t="inlineStr">
        <is>
          <t>No affiliations</t>
        </is>
      </c>
      <c r="Q113" s="2" t="n"/>
      <c r="R113" s="2" t="inlineStr">
        <is>
          <t>Program service revenue</t>
        </is>
      </c>
      <c r="S113" s="2" t="n"/>
      <c r="T113" s="2" t="inlineStr">
        <is>
          <t>Through solution provider only</t>
        </is>
      </c>
      <c r="U113" s="2" t="n"/>
      <c r="V113" s="2" t="inlineStr">
        <is>
          <t>Actual system proven in operational environment</t>
        </is>
      </c>
      <c r="W113" s="2" t="inlineStr">
        <is>
          <t>Actively Maintained</t>
        </is>
      </c>
      <c r="X113" s="2" t="inlineStr">
        <is>
          <t>FALSE</t>
        </is>
      </c>
      <c r="Y113" s="2" t="n"/>
      <c r="Z113" s="2" t="n"/>
    </row>
  </sheetData>
  <autoFilter ref="A1:Z1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64" customWidth="1" min="3" max="3"/>
    <col width="72" customWidth="1" min="4" max="4"/>
  </cols>
  <sheetData>
    <row r="1" ht="32" customHeight="1">
      <c r="A1" s="1" t="inlineStr">
        <is>
          <t>Variable Code</t>
        </is>
      </c>
      <c r="B1" s="1" t="inlineStr">
        <is>
          <t>Readable Field</t>
        </is>
      </c>
      <c r="C1" s="1" t="inlineStr">
        <is>
          <t>Role in Component</t>
        </is>
      </c>
      <c r="D1" s="1" t="inlineStr">
        <is>
          <t>Verification Guidance</t>
        </is>
      </c>
    </row>
    <row r="2">
      <c r="A2" s="2" t="inlineStr">
        <is>
          <t>017_funding_needs</t>
        </is>
      </c>
      <c r="B2" s="2" t="inlineStr">
        <is>
          <t>Funding Needs</t>
        </is>
      </c>
      <c r="C2" s="2" t="inlineStr">
        <is>
          <t>Narrative description of funding needs.</t>
        </is>
      </c>
      <c r="D2" s="2" t="inlineStr">
        <is>
          <t>Verify current public funding/support information where available.</t>
        </is>
      </c>
    </row>
    <row r="3">
      <c r="A3" s="2" t="inlineStr">
        <is>
          <t>051_business_form</t>
        </is>
      </c>
      <c r="B3" s="2" t="inlineStr">
        <is>
          <t>Business Form</t>
        </is>
      </c>
      <c r="C3" s="2" t="inlineStr">
        <is>
          <t>Organizational/legal/business form.</t>
        </is>
      </c>
      <c r="D3" s="2" t="inlineStr">
        <is>
          <t>Verify official organizational status.</t>
        </is>
      </c>
    </row>
    <row r="4">
      <c r="A4" s="2" t="inlineStr">
        <is>
          <t>951_business_form_other</t>
        </is>
      </c>
      <c r="B4" s="2" t="inlineStr">
        <is>
          <t>Business Form Other</t>
        </is>
      </c>
      <c r="C4" s="2" t="inlineStr">
        <is>
          <t>Other business-form description.</t>
        </is>
      </c>
      <c r="D4" s="2" t="inlineStr">
        <is>
          <t>Verify free-text value.</t>
        </is>
      </c>
    </row>
    <row r="5">
      <c r="A5" s="2" t="inlineStr">
        <is>
          <t>052_nonprofit_status</t>
        </is>
      </c>
      <c r="B5" s="2" t="inlineStr">
        <is>
          <t>Nonprofit Status</t>
        </is>
      </c>
      <c r="C5" s="2" t="inlineStr">
        <is>
          <t>Reported nonprofit status.</t>
        </is>
      </c>
      <c r="D5" s="2" t="inlineStr">
        <is>
          <t>Verify official status if relevant.</t>
        </is>
      </c>
    </row>
    <row r="6">
      <c r="A6" s="2" t="inlineStr">
        <is>
          <t>053_shareholders</t>
        </is>
      </c>
      <c r="B6" s="2" t="inlineStr">
        <is>
          <t>Shareholders</t>
        </is>
      </c>
      <c r="C6" s="2" t="inlineStr">
        <is>
          <t>Shareholder information where relevant.</t>
        </is>
      </c>
      <c r="D6" s="2" t="inlineStr">
        <is>
          <t>Verify for commercial/corporate entities.</t>
        </is>
      </c>
    </row>
    <row r="7">
      <c r="A7" s="2" t="inlineStr">
        <is>
          <t>054_staffing_full_time</t>
        </is>
      </c>
      <c r="B7" s="2" t="inlineStr">
        <is>
          <t>Staffing Full Time</t>
        </is>
      </c>
      <c r="C7" s="2" t="inlineStr">
        <is>
          <t>Full-time staffing level.</t>
        </is>
      </c>
      <c r="D7" s="2" t="inlineStr">
        <is>
          <t>Verify reported staffing category where possible.</t>
        </is>
      </c>
    </row>
    <row r="8">
      <c r="A8" s="2" t="inlineStr">
        <is>
          <t>055_staffing_volunteer</t>
        </is>
      </c>
      <c r="B8" s="2" t="inlineStr">
        <is>
          <t>Staffing Volunteer</t>
        </is>
      </c>
      <c r="C8" s="2" t="inlineStr">
        <is>
          <t>Volunteer staffing level.</t>
        </is>
      </c>
      <c r="D8" s="2" t="inlineStr">
        <is>
          <t>Verify reported volunteer category where possible.</t>
        </is>
      </c>
    </row>
    <row r="9">
      <c r="A9" s="2" t="inlineStr">
        <is>
          <t>056_launch_date</t>
        </is>
      </c>
      <c r="B9" s="2" t="inlineStr">
        <is>
          <t>Launch Date</t>
        </is>
      </c>
      <c r="C9" s="2" t="inlineStr">
        <is>
          <t>Infrastructure/service launch date.</t>
        </is>
      </c>
      <c r="D9" s="2" t="inlineStr">
        <is>
          <t>Verify against official history or launch announcement.</t>
        </is>
      </c>
    </row>
    <row r="10">
      <c r="A10" s="2" t="inlineStr">
        <is>
          <t>057_organizational_history</t>
        </is>
      </c>
      <c r="B10" s="2" t="inlineStr">
        <is>
          <t>Organizational History</t>
        </is>
      </c>
      <c r="C10" s="2" t="inlineStr">
        <is>
          <t>Narrative organizational history.</t>
        </is>
      </c>
      <c r="D10" s="2" t="inlineStr">
        <is>
          <t>Check consistency with public history/about information.</t>
        </is>
      </c>
    </row>
    <row r="11">
      <c r="A11" s="2" t="inlineStr">
        <is>
          <t>058_affiliations</t>
        </is>
      </c>
      <c r="B11" s="2" t="inlineStr">
        <is>
          <t>Affiliations</t>
        </is>
      </c>
      <c r="C11" s="2" t="inlineStr">
        <is>
          <t>Institutional affiliations or supporting organizations.</t>
        </is>
      </c>
      <c r="D11" s="2" t="inlineStr">
        <is>
          <t>Verify affiliations.</t>
        </is>
      </c>
    </row>
    <row r="12">
      <c r="A12" s="2" t="inlineStr">
        <is>
          <t>059_founders</t>
        </is>
      </c>
      <c r="B12" s="2" t="inlineStr">
        <is>
          <t>Founders</t>
        </is>
      </c>
      <c r="C12" s="2" t="inlineStr">
        <is>
          <t>Founders or founding organizations/persons.</t>
        </is>
      </c>
      <c r="D12" s="2" t="inlineStr">
        <is>
          <t>Verify against official history/about page.</t>
        </is>
      </c>
    </row>
    <row r="13">
      <c r="A13" s="2" t="inlineStr">
        <is>
          <t>061_primary_funding_source</t>
        </is>
      </c>
      <c r="B13" s="2" t="inlineStr">
        <is>
          <t>Primary Funding Source</t>
        </is>
      </c>
      <c r="C13" s="2" t="inlineStr">
        <is>
          <t>Primary reported funding source.</t>
        </is>
      </c>
      <c r="D13" s="2" t="inlineStr">
        <is>
          <t>Verify against current funding/revenue information.</t>
        </is>
      </c>
    </row>
    <row r="14">
      <c r="A14" s="2" t="inlineStr">
        <is>
          <t>961_primary_funding_source_other</t>
        </is>
      </c>
      <c r="B14" s="2" t="inlineStr">
        <is>
          <t>Primary Funding Source Other</t>
        </is>
      </c>
      <c r="C14" s="2" t="inlineStr">
        <is>
          <t>Other primary funding source.</t>
        </is>
      </c>
      <c r="D14" s="2" t="inlineStr">
        <is>
          <t>Verify free-text value.</t>
        </is>
      </c>
    </row>
    <row r="15">
      <c r="A15" s="2" t="inlineStr">
        <is>
          <t>076_saas_options</t>
        </is>
      </c>
      <c r="B15" s="2" t="inlineStr">
        <is>
          <t>Saas Options</t>
        </is>
      </c>
      <c r="C15" s="2" t="inlineStr">
        <is>
          <t>Availability of SaaS/hosted-service options.</t>
        </is>
      </c>
      <c r="D15" s="2" t="inlineStr">
        <is>
          <t>Verify current service offering.</t>
        </is>
      </c>
    </row>
    <row r="16">
      <c r="A16" s="2" t="inlineStr">
        <is>
          <t>077_registered_service_providers</t>
        </is>
      </c>
      <c r="B16" s="2" t="inlineStr">
        <is>
          <t>Registered Service Providers</t>
        </is>
      </c>
      <c r="C16" s="2" t="inlineStr">
        <is>
          <t>Registered/external service providers.</t>
        </is>
      </c>
      <c r="D16" s="2" t="inlineStr">
        <is>
          <t>Verify provider ecosystem where applicable.</t>
        </is>
      </c>
    </row>
    <row r="17">
      <c r="A17" s="2" t="inlineStr">
        <is>
          <t>079_technology_readiness</t>
        </is>
      </c>
      <c r="B17" s="2" t="inlineStr">
        <is>
          <t>Technology Readiness</t>
        </is>
      </c>
      <c r="C17" s="2" t="inlineStr">
        <is>
          <t>Reported technology-readiness stage.</t>
        </is>
      </c>
      <c r="D17" s="2" t="inlineStr">
        <is>
          <t>Verify operational maturity where possible.</t>
        </is>
      </c>
    </row>
    <row r="18">
      <c r="A18" s="2" t="inlineStr">
        <is>
          <t>080_maintenance_status</t>
        </is>
      </c>
      <c r="B18" s="2" t="inlineStr">
        <is>
          <t>Maintenance Status</t>
        </is>
      </c>
      <c r="C18" s="2" t="inlineStr">
        <is>
          <t>Reported maintenance status.</t>
        </is>
      </c>
      <c r="D18" s="2" t="inlineStr">
        <is>
          <t>Verify whether the infrastructure is actively maintained.</t>
        </is>
      </c>
    </row>
    <row r="19">
      <c r="A19" s="2" t="inlineStr">
        <is>
          <t>099_scoss</t>
        </is>
      </c>
      <c r="B19" s="2" t="inlineStr">
        <is>
          <t>Scoss</t>
        </is>
      </c>
      <c r="C19" s="2" t="inlineStr">
        <is>
          <t>SCOSS participation/status.</t>
        </is>
      </c>
      <c r="D19" s="2" t="inlineStr">
        <is>
          <t>Verify against SCOSS/public source if used.</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2026-10-15T10:15:22Z</dcterms:created>
  <dcterms:modified xsi:type="dcterms:W3CDTF">2026-10-15T10:15:22Z</dcterms:modified>
</cp:coreProperties>
</file>